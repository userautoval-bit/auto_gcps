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R:\FATURAMENTO\FINANCEIRO\CONTAS A RECEBER CAMPINAS\"/>
    </mc:Choice>
  </mc:AlternateContent>
  <xr:revisionPtr revIDLastSave="0" documentId="13_ncr:1_{D077500F-A196-4261-AAEE-00FB9A7EA5CC}" xr6:coauthVersionLast="47" xr6:coauthVersionMax="47" xr10:uidLastSave="{00000000-0000-0000-0000-000000000000}"/>
  <bookViews>
    <workbookView xWindow="-110" yWindow="-110" windowWidth="19420" windowHeight="10300" tabRatio="898" xr2:uid="{00000000-000D-0000-FFFF-FFFF00000000}"/>
  </bookViews>
  <sheets>
    <sheet name="JAN-26" sheetId="1" r:id="rId1"/>
    <sheet name="FEV-26" sheetId="2" r:id="rId2"/>
    <sheet name="MAR-26" sheetId="3" r:id="rId3"/>
    <sheet name="ABR-26" sheetId="4" r:id="rId4"/>
    <sheet name="MAI-26" sheetId="5" r:id="rId5"/>
    <sheet name="JUN-26" sheetId="6" r:id="rId6"/>
    <sheet name="JUL-26" sheetId="7" r:id="rId7"/>
    <sheet name="AGO-26" sheetId="8" r:id="rId8"/>
    <sheet name="SET-26" sheetId="9" r:id="rId9"/>
    <sheet name="OUT-26" sheetId="10" r:id="rId10"/>
    <sheet name="NOV-26" sheetId="11" r:id="rId11"/>
    <sheet name="DEZ-26" sheetId="12" r:id="rId12"/>
    <sheet name="BD" sheetId="13" r:id="rId13"/>
  </sheets>
  <definedNames>
    <definedName name="_xlnm._FilterDatabase" localSheetId="3" hidden="1">'ABR-26'!$A$2:$J$783</definedName>
    <definedName name="_xlnm._FilterDatabase" localSheetId="7" hidden="1">'AGO-26'!$A$2:$J$80</definedName>
    <definedName name="_xlnm._FilterDatabase" localSheetId="11" hidden="1">'DEZ-26'!$A$2:$J$80</definedName>
    <definedName name="_xlnm._FilterDatabase" localSheetId="1" hidden="1">'FEV-26'!$A$2:$J$783</definedName>
    <definedName name="_xlnm._FilterDatabase" localSheetId="0" hidden="1">'JAN-26'!$A$2:$J$582</definedName>
    <definedName name="_xlnm._FilterDatabase" localSheetId="6" hidden="1">'JUL-26'!$A$2:$J$80</definedName>
    <definedName name="_xlnm._FilterDatabase" localSheetId="5" hidden="1">'JUN-26'!$A$2:$J$783</definedName>
    <definedName name="_xlnm._FilterDatabase" localSheetId="4" hidden="1">'MAI-26'!$A$2:$J$80</definedName>
    <definedName name="_xlnm._FilterDatabase" localSheetId="2" hidden="1">'MAR-26'!$A$2:$J$598</definedName>
    <definedName name="_xlnm._FilterDatabase" localSheetId="10" hidden="1">'NOV-26'!$A$2:$J$80</definedName>
    <definedName name="_xlnm._FilterDatabase" localSheetId="9" hidden="1">'OUT-26'!$A$2:$J$80</definedName>
    <definedName name="_xlnm._FilterDatabase" localSheetId="8" hidden="1">'SET-26'!$A$2:$J$80</definedName>
    <definedName name="_xlcn.WorksheetConnection_ContasareceberGeral2026CAMPINAS.xlsxTabela11">Tabela1</definedName>
    <definedName name="_xlcn.WorksheetConnection_JAN26A2G771">'JAN-26'!$A$2:$G$77</definedName>
    <definedName name="SegmentaçãodeDados_CLIENTE1">#REF!</definedName>
    <definedName name="SegmentaçãodeDados_DIAS1">#REF!</definedName>
    <definedName name="SegmentaçãodeDados_EMISSÃO">#REF!</definedName>
    <definedName name="SegmentaçãodeDados_FATURAMENTO">#REF!</definedName>
    <definedName name="SegmentaçãodeDados_MÊS_FAT">#REF!</definedName>
    <definedName name="SegmentaçãodeDados_MÊS_PREV.">#REF!</definedName>
    <definedName name="SegmentaçãodeDados_MÊS_RECEB">#REF!</definedName>
    <definedName name="SegmentaçãodeDados_NFE1">#REF!</definedName>
    <definedName name="SegmentaçãodeDados_Recebido_em">#REF!</definedName>
    <definedName name="SegmentaçãodeDados_STATUS1">#REF!</definedName>
    <definedName name="SegmentaçãodeDados_V._Recebido">#REF!</definedName>
    <definedName name="SegmentaçãodeDados_VALOR1">#REF!</definedName>
    <definedName name="SegmentaçãodeDados_Vencimento">#REF!</definedName>
    <definedName name="SegmentaçãodeDados_VENCIMENTO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OU1s2RAXYBncq0HaplBPiyjbCi3Ms+dUmRK0yKkUoxM="/>
    </ext>
  </extLst>
</workbook>
</file>

<file path=xl/calcChain.xml><?xml version="1.0" encoding="utf-8"?>
<calcChain xmlns="http://schemas.openxmlformats.org/spreadsheetml/2006/main">
  <c r="M889" i="13" l="1"/>
  <c r="J889" i="13"/>
  <c r="H889" i="13"/>
  <c r="G889" i="13"/>
  <c r="F889" i="13"/>
  <c r="E889" i="13"/>
  <c r="D889" i="13"/>
  <c r="K889" i="13" s="1"/>
  <c r="L889" i="13" s="1"/>
  <c r="C889" i="13"/>
  <c r="T889" i="13" s="1"/>
  <c r="B889" i="13"/>
  <c r="T888" i="13"/>
  <c r="M888" i="13"/>
  <c r="K888" i="13"/>
  <c r="L888" i="13" s="1"/>
  <c r="J888" i="13"/>
  <c r="G888" i="13"/>
  <c r="F888" i="13"/>
  <c r="E888" i="13"/>
  <c r="D888" i="13"/>
  <c r="C888" i="13"/>
  <c r="B888" i="13"/>
  <c r="T887" i="13"/>
  <c r="M887" i="13"/>
  <c r="L887" i="13"/>
  <c r="G887" i="13"/>
  <c r="F887" i="13"/>
  <c r="E887" i="13"/>
  <c r="D887" i="13"/>
  <c r="K887" i="13" s="1"/>
  <c r="C887" i="13"/>
  <c r="N887" i="13" s="1"/>
  <c r="B887" i="13"/>
  <c r="M886" i="13"/>
  <c r="G886" i="13"/>
  <c r="F886" i="13"/>
  <c r="E886" i="13"/>
  <c r="D886" i="13"/>
  <c r="N886" i="13" s="1"/>
  <c r="P886" i="13" s="1"/>
  <c r="C886" i="13"/>
  <c r="T886" i="13" s="1"/>
  <c r="B886" i="13"/>
  <c r="N885" i="13"/>
  <c r="S885" i="13" s="1"/>
  <c r="M885" i="13"/>
  <c r="J885" i="13"/>
  <c r="H885" i="13"/>
  <c r="G885" i="13"/>
  <c r="F885" i="13"/>
  <c r="E885" i="13"/>
  <c r="D885" i="13"/>
  <c r="K885" i="13" s="1"/>
  <c r="L885" i="13" s="1"/>
  <c r="C885" i="13"/>
  <c r="T885" i="13" s="1"/>
  <c r="B885" i="13"/>
  <c r="T884" i="13"/>
  <c r="M884" i="13"/>
  <c r="K884" i="13"/>
  <c r="L884" i="13" s="1"/>
  <c r="J884" i="13"/>
  <c r="H884" i="13"/>
  <c r="G884" i="13"/>
  <c r="F884" i="13"/>
  <c r="E884" i="13"/>
  <c r="D884" i="13"/>
  <c r="C884" i="13"/>
  <c r="N884" i="13" s="1"/>
  <c r="B884" i="13"/>
  <c r="M883" i="13"/>
  <c r="L883" i="13"/>
  <c r="K883" i="13"/>
  <c r="J883" i="13"/>
  <c r="G883" i="13"/>
  <c r="F883" i="13"/>
  <c r="E883" i="13"/>
  <c r="D883" i="13"/>
  <c r="C883" i="13"/>
  <c r="N883" i="13" s="1"/>
  <c r="B883" i="13"/>
  <c r="N882" i="13"/>
  <c r="M882" i="13"/>
  <c r="G882" i="13"/>
  <c r="F882" i="13"/>
  <c r="E882" i="13"/>
  <c r="D882" i="13"/>
  <c r="C882" i="13"/>
  <c r="T882" i="13" s="1"/>
  <c r="B882" i="13"/>
  <c r="P881" i="13"/>
  <c r="N881" i="13"/>
  <c r="M881" i="13"/>
  <c r="J881" i="13"/>
  <c r="H881" i="13"/>
  <c r="G881" i="13"/>
  <c r="F881" i="13"/>
  <c r="E881" i="13"/>
  <c r="D881" i="13"/>
  <c r="K881" i="13" s="1"/>
  <c r="L881" i="13" s="1"/>
  <c r="C881" i="13"/>
  <c r="T881" i="13" s="1"/>
  <c r="B881" i="13"/>
  <c r="M880" i="13"/>
  <c r="L880" i="13"/>
  <c r="K880" i="13"/>
  <c r="J880" i="13"/>
  <c r="G880" i="13"/>
  <c r="F880" i="13"/>
  <c r="E880" i="13"/>
  <c r="D880" i="13"/>
  <c r="C880" i="13"/>
  <c r="B880" i="13"/>
  <c r="M879" i="13"/>
  <c r="K879" i="13"/>
  <c r="L879" i="13" s="1"/>
  <c r="J879" i="13"/>
  <c r="G879" i="13"/>
  <c r="F879" i="13"/>
  <c r="E879" i="13"/>
  <c r="D879" i="13"/>
  <c r="C879" i="13"/>
  <c r="N879" i="13" s="1"/>
  <c r="B879" i="13"/>
  <c r="M878" i="13"/>
  <c r="G878" i="13"/>
  <c r="F878" i="13"/>
  <c r="E878" i="13"/>
  <c r="D878" i="13"/>
  <c r="C878" i="13"/>
  <c r="N878" i="13" s="1"/>
  <c r="O878" i="13" s="1"/>
  <c r="B878" i="13"/>
  <c r="N877" i="13"/>
  <c r="M877" i="13"/>
  <c r="J877" i="13"/>
  <c r="H877" i="13"/>
  <c r="G877" i="13"/>
  <c r="F877" i="13"/>
  <c r="E877" i="13"/>
  <c r="D877" i="13"/>
  <c r="K877" i="13" s="1"/>
  <c r="L877" i="13" s="1"/>
  <c r="C877" i="13"/>
  <c r="T877" i="13" s="1"/>
  <c r="B877" i="13"/>
  <c r="T876" i="13"/>
  <c r="M876" i="13"/>
  <c r="K876" i="13"/>
  <c r="L876" i="13" s="1"/>
  <c r="J876" i="13"/>
  <c r="H876" i="13"/>
  <c r="G876" i="13"/>
  <c r="F876" i="13"/>
  <c r="E876" i="13"/>
  <c r="D876" i="13"/>
  <c r="C876" i="13"/>
  <c r="N876" i="13" s="1"/>
  <c r="S876" i="13" s="1"/>
  <c r="B876" i="13"/>
  <c r="T875" i="13"/>
  <c r="M875" i="13"/>
  <c r="L875" i="13"/>
  <c r="K875" i="13"/>
  <c r="J875" i="13"/>
  <c r="G875" i="13"/>
  <c r="F875" i="13"/>
  <c r="E875" i="13"/>
  <c r="D875" i="13"/>
  <c r="C875" i="13"/>
  <c r="N875" i="13" s="1"/>
  <c r="S875" i="13" s="1"/>
  <c r="B875" i="13"/>
  <c r="M874" i="13"/>
  <c r="G874" i="13"/>
  <c r="F874" i="13"/>
  <c r="E874" i="13"/>
  <c r="D874" i="13"/>
  <c r="C874" i="13"/>
  <c r="B874" i="13"/>
  <c r="N873" i="13"/>
  <c r="M873" i="13"/>
  <c r="J873" i="13"/>
  <c r="H873" i="13"/>
  <c r="G873" i="13"/>
  <c r="F873" i="13"/>
  <c r="E873" i="13"/>
  <c r="D873" i="13"/>
  <c r="K873" i="13" s="1"/>
  <c r="L873" i="13" s="1"/>
  <c r="C873" i="13"/>
  <c r="T873" i="13" s="1"/>
  <c r="B873" i="13"/>
  <c r="T872" i="13"/>
  <c r="M872" i="13"/>
  <c r="K872" i="13"/>
  <c r="L872" i="13" s="1"/>
  <c r="J872" i="13"/>
  <c r="H872" i="13"/>
  <c r="G872" i="13"/>
  <c r="F872" i="13"/>
  <c r="E872" i="13"/>
  <c r="D872" i="13"/>
  <c r="C872" i="13"/>
  <c r="N872" i="13" s="1"/>
  <c r="S872" i="13" s="1"/>
  <c r="B872" i="13"/>
  <c r="M871" i="13"/>
  <c r="K871" i="13"/>
  <c r="L871" i="13" s="1"/>
  <c r="J871" i="13"/>
  <c r="G871" i="13"/>
  <c r="F871" i="13"/>
  <c r="E871" i="13"/>
  <c r="D871" i="13"/>
  <c r="C871" i="13"/>
  <c r="N871" i="13" s="1"/>
  <c r="B871" i="13"/>
  <c r="M870" i="13"/>
  <c r="G870" i="13"/>
  <c r="F870" i="13"/>
  <c r="E870" i="13"/>
  <c r="D870" i="13"/>
  <c r="C870" i="13"/>
  <c r="B870" i="13"/>
  <c r="O869" i="13"/>
  <c r="N869" i="13"/>
  <c r="P869" i="13" s="1"/>
  <c r="M869" i="13"/>
  <c r="J869" i="13"/>
  <c r="H869" i="13"/>
  <c r="G869" i="13"/>
  <c r="F869" i="13"/>
  <c r="E869" i="13"/>
  <c r="D869" i="13"/>
  <c r="K869" i="13" s="1"/>
  <c r="L869" i="13" s="1"/>
  <c r="C869" i="13"/>
  <c r="T869" i="13" s="1"/>
  <c r="B869" i="13"/>
  <c r="M868" i="13"/>
  <c r="K868" i="13"/>
  <c r="L868" i="13" s="1"/>
  <c r="J868" i="13"/>
  <c r="H868" i="13"/>
  <c r="G868" i="13"/>
  <c r="F868" i="13"/>
  <c r="E868" i="13"/>
  <c r="D868" i="13"/>
  <c r="C868" i="13"/>
  <c r="N868" i="13" s="1"/>
  <c r="S868" i="13" s="1"/>
  <c r="B868" i="13"/>
  <c r="T867" i="13"/>
  <c r="M867" i="13"/>
  <c r="L867" i="13"/>
  <c r="K867" i="13"/>
  <c r="J867" i="13"/>
  <c r="G867" i="13"/>
  <c r="F867" i="13"/>
  <c r="E867" i="13"/>
  <c r="D867" i="13"/>
  <c r="C867" i="13"/>
  <c r="N867" i="13" s="1"/>
  <c r="S867" i="13" s="1"/>
  <c r="B867" i="13"/>
  <c r="N866" i="13"/>
  <c r="M866" i="13"/>
  <c r="G866" i="13"/>
  <c r="F866" i="13"/>
  <c r="E866" i="13"/>
  <c r="D866" i="13"/>
  <c r="C866" i="13"/>
  <c r="T866" i="13" s="1"/>
  <c r="B866" i="13"/>
  <c r="N865" i="13"/>
  <c r="M865" i="13"/>
  <c r="G865" i="13"/>
  <c r="F865" i="13"/>
  <c r="E865" i="13"/>
  <c r="D865" i="13"/>
  <c r="K865" i="13" s="1"/>
  <c r="L865" i="13" s="1"/>
  <c r="C865" i="13"/>
  <c r="T865" i="13" s="1"/>
  <c r="B865" i="13"/>
  <c r="M864" i="13"/>
  <c r="K864" i="13"/>
  <c r="L864" i="13" s="1"/>
  <c r="J864" i="13"/>
  <c r="G864" i="13"/>
  <c r="F864" i="13"/>
  <c r="E864" i="13"/>
  <c r="D864" i="13"/>
  <c r="C864" i="13"/>
  <c r="N864" i="13" s="1"/>
  <c r="B864" i="13"/>
  <c r="M863" i="13"/>
  <c r="J863" i="13"/>
  <c r="G863" i="13"/>
  <c r="K863" i="13" s="1"/>
  <c r="L863" i="13" s="1"/>
  <c r="F863" i="13"/>
  <c r="E863" i="13"/>
  <c r="D863" i="13"/>
  <c r="C863" i="13"/>
  <c r="B863" i="13"/>
  <c r="M862" i="13"/>
  <c r="G862" i="13"/>
  <c r="F862" i="13"/>
  <c r="E862" i="13"/>
  <c r="D862" i="13"/>
  <c r="C862" i="13"/>
  <c r="T862" i="13" s="1"/>
  <c r="B862" i="13"/>
  <c r="M861" i="13"/>
  <c r="G861" i="13"/>
  <c r="F861" i="13"/>
  <c r="E861" i="13"/>
  <c r="D861" i="13"/>
  <c r="K861" i="13" s="1"/>
  <c r="L861" i="13" s="1"/>
  <c r="C861" i="13"/>
  <c r="B861" i="13"/>
  <c r="M860" i="13"/>
  <c r="G860" i="13"/>
  <c r="F860" i="13"/>
  <c r="E860" i="13"/>
  <c r="D860" i="13"/>
  <c r="C860" i="13"/>
  <c r="B860" i="13"/>
  <c r="M859" i="13"/>
  <c r="K859" i="13"/>
  <c r="L859" i="13" s="1"/>
  <c r="J859" i="13"/>
  <c r="G859" i="13"/>
  <c r="F859" i="13"/>
  <c r="E859" i="13"/>
  <c r="D859" i="13"/>
  <c r="C859" i="13"/>
  <c r="N859" i="13" s="1"/>
  <c r="S859" i="13" s="1"/>
  <c r="B859" i="13"/>
  <c r="N858" i="13"/>
  <c r="M858" i="13"/>
  <c r="G858" i="13"/>
  <c r="F858" i="13"/>
  <c r="E858" i="13"/>
  <c r="D858" i="13"/>
  <c r="C858" i="13"/>
  <c r="T858" i="13" s="1"/>
  <c r="B858" i="13"/>
  <c r="M857" i="13"/>
  <c r="J857" i="13"/>
  <c r="H857" i="13"/>
  <c r="G857" i="13"/>
  <c r="F857" i="13"/>
  <c r="E857" i="13"/>
  <c r="D857" i="13"/>
  <c r="C857" i="13"/>
  <c r="T857" i="13" s="1"/>
  <c r="B857" i="13"/>
  <c r="M856" i="13"/>
  <c r="G856" i="13"/>
  <c r="F856" i="13"/>
  <c r="E856" i="13"/>
  <c r="D856" i="13"/>
  <c r="K856" i="13" s="1"/>
  <c r="L856" i="13" s="1"/>
  <c r="C856" i="13"/>
  <c r="B856" i="13"/>
  <c r="M855" i="13"/>
  <c r="G855" i="13"/>
  <c r="F855" i="13"/>
  <c r="E855" i="13"/>
  <c r="D855" i="13"/>
  <c r="C855" i="13"/>
  <c r="B855" i="13"/>
  <c r="M854" i="13"/>
  <c r="G854" i="13"/>
  <c r="F854" i="13"/>
  <c r="E854" i="13"/>
  <c r="D854" i="13"/>
  <c r="C854" i="13"/>
  <c r="N854" i="13" s="1"/>
  <c r="B854" i="13"/>
  <c r="M853" i="13"/>
  <c r="H853" i="13"/>
  <c r="G853" i="13"/>
  <c r="F853" i="13"/>
  <c r="E853" i="13"/>
  <c r="D853" i="13"/>
  <c r="J853" i="13" s="1"/>
  <c r="C853" i="13"/>
  <c r="B853" i="13"/>
  <c r="M852" i="13"/>
  <c r="K852" i="13"/>
  <c r="L852" i="13" s="1"/>
  <c r="J852" i="13"/>
  <c r="G852" i="13"/>
  <c r="F852" i="13"/>
  <c r="E852" i="13"/>
  <c r="D852" i="13"/>
  <c r="C852" i="13"/>
  <c r="N852" i="13" s="1"/>
  <c r="S852" i="13" s="1"/>
  <c r="B852" i="13"/>
  <c r="M851" i="13"/>
  <c r="L851" i="13"/>
  <c r="K851" i="13"/>
  <c r="J851" i="13"/>
  <c r="G851" i="13"/>
  <c r="F851" i="13"/>
  <c r="E851" i="13"/>
  <c r="D851" i="13"/>
  <c r="C851" i="13"/>
  <c r="N851" i="13" s="1"/>
  <c r="B851" i="13"/>
  <c r="M850" i="13"/>
  <c r="G850" i="13"/>
  <c r="F850" i="13"/>
  <c r="E850" i="13"/>
  <c r="D850" i="13"/>
  <c r="C850" i="13"/>
  <c r="T850" i="13" s="1"/>
  <c r="B850" i="13"/>
  <c r="M849" i="13"/>
  <c r="H849" i="13" s="1"/>
  <c r="G849" i="13"/>
  <c r="F849" i="13"/>
  <c r="E849" i="13"/>
  <c r="D849" i="13"/>
  <c r="K849" i="13" s="1"/>
  <c r="L849" i="13" s="1"/>
  <c r="C849" i="13"/>
  <c r="N849" i="13" s="1"/>
  <c r="P849" i="13" s="1"/>
  <c r="B849" i="13"/>
  <c r="M848" i="13"/>
  <c r="G848" i="13"/>
  <c r="F848" i="13"/>
  <c r="E848" i="13"/>
  <c r="D848" i="13"/>
  <c r="J848" i="13" s="1"/>
  <c r="C848" i="13"/>
  <c r="B848" i="13"/>
  <c r="M847" i="13"/>
  <c r="G847" i="13"/>
  <c r="F847" i="13"/>
  <c r="E847" i="13"/>
  <c r="D847" i="13"/>
  <c r="K847" i="13" s="1"/>
  <c r="L847" i="13" s="1"/>
  <c r="C847" i="13"/>
  <c r="B847" i="13"/>
  <c r="M846" i="13"/>
  <c r="G846" i="13"/>
  <c r="F846" i="13"/>
  <c r="E846" i="13"/>
  <c r="D846" i="13"/>
  <c r="C846" i="13"/>
  <c r="B846" i="13"/>
  <c r="M845" i="13"/>
  <c r="G845" i="13"/>
  <c r="F845" i="13"/>
  <c r="E845" i="13"/>
  <c r="D845" i="13"/>
  <c r="K845" i="13" s="1"/>
  <c r="L845" i="13" s="1"/>
  <c r="C845" i="13"/>
  <c r="N845" i="13" s="1"/>
  <c r="B845" i="13"/>
  <c r="M844" i="13"/>
  <c r="H844" i="13" s="1"/>
  <c r="G844" i="13"/>
  <c r="F844" i="13"/>
  <c r="E844" i="13"/>
  <c r="D844" i="13"/>
  <c r="C844" i="13"/>
  <c r="B844" i="13"/>
  <c r="M843" i="13"/>
  <c r="G843" i="13"/>
  <c r="F843" i="13"/>
  <c r="E843" i="13"/>
  <c r="D843" i="13"/>
  <c r="K843" i="13" s="1"/>
  <c r="L843" i="13" s="1"/>
  <c r="C843" i="13"/>
  <c r="N843" i="13" s="1"/>
  <c r="B843" i="13"/>
  <c r="M842" i="13"/>
  <c r="G842" i="13"/>
  <c r="F842" i="13"/>
  <c r="E842" i="13"/>
  <c r="D842" i="13"/>
  <c r="J842" i="13" s="1"/>
  <c r="C842" i="13"/>
  <c r="B842" i="13"/>
  <c r="M841" i="13"/>
  <c r="G841" i="13"/>
  <c r="F841" i="13"/>
  <c r="E841" i="13"/>
  <c r="D841" i="13"/>
  <c r="K841" i="13" s="1"/>
  <c r="L841" i="13" s="1"/>
  <c r="C841" i="13"/>
  <c r="N841" i="13" s="1"/>
  <c r="S841" i="13" s="1"/>
  <c r="B841" i="13"/>
  <c r="T840" i="13"/>
  <c r="M840" i="13"/>
  <c r="J840" i="13"/>
  <c r="G840" i="13"/>
  <c r="H840" i="13" s="1"/>
  <c r="F840" i="13"/>
  <c r="E840" i="13"/>
  <c r="D840" i="13"/>
  <c r="K840" i="13" s="1"/>
  <c r="L840" i="13" s="1"/>
  <c r="C840" i="13"/>
  <c r="B840" i="13"/>
  <c r="M839" i="13"/>
  <c r="L839" i="13"/>
  <c r="K839" i="13"/>
  <c r="J839" i="13"/>
  <c r="G839" i="13"/>
  <c r="F839" i="13"/>
  <c r="E839" i="13"/>
  <c r="D839" i="13"/>
  <c r="C839" i="13"/>
  <c r="N839" i="13" s="1"/>
  <c r="P839" i="13" s="1"/>
  <c r="B839" i="13"/>
  <c r="M838" i="13"/>
  <c r="G838" i="13"/>
  <c r="K838" i="13" s="1"/>
  <c r="L838" i="13" s="1"/>
  <c r="F838" i="13"/>
  <c r="E838" i="13"/>
  <c r="D838" i="13"/>
  <c r="J838" i="13" s="1"/>
  <c r="C838" i="13"/>
  <c r="N838" i="13" s="1"/>
  <c r="B838" i="13"/>
  <c r="M837" i="13"/>
  <c r="G837" i="13"/>
  <c r="F837" i="13"/>
  <c r="E837" i="13"/>
  <c r="D837" i="13"/>
  <c r="N837" i="13" s="1"/>
  <c r="O837" i="13" s="1"/>
  <c r="C837" i="13"/>
  <c r="B837" i="13"/>
  <c r="M836" i="13"/>
  <c r="G836" i="13"/>
  <c r="F836" i="13"/>
  <c r="E836" i="13"/>
  <c r="D836" i="13"/>
  <c r="C836" i="13"/>
  <c r="B836" i="13"/>
  <c r="M835" i="13"/>
  <c r="G835" i="13"/>
  <c r="F835" i="13"/>
  <c r="E835" i="13"/>
  <c r="D835" i="13"/>
  <c r="C835" i="13"/>
  <c r="B835" i="13"/>
  <c r="M834" i="13"/>
  <c r="G834" i="13"/>
  <c r="K834" i="13" s="1"/>
  <c r="L834" i="13" s="1"/>
  <c r="F834" i="13"/>
  <c r="E834" i="13"/>
  <c r="D834" i="13"/>
  <c r="J834" i="13" s="1"/>
  <c r="C834" i="13"/>
  <c r="B834" i="13"/>
  <c r="M833" i="13"/>
  <c r="K833" i="13"/>
  <c r="L833" i="13" s="1"/>
  <c r="J833" i="13"/>
  <c r="G833" i="13"/>
  <c r="F833" i="13"/>
  <c r="E833" i="13"/>
  <c r="D833" i="13"/>
  <c r="C833" i="13"/>
  <c r="T833" i="13" s="1"/>
  <c r="B833" i="13"/>
  <c r="M832" i="13"/>
  <c r="G832" i="13"/>
  <c r="F832" i="13"/>
  <c r="E832" i="13"/>
  <c r="D832" i="13"/>
  <c r="C832" i="13"/>
  <c r="N832" i="13" s="1"/>
  <c r="P832" i="13" s="1"/>
  <c r="B832" i="13"/>
  <c r="M831" i="13"/>
  <c r="G831" i="13"/>
  <c r="F831" i="13"/>
  <c r="E831" i="13"/>
  <c r="D831" i="13"/>
  <c r="J831" i="13" s="1"/>
  <c r="C831" i="13"/>
  <c r="B831" i="13"/>
  <c r="T830" i="13"/>
  <c r="M830" i="13"/>
  <c r="J830" i="13"/>
  <c r="G830" i="13"/>
  <c r="K830" i="13" s="1"/>
  <c r="L830" i="13" s="1"/>
  <c r="F830" i="13"/>
  <c r="E830" i="13"/>
  <c r="D830" i="13"/>
  <c r="C830" i="13"/>
  <c r="B830" i="13"/>
  <c r="M829" i="13"/>
  <c r="G829" i="13"/>
  <c r="F829" i="13"/>
  <c r="E829" i="13"/>
  <c r="D829" i="13"/>
  <c r="C829" i="13"/>
  <c r="B829" i="13"/>
  <c r="M828" i="13"/>
  <c r="G828" i="13"/>
  <c r="F828" i="13"/>
  <c r="E828" i="13"/>
  <c r="D828" i="13"/>
  <c r="C828" i="13"/>
  <c r="T828" i="13" s="1"/>
  <c r="B828" i="13"/>
  <c r="M827" i="13"/>
  <c r="J827" i="13"/>
  <c r="G827" i="13"/>
  <c r="H827" i="13" s="1"/>
  <c r="F827" i="13"/>
  <c r="E827" i="13"/>
  <c r="D827" i="13"/>
  <c r="K827" i="13" s="1"/>
  <c r="L827" i="13" s="1"/>
  <c r="C827" i="13"/>
  <c r="B827" i="13"/>
  <c r="M826" i="13"/>
  <c r="K826" i="13"/>
  <c r="L826" i="13" s="1"/>
  <c r="G826" i="13"/>
  <c r="F826" i="13"/>
  <c r="E826" i="13"/>
  <c r="D826" i="13"/>
  <c r="J826" i="13" s="1"/>
  <c r="C826" i="13"/>
  <c r="B826" i="13"/>
  <c r="M825" i="13"/>
  <c r="K825" i="13"/>
  <c r="L825" i="13" s="1"/>
  <c r="G825" i="13"/>
  <c r="F825" i="13"/>
  <c r="E825" i="13"/>
  <c r="D825" i="13"/>
  <c r="C825" i="13"/>
  <c r="B825" i="13"/>
  <c r="M824" i="13"/>
  <c r="G824" i="13"/>
  <c r="F824" i="13"/>
  <c r="E824" i="13"/>
  <c r="D824" i="13"/>
  <c r="C824" i="13"/>
  <c r="N824" i="13" s="1"/>
  <c r="B824" i="13"/>
  <c r="M823" i="13"/>
  <c r="J823" i="13"/>
  <c r="G823" i="13"/>
  <c r="F823" i="13"/>
  <c r="E823" i="13"/>
  <c r="D823" i="13"/>
  <c r="C823" i="13"/>
  <c r="N823" i="13" s="1"/>
  <c r="P823" i="13" s="1"/>
  <c r="B823" i="13"/>
  <c r="M822" i="13"/>
  <c r="J822" i="13"/>
  <c r="G822" i="13"/>
  <c r="K822" i="13" s="1"/>
  <c r="L822" i="13" s="1"/>
  <c r="F822" i="13"/>
  <c r="E822" i="13"/>
  <c r="D822" i="13"/>
  <c r="C822" i="13"/>
  <c r="N822" i="13" s="1"/>
  <c r="O822" i="13" s="1"/>
  <c r="B822" i="13"/>
  <c r="M821" i="13"/>
  <c r="G821" i="13"/>
  <c r="F821" i="13"/>
  <c r="E821" i="13"/>
  <c r="D821" i="13"/>
  <c r="J821" i="13" s="1"/>
  <c r="C821" i="13"/>
  <c r="B821" i="13"/>
  <c r="M820" i="13"/>
  <c r="G820" i="13"/>
  <c r="F820" i="13"/>
  <c r="E820" i="13"/>
  <c r="D820" i="13"/>
  <c r="H820" i="13" s="1"/>
  <c r="C820" i="13"/>
  <c r="B820" i="13"/>
  <c r="M819" i="13"/>
  <c r="G819" i="13"/>
  <c r="F819" i="13"/>
  <c r="E819" i="13"/>
  <c r="D819" i="13"/>
  <c r="K819" i="13" s="1"/>
  <c r="L819" i="13" s="1"/>
  <c r="C819" i="13"/>
  <c r="B819" i="13"/>
  <c r="M818" i="13"/>
  <c r="G818" i="13"/>
  <c r="F818" i="13"/>
  <c r="E818" i="13"/>
  <c r="D818" i="13"/>
  <c r="J818" i="13" s="1"/>
  <c r="C818" i="13"/>
  <c r="B818" i="13"/>
  <c r="M817" i="13"/>
  <c r="G817" i="13"/>
  <c r="F817" i="13"/>
  <c r="E817" i="13"/>
  <c r="D817" i="13"/>
  <c r="J817" i="13" s="1"/>
  <c r="C817" i="13"/>
  <c r="N817" i="13" s="1"/>
  <c r="P817" i="13" s="1"/>
  <c r="B817" i="13"/>
  <c r="M816" i="13"/>
  <c r="G816" i="13"/>
  <c r="F816" i="13"/>
  <c r="E816" i="13"/>
  <c r="D816" i="13"/>
  <c r="C816" i="13"/>
  <c r="N816" i="13" s="1"/>
  <c r="R816" i="13" s="1"/>
  <c r="B816" i="13"/>
  <c r="M815" i="13"/>
  <c r="L815" i="13"/>
  <c r="G815" i="13"/>
  <c r="F815" i="13"/>
  <c r="E815" i="13"/>
  <c r="D815" i="13"/>
  <c r="K815" i="13" s="1"/>
  <c r="C815" i="13"/>
  <c r="B815" i="13"/>
  <c r="N814" i="13"/>
  <c r="M814" i="13"/>
  <c r="J814" i="13"/>
  <c r="G814" i="13"/>
  <c r="K814" i="13" s="1"/>
  <c r="L814" i="13" s="1"/>
  <c r="F814" i="13"/>
  <c r="E814" i="13"/>
  <c r="D814" i="13"/>
  <c r="C814" i="13"/>
  <c r="T814" i="13" s="1"/>
  <c r="B814" i="13"/>
  <c r="M813" i="13"/>
  <c r="J813" i="13"/>
  <c r="G813" i="13"/>
  <c r="K813" i="13" s="1"/>
  <c r="L813" i="13" s="1"/>
  <c r="F813" i="13"/>
  <c r="E813" i="13"/>
  <c r="D813" i="13"/>
  <c r="C813" i="13"/>
  <c r="N813" i="13" s="1"/>
  <c r="P813" i="13" s="1"/>
  <c r="B813" i="13"/>
  <c r="M812" i="13"/>
  <c r="J812" i="13"/>
  <c r="G812" i="13"/>
  <c r="F812" i="13"/>
  <c r="E812" i="13"/>
  <c r="D812" i="13"/>
  <c r="H812" i="13" s="1"/>
  <c r="C812" i="13"/>
  <c r="N812" i="13" s="1"/>
  <c r="R812" i="13" s="1"/>
  <c r="B812" i="13"/>
  <c r="T811" i="13"/>
  <c r="M811" i="13"/>
  <c r="G811" i="13"/>
  <c r="F811" i="13"/>
  <c r="E811" i="13"/>
  <c r="D811" i="13"/>
  <c r="K811" i="13" s="1"/>
  <c r="L811" i="13" s="1"/>
  <c r="C811" i="13"/>
  <c r="N811" i="13" s="1"/>
  <c r="B811" i="13"/>
  <c r="N810" i="13"/>
  <c r="M810" i="13"/>
  <c r="J810" i="13"/>
  <c r="G810" i="13"/>
  <c r="K810" i="13" s="1"/>
  <c r="L810" i="13" s="1"/>
  <c r="F810" i="13"/>
  <c r="E810" i="13"/>
  <c r="D810" i="13"/>
  <c r="C810" i="13"/>
  <c r="T810" i="13" s="1"/>
  <c r="B810" i="13"/>
  <c r="M809" i="13"/>
  <c r="J809" i="13"/>
  <c r="G809" i="13"/>
  <c r="K809" i="13" s="1"/>
  <c r="L809" i="13" s="1"/>
  <c r="F809" i="13"/>
  <c r="E809" i="13"/>
  <c r="D809" i="13"/>
  <c r="C809" i="13"/>
  <c r="N809" i="13" s="1"/>
  <c r="P809" i="13" s="1"/>
  <c r="B809" i="13"/>
  <c r="M808" i="13"/>
  <c r="J808" i="13"/>
  <c r="G808" i="13"/>
  <c r="F808" i="13"/>
  <c r="E808" i="13"/>
  <c r="D808" i="13"/>
  <c r="H808" i="13" s="1"/>
  <c r="C808" i="13"/>
  <c r="N808" i="13" s="1"/>
  <c r="R808" i="13" s="1"/>
  <c r="B808" i="13"/>
  <c r="M807" i="13"/>
  <c r="L807" i="13"/>
  <c r="G807" i="13"/>
  <c r="F807" i="13"/>
  <c r="E807" i="13"/>
  <c r="D807" i="13"/>
  <c r="K807" i="13" s="1"/>
  <c r="C807" i="13"/>
  <c r="B807" i="13"/>
  <c r="N806" i="13"/>
  <c r="M806" i="13"/>
  <c r="J806" i="13"/>
  <c r="G806" i="13"/>
  <c r="F806" i="13"/>
  <c r="E806" i="13"/>
  <c r="D806" i="13"/>
  <c r="C806" i="13"/>
  <c r="T806" i="13" s="1"/>
  <c r="B806" i="13"/>
  <c r="M805" i="13"/>
  <c r="J805" i="13"/>
  <c r="G805" i="13"/>
  <c r="K805" i="13" s="1"/>
  <c r="L805" i="13" s="1"/>
  <c r="F805" i="13"/>
  <c r="E805" i="13"/>
  <c r="D805" i="13"/>
  <c r="C805" i="13"/>
  <c r="N805" i="13" s="1"/>
  <c r="P805" i="13" s="1"/>
  <c r="B805" i="13"/>
  <c r="T804" i="13"/>
  <c r="M804" i="13"/>
  <c r="J804" i="13"/>
  <c r="G804" i="13"/>
  <c r="F804" i="13"/>
  <c r="E804" i="13"/>
  <c r="D804" i="13"/>
  <c r="H804" i="13" s="1"/>
  <c r="C804" i="13"/>
  <c r="N804" i="13" s="1"/>
  <c r="B804" i="13"/>
  <c r="N803" i="13"/>
  <c r="M803" i="13"/>
  <c r="G803" i="13"/>
  <c r="F803" i="13"/>
  <c r="E803" i="13"/>
  <c r="D803" i="13"/>
  <c r="K803" i="13" s="1"/>
  <c r="L803" i="13" s="1"/>
  <c r="C803" i="13"/>
  <c r="T803" i="13" s="1"/>
  <c r="B803" i="13"/>
  <c r="N802" i="13"/>
  <c r="P802" i="13" s="1"/>
  <c r="M802" i="13"/>
  <c r="J802" i="13"/>
  <c r="G802" i="13"/>
  <c r="F802" i="13"/>
  <c r="E802" i="13"/>
  <c r="D802" i="13"/>
  <c r="C802" i="13"/>
  <c r="T802" i="13" s="1"/>
  <c r="B802" i="13"/>
  <c r="M801" i="13"/>
  <c r="J801" i="13"/>
  <c r="G801" i="13"/>
  <c r="K801" i="13" s="1"/>
  <c r="L801" i="13" s="1"/>
  <c r="F801" i="13"/>
  <c r="E801" i="13"/>
  <c r="D801" i="13"/>
  <c r="C801" i="13"/>
  <c r="N801" i="13" s="1"/>
  <c r="P801" i="13" s="1"/>
  <c r="B801" i="13"/>
  <c r="M800" i="13"/>
  <c r="J800" i="13"/>
  <c r="G800" i="13"/>
  <c r="F800" i="13"/>
  <c r="E800" i="13"/>
  <c r="D800" i="13"/>
  <c r="C800" i="13"/>
  <c r="B800" i="13"/>
  <c r="N799" i="13"/>
  <c r="M799" i="13"/>
  <c r="L799" i="13"/>
  <c r="G799" i="13"/>
  <c r="F799" i="13"/>
  <c r="E799" i="13"/>
  <c r="D799" i="13"/>
  <c r="K799" i="13" s="1"/>
  <c r="C799" i="13"/>
  <c r="T799" i="13" s="1"/>
  <c r="B799" i="13"/>
  <c r="N798" i="13"/>
  <c r="M798" i="13"/>
  <c r="J798" i="13"/>
  <c r="G798" i="13"/>
  <c r="F798" i="13"/>
  <c r="E798" i="13"/>
  <c r="D798" i="13"/>
  <c r="C798" i="13"/>
  <c r="T798" i="13" s="1"/>
  <c r="B798" i="13"/>
  <c r="M797" i="13"/>
  <c r="J797" i="13"/>
  <c r="G797" i="13"/>
  <c r="K797" i="13" s="1"/>
  <c r="L797" i="13" s="1"/>
  <c r="F797" i="13"/>
  <c r="E797" i="13"/>
  <c r="D797" i="13"/>
  <c r="C797" i="13"/>
  <c r="N797" i="13" s="1"/>
  <c r="P797" i="13" s="1"/>
  <c r="B797" i="13"/>
  <c r="T796" i="13"/>
  <c r="M796" i="13"/>
  <c r="J796" i="13"/>
  <c r="G796" i="13"/>
  <c r="F796" i="13"/>
  <c r="E796" i="13"/>
  <c r="D796" i="13"/>
  <c r="H796" i="13" s="1"/>
  <c r="C796" i="13"/>
  <c r="N796" i="13" s="1"/>
  <c r="B796" i="13"/>
  <c r="M795" i="13"/>
  <c r="L795" i="13"/>
  <c r="G795" i="13"/>
  <c r="F795" i="13"/>
  <c r="E795" i="13"/>
  <c r="D795" i="13"/>
  <c r="K795" i="13" s="1"/>
  <c r="C795" i="13"/>
  <c r="T795" i="13" s="1"/>
  <c r="B795" i="13"/>
  <c r="N794" i="13"/>
  <c r="P794" i="13" s="1"/>
  <c r="M794" i="13"/>
  <c r="J794" i="13"/>
  <c r="G794" i="13"/>
  <c r="K794" i="13" s="1"/>
  <c r="L794" i="13" s="1"/>
  <c r="F794" i="13"/>
  <c r="E794" i="13"/>
  <c r="D794" i="13"/>
  <c r="C794" i="13"/>
  <c r="T794" i="13" s="1"/>
  <c r="B794" i="13"/>
  <c r="M793" i="13"/>
  <c r="L793" i="13"/>
  <c r="K793" i="13"/>
  <c r="J793" i="13"/>
  <c r="G793" i="13"/>
  <c r="F793" i="13"/>
  <c r="E793" i="13"/>
  <c r="D793" i="13"/>
  <c r="C793" i="13"/>
  <c r="B793" i="13"/>
  <c r="M792" i="13"/>
  <c r="G792" i="13"/>
  <c r="F792" i="13"/>
  <c r="E792" i="13"/>
  <c r="D792" i="13"/>
  <c r="C792" i="13"/>
  <c r="B792" i="13"/>
  <c r="N791" i="13"/>
  <c r="M791" i="13"/>
  <c r="G791" i="13"/>
  <c r="F791" i="13"/>
  <c r="E791" i="13"/>
  <c r="D791" i="13"/>
  <c r="C791" i="13"/>
  <c r="T791" i="13" s="1"/>
  <c r="B791" i="13"/>
  <c r="M790" i="13"/>
  <c r="G790" i="13"/>
  <c r="F790" i="13"/>
  <c r="E790" i="13"/>
  <c r="D790" i="13"/>
  <c r="J790" i="13" s="1"/>
  <c r="C790" i="13"/>
  <c r="B790" i="13"/>
  <c r="M789" i="13"/>
  <c r="G789" i="13"/>
  <c r="F789" i="13"/>
  <c r="E789" i="13"/>
  <c r="D789" i="13"/>
  <c r="C789" i="13"/>
  <c r="B789" i="13"/>
  <c r="M788" i="13"/>
  <c r="G788" i="13"/>
  <c r="F788" i="13"/>
  <c r="E788" i="13"/>
  <c r="D788" i="13"/>
  <c r="K788" i="13" s="1"/>
  <c r="L788" i="13" s="1"/>
  <c r="C788" i="13"/>
  <c r="B788" i="13"/>
  <c r="M787" i="13"/>
  <c r="G787" i="13"/>
  <c r="F787" i="13"/>
  <c r="E787" i="13"/>
  <c r="D787" i="13"/>
  <c r="C787" i="13"/>
  <c r="T787" i="13" s="1"/>
  <c r="B787" i="13"/>
  <c r="M786" i="13"/>
  <c r="H786" i="13" s="1"/>
  <c r="J786" i="13"/>
  <c r="G786" i="13"/>
  <c r="K786" i="13" s="1"/>
  <c r="L786" i="13" s="1"/>
  <c r="F786" i="13"/>
  <c r="E786" i="13"/>
  <c r="D786" i="13"/>
  <c r="C786" i="13"/>
  <c r="B786" i="13"/>
  <c r="M785" i="13"/>
  <c r="K785" i="13"/>
  <c r="L785" i="13" s="1"/>
  <c r="G785" i="13"/>
  <c r="F785" i="13"/>
  <c r="E785" i="13"/>
  <c r="D785" i="13"/>
  <c r="J785" i="13" s="1"/>
  <c r="C785" i="13"/>
  <c r="B785" i="13"/>
  <c r="M784" i="13"/>
  <c r="G784" i="13"/>
  <c r="F784" i="13"/>
  <c r="E784" i="13"/>
  <c r="D784" i="13"/>
  <c r="K784" i="13" s="1"/>
  <c r="L784" i="13" s="1"/>
  <c r="C784" i="13"/>
  <c r="B784" i="13"/>
  <c r="T783" i="13"/>
  <c r="M783" i="13"/>
  <c r="G783" i="13"/>
  <c r="F783" i="13"/>
  <c r="E783" i="13"/>
  <c r="D783" i="13"/>
  <c r="C783" i="13"/>
  <c r="N783" i="13" s="1"/>
  <c r="B783" i="13"/>
  <c r="M782" i="13"/>
  <c r="G782" i="13"/>
  <c r="F782" i="13"/>
  <c r="E782" i="13"/>
  <c r="D782" i="13"/>
  <c r="C782" i="13"/>
  <c r="B782" i="13"/>
  <c r="M781" i="13"/>
  <c r="G781" i="13"/>
  <c r="F781" i="13"/>
  <c r="E781" i="13"/>
  <c r="D781" i="13"/>
  <c r="C781" i="13"/>
  <c r="B781" i="13"/>
  <c r="M780" i="13"/>
  <c r="G780" i="13"/>
  <c r="F780" i="13"/>
  <c r="E780" i="13"/>
  <c r="D780" i="13"/>
  <c r="C780" i="13"/>
  <c r="B780" i="13"/>
  <c r="M779" i="13"/>
  <c r="G779" i="13"/>
  <c r="F779" i="13"/>
  <c r="E779" i="13"/>
  <c r="D779" i="13"/>
  <c r="C779" i="13"/>
  <c r="T779" i="13" s="1"/>
  <c r="B779" i="13"/>
  <c r="N778" i="13"/>
  <c r="R778" i="13" s="1"/>
  <c r="M778" i="13"/>
  <c r="J778" i="13"/>
  <c r="G778" i="13"/>
  <c r="H778" i="13" s="1"/>
  <c r="F778" i="13"/>
  <c r="E778" i="13"/>
  <c r="D778" i="13"/>
  <c r="C778" i="13"/>
  <c r="T778" i="13" s="1"/>
  <c r="B778" i="13"/>
  <c r="M777" i="13"/>
  <c r="J777" i="13"/>
  <c r="G777" i="13"/>
  <c r="F777" i="13"/>
  <c r="E777" i="13"/>
  <c r="D777" i="13"/>
  <c r="C777" i="13"/>
  <c r="N777" i="13" s="1"/>
  <c r="O777" i="13" s="1"/>
  <c r="B777" i="13"/>
  <c r="M776" i="13"/>
  <c r="G776" i="13"/>
  <c r="F776" i="13"/>
  <c r="E776" i="13"/>
  <c r="D776" i="13"/>
  <c r="K776" i="13" s="1"/>
  <c r="L776" i="13" s="1"/>
  <c r="C776" i="13"/>
  <c r="B776" i="13"/>
  <c r="M775" i="13"/>
  <c r="G775" i="13"/>
  <c r="F775" i="13"/>
  <c r="E775" i="13"/>
  <c r="D775" i="13"/>
  <c r="H775" i="13" s="1"/>
  <c r="C775" i="13"/>
  <c r="N775" i="13" s="1"/>
  <c r="Q775" i="13" s="1"/>
  <c r="B775" i="13"/>
  <c r="M774" i="13"/>
  <c r="J774" i="13"/>
  <c r="G774" i="13"/>
  <c r="K774" i="13" s="1"/>
  <c r="L774" i="13" s="1"/>
  <c r="F774" i="13"/>
  <c r="E774" i="13"/>
  <c r="D774" i="13"/>
  <c r="C774" i="13"/>
  <c r="T774" i="13" s="1"/>
  <c r="B774" i="13"/>
  <c r="M773" i="13"/>
  <c r="G773" i="13"/>
  <c r="F773" i="13"/>
  <c r="E773" i="13"/>
  <c r="D773" i="13"/>
  <c r="C773" i="13"/>
  <c r="N773" i="13" s="1"/>
  <c r="O773" i="13" s="1"/>
  <c r="B773" i="13"/>
  <c r="M772" i="13"/>
  <c r="J772" i="13"/>
  <c r="G772" i="13"/>
  <c r="F772" i="13"/>
  <c r="E772" i="13"/>
  <c r="D772" i="13"/>
  <c r="C772" i="13"/>
  <c r="N772" i="13" s="1"/>
  <c r="O772" i="13" s="1"/>
  <c r="B772" i="13"/>
  <c r="M771" i="13"/>
  <c r="G771" i="13"/>
  <c r="F771" i="13"/>
  <c r="E771" i="13"/>
  <c r="D771" i="13"/>
  <c r="C771" i="13"/>
  <c r="N771" i="13" s="1"/>
  <c r="B771" i="13"/>
  <c r="M770" i="13"/>
  <c r="G770" i="13"/>
  <c r="F770" i="13"/>
  <c r="E770" i="13"/>
  <c r="D770" i="13"/>
  <c r="K770" i="13" s="1"/>
  <c r="L770" i="13" s="1"/>
  <c r="C770" i="13"/>
  <c r="B770" i="13"/>
  <c r="M769" i="13"/>
  <c r="J769" i="13"/>
  <c r="G769" i="13"/>
  <c r="F769" i="13"/>
  <c r="E769" i="13"/>
  <c r="D769" i="13"/>
  <c r="C769" i="13"/>
  <c r="B769" i="13"/>
  <c r="M768" i="13"/>
  <c r="G768" i="13"/>
  <c r="F768" i="13"/>
  <c r="E768" i="13"/>
  <c r="D768" i="13"/>
  <c r="H768" i="13" s="1"/>
  <c r="C768" i="13"/>
  <c r="B768" i="13"/>
  <c r="M767" i="13"/>
  <c r="G767" i="13"/>
  <c r="F767" i="13"/>
  <c r="E767" i="13"/>
  <c r="D767" i="13"/>
  <c r="H767" i="13" s="1"/>
  <c r="C767" i="13"/>
  <c r="B767" i="13"/>
  <c r="M766" i="13"/>
  <c r="K766" i="13"/>
  <c r="L766" i="13" s="1"/>
  <c r="J766" i="13"/>
  <c r="H766" i="13"/>
  <c r="G766" i="13"/>
  <c r="F766" i="13"/>
  <c r="E766" i="13"/>
  <c r="D766" i="13"/>
  <c r="C766" i="13"/>
  <c r="T766" i="13" s="1"/>
  <c r="B766" i="13"/>
  <c r="M765" i="13"/>
  <c r="J765" i="13"/>
  <c r="G765" i="13"/>
  <c r="F765" i="13"/>
  <c r="E765" i="13"/>
  <c r="D765" i="13"/>
  <c r="H765" i="13" s="1"/>
  <c r="C765" i="13"/>
  <c r="B765" i="13"/>
  <c r="M764" i="13"/>
  <c r="G764" i="13"/>
  <c r="F764" i="13"/>
  <c r="E764" i="13"/>
  <c r="D764" i="13"/>
  <c r="J764" i="13" s="1"/>
  <c r="C764" i="13"/>
  <c r="B764" i="13"/>
  <c r="M763" i="13"/>
  <c r="G763" i="13"/>
  <c r="F763" i="13"/>
  <c r="E763" i="13"/>
  <c r="D763" i="13"/>
  <c r="C763" i="13"/>
  <c r="B763" i="13"/>
  <c r="M762" i="13"/>
  <c r="H762" i="13"/>
  <c r="G762" i="13"/>
  <c r="F762" i="13"/>
  <c r="E762" i="13"/>
  <c r="D762" i="13"/>
  <c r="K762" i="13" s="1"/>
  <c r="L762" i="13" s="1"/>
  <c r="C762" i="13"/>
  <c r="N762" i="13" s="1"/>
  <c r="O762" i="13" s="1"/>
  <c r="B762" i="13"/>
  <c r="N761" i="13"/>
  <c r="M761" i="13"/>
  <c r="G761" i="13"/>
  <c r="F761" i="13"/>
  <c r="E761" i="13"/>
  <c r="D761" i="13"/>
  <c r="C761" i="13"/>
  <c r="B761" i="13"/>
  <c r="M760" i="13"/>
  <c r="G760" i="13"/>
  <c r="F760" i="13"/>
  <c r="E760" i="13"/>
  <c r="D760" i="13"/>
  <c r="C760" i="13"/>
  <c r="B760" i="13"/>
  <c r="M759" i="13"/>
  <c r="G759" i="13"/>
  <c r="F759" i="13"/>
  <c r="E759" i="13"/>
  <c r="D759" i="13"/>
  <c r="C759" i="13"/>
  <c r="T759" i="13" s="1"/>
  <c r="B759" i="13"/>
  <c r="M758" i="13"/>
  <c r="G758" i="13"/>
  <c r="F758" i="13"/>
  <c r="E758" i="13"/>
  <c r="D758" i="13"/>
  <c r="C758" i="13"/>
  <c r="N758" i="13" s="1"/>
  <c r="B758" i="13"/>
  <c r="M757" i="13"/>
  <c r="K757" i="13"/>
  <c r="L757" i="13" s="1"/>
  <c r="J757" i="13"/>
  <c r="H757" i="13"/>
  <c r="G757" i="13"/>
  <c r="F757" i="13"/>
  <c r="E757" i="13"/>
  <c r="D757" i="13"/>
  <c r="C757" i="13"/>
  <c r="T757" i="13" s="1"/>
  <c r="B757" i="13"/>
  <c r="M756" i="13"/>
  <c r="K756" i="13"/>
  <c r="L756" i="13" s="1"/>
  <c r="G756" i="13"/>
  <c r="F756" i="13"/>
  <c r="E756" i="13"/>
  <c r="D756" i="13"/>
  <c r="J756" i="13" s="1"/>
  <c r="C756" i="13"/>
  <c r="N756" i="13" s="1"/>
  <c r="S756" i="13" s="1"/>
  <c r="B756" i="13"/>
  <c r="M755" i="13"/>
  <c r="G755" i="13"/>
  <c r="F755" i="13"/>
  <c r="E755" i="13"/>
  <c r="D755" i="13"/>
  <c r="C755" i="13"/>
  <c r="B755" i="13"/>
  <c r="M754" i="13"/>
  <c r="H754" i="13"/>
  <c r="G754" i="13"/>
  <c r="F754" i="13"/>
  <c r="E754" i="13"/>
  <c r="D754" i="13"/>
  <c r="C754" i="13"/>
  <c r="N754" i="13" s="1"/>
  <c r="O754" i="13" s="1"/>
  <c r="B754" i="13"/>
  <c r="M753" i="13"/>
  <c r="K753" i="13"/>
  <c r="L753" i="13" s="1"/>
  <c r="G753" i="13"/>
  <c r="F753" i="13"/>
  <c r="E753" i="13"/>
  <c r="D753" i="13"/>
  <c r="J753" i="13" s="1"/>
  <c r="C753" i="13"/>
  <c r="B753" i="13"/>
  <c r="M752" i="13"/>
  <c r="G752" i="13"/>
  <c r="F752" i="13"/>
  <c r="E752" i="13"/>
  <c r="D752" i="13"/>
  <c r="K752" i="13" s="1"/>
  <c r="L752" i="13" s="1"/>
  <c r="C752" i="13"/>
  <c r="B752" i="13"/>
  <c r="M751" i="13"/>
  <c r="G751" i="13"/>
  <c r="F751" i="13"/>
  <c r="E751" i="13"/>
  <c r="D751" i="13"/>
  <c r="C751" i="13"/>
  <c r="B751" i="13"/>
  <c r="M750" i="13"/>
  <c r="G750" i="13"/>
  <c r="F750" i="13"/>
  <c r="E750" i="13"/>
  <c r="D750" i="13"/>
  <c r="K750" i="13" s="1"/>
  <c r="L750" i="13" s="1"/>
  <c r="C750" i="13"/>
  <c r="B750" i="13"/>
  <c r="M749" i="13"/>
  <c r="K749" i="13"/>
  <c r="L749" i="13" s="1"/>
  <c r="J749" i="13"/>
  <c r="H749" i="13"/>
  <c r="G749" i="13"/>
  <c r="F749" i="13"/>
  <c r="E749" i="13"/>
  <c r="D749" i="13"/>
  <c r="C749" i="13"/>
  <c r="T749" i="13" s="1"/>
  <c r="B749" i="13"/>
  <c r="M748" i="13"/>
  <c r="K748" i="13"/>
  <c r="L748" i="13" s="1"/>
  <c r="G748" i="13"/>
  <c r="F748" i="13"/>
  <c r="E748" i="13"/>
  <c r="D748" i="13"/>
  <c r="C748" i="13"/>
  <c r="N748" i="13" s="1"/>
  <c r="S748" i="13" s="1"/>
  <c r="B748" i="13"/>
  <c r="M747" i="13"/>
  <c r="G747" i="13"/>
  <c r="F747" i="13"/>
  <c r="E747" i="13"/>
  <c r="D747" i="13"/>
  <c r="C747" i="13"/>
  <c r="T747" i="13" s="1"/>
  <c r="B747" i="13"/>
  <c r="M746" i="13"/>
  <c r="H746" i="13"/>
  <c r="G746" i="13"/>
  <c r="F746" i="13"/>
  <c r="E746" i="13"/>
  <c r="D746" i="13"/>
  <c r="C746" i="13"/>
  <c r="N746" i="13" s="1"/>
  <c r="O746" i="13" s="1"/>
  <c r="B746" i="13"/>
  <c r="M745" i="13"/>
  <c r="K745" i="13"/>
  <c r="L745" i="13" s="1"/>
  <c r="G745" i="13"/>
  <c r="F745" i="13"/>
  <c r="E745" i="13"/>
  <c r="D745" i="13"/>
  <c r="J745" i="13" s="1"/>
  <c r="C745" i="13"/>
  <c r="B745" i="13"/>
  <c r="M744" i="13"/>
  <c r="G744" i="13"/>
  <c r="F744" i="13"/>
  <c r="E744" i="13"/>
  <c r="D744" i="13"/>
  <c r="K744" i="13" s="1"/>
  <c r="L744" i="13" s="1"/>
  <c r="C744" i="13"/>
  <c r="B744" i="13"/>
  <c r="M743" i="13"/>
  <c r="G743" i="13"/>
  <c r="F743" i="13"/>
  <c r="E743" i="13"/>
  <c r="D743" i="13"/>
  <c r="J743" i="13" s="1"/>
  <c r="C743" i="13"/>
  <c r="B743" i="13"/>
  <c r="M742" i="13"/>
  <c r="G742" i="13"/>
  <c r="F742" i="13"/>
  <c r="E742" i="13"/>
  <c r="D742" i="13"/>
  <c r="K742" i="13" s="1"/>
  <c r="L742" i="13" s="1"/>
  <c r="C742" i="13"/>
  <c r="B742" i="13"/>
  <c r="N741" i="13"/>
  <c r="M741" i="13"/>
  <c r="K741" i="13"/>
  <c r="L741" i="13" s="1"/>
  <c r="J741" i="13"/>
  <c r="H741" i="13"/>
  <c r="G741" i="13"/>
  <c r="F741" i="13"/>
  <c r="E741" i="13"/>
  <c r="D741" i="13"/>
  <c r="C741" i="13"/>
  <c r="T741" i="13" s="1"/>
  <c r="B741" i="13"/>
  <c r="M740" i="13"/>
  <c r="G740" i="13"/>
  <c r="F740" i="13"/>
  <c r="E740" i="13"/>
  <c r="D740" i="13"/>
  <c r="K740" i="13" s="1"/>
  <c r="L740" i="13" s="1"/>
  <c r="C740" i="13"/>
  <c r="B740" i="13"/>
  <c r="N739" i="13"/>
  <c r="M739" i="13"/>
  <c r="G739" i="13"/>
  <c r="F739" i="13"/>
  <c r="E739" i="13"/>
  <c r="D739" i="13"/>
  <c r="C739" i="13"/>
  <c r="T739" i="13" s="1"/>
  <c r="B739" i="13"/>
  <c r="T738" i="13"/>
  <c r="M738" i="13"/>
  <c r="G738" i="13"/>
  <c r="H738" i="13" s="1"/>
  <c r="F738" i="13"/>
  <c r="E738" i="13"/>
  <c r="D738" i="13"/>
  <c r="C738" i="13"/>
  <c r="N738" i="13" s="1"/>
  <c r="P738" i="13" s="1"/>
  <c r="B738" i="13"/>
  <c r="N737" i="13"/>
  <c r="M737" i="13"/>
  <c r="K737" i="13"/>
  <c r="L737" i="13" s="1"/>
  <c r="J737" i="13"/>
  <c r="H737" i="13"/>
  <c r="G737" i="13"/>
  <c r="F737" i="13"/>
  <c r="E737" i="13"/>
  <c r="D737" i="13"/>
  <c r="C737" i="13"/>
  <c r="T737" i="13" s="1"/>
  <c r="B737" i="13"/>
  <c r="M736" i="13"/>
  <c r="G736" i="13"/>
  <c r="F736" i="13"/>
  <c r="E736" i="13"/>
  <c r="D736" i="13"/>
  <c r="J736" i="13" s="1"/>
  <c r="C736" i="13"/>
  <c r="B736" i="13"/>
  <c r="N735" i="13"/>
  <c r="M735" i="13"/>
  <c r="K735" i="13"/>
  <c r="L735" i="13" s="1"/>
  <c r="J735" i="13"/>
  <c r="G735" i="13"/>
  <c r="F735" i="13"/>
  <c r="E735" i="13"/>
  <c r="D735" i="13"/>
  <c r="C735" i="13"/>
  <c r="T735" i="13" s="1"/>
  <c r="B735" i="13"/>
  <c r="M734" i="13"/>
  <c r="G734" i="13"/>
  <c r="F734" i="13"/>
  <c r="E734" i="13"/>
  <c r="D734" i="13"/>
  <c r="C734" i="13"/>
  <c r="B734" i="13"/>
  <c r="N733" i="13"/>
  <c r="M733" i="13"/>
  <c r="K733" i="13"/>
  <c r="L733" i="13" s="1"/>
  <c r="J733" i="13"/>
  <c r="H733" i="13"/>
  <c r="G733" i="13"/>
  <c r="F733" i="13"/>
  <c r="E733" i="13"/>
  <c r="D733" i="13"/>
  <c r="C733" i="13"/>
  <c r="T733" i="13" s="1"/>
  <c r="B733" i="13"/>
  <c r="T732" i="13"/>
  <c r="M732" i="13"/>
  <c r="L732" i="13"/>
  <c r="K732" i="13"/>
  <c r="G732" i="13"/>
  <c r="F732" i="13"/>
  <c r="E732" i="13"/>
  <c r="D732" i="13"/>
  <c r="J732" i="13" s="1"/>
  <c r="C732" i="13"/>
  <c r="N732" i="13" s="1"/>
  <c r="Q732" i="13" s="1"/>
  <c r="B732" i="13"/>
  <c r="M731" i="13"/>
  <c r="G731" i="13"/>
  <c r="F731" i="13"/>
  <c r="E731" i="13"/>
  <c r="D731" i="13"/>
  <c r="N731" i="13" s="1"/>
  <c r="S731" i="13" s="1"/>
  <c r="C731" i="13"/>
  <c r="B731" i="13"/>
  <c r="M730" i="13"/>
  <c r="G730" i="13"/>
  <c r="F730" i="13"/>
  <c r="E730" i="13"/>
  <c r="D730" i="13"/>
  <c r="C730" i="13"/>
  <c r="B730" i="13"/>
  <c r="N729" i="13"/>
  <c r="P729" i="13" s="1"/>
  <c r="M729" i="13"/>
  <c r="K729" i="13"/>
  <c r="L729" i="13" s="1"/>
  <c r="J729" i="13"/>
  <c r="H729" i="13"/>
  <c r="G729" i="13"/>
  <c r="F729" i="13"/>
  <c r="E729" i="13"/>
  <c r="D729" i="13"/>
  <c r="C729" i="13"/>
  <c r="T729" i="13" s="1"/>
  <c r="B729" i="13"/>
  <c r="M728" i="13"/>
  <c r="K728" i="13"/>
  <c r="L728" i="13" s="1"/>
  <c r="H728" i="13"/>
  <c r="G728" i="13"/>
  <c r="F728" i="13"/>
  <c r="E728" i="13"/>
  <c r="D728" i="13"/>
  <c r="J728" i="13" s="1"/>
  <c r="C728" i="13"/>
  <c r="B728" i="13"/>
  <c r="M727" i="13"/>
  <c r="J727" i="13"/>
  <c r="H727" i="13"/>
  <c r="G727" i="13"/>
  <c r="F727" i="13"/>
  <c r="E727" i="13"/>
  <c r="D727" i="13"/>
  <c r="N727" i="13" s="1"/>
  <c r="R727" i="13" s="1"/>
  <c r="C727" i="13"/>
  <c r="B727" i="13"/>
  <c r="M726" i="13"/>
  <c r="K726" i="13"/>
  <c r="L726" i="13" s="1"/>
  <c r="G726" i="13"/>
  <c r="F726" i="13"/>
  <c r="E726" i="13"/>
  <c r="D726" i="13"/>
  <c r="J726" i="13" s="1"/>
  <c r="C726" i="13"/>
  <c r="B726" i="13"/>
  <c r="N725" i="13"/>
  <c r="M725" i="13"/>
  <c r="G725" i="13"/>
  <c r="F725" i="13"/>
  <c r="E725" i="13"/>
  <c r="D725" i="13"/>
  <c r="C725" i="13"/>
  <c r="T725" i="13" s="1"/>
  <c r="B725" i="13"/>
  <c r="M724" i="13"/>
  <c r="G724" i="13"/>
  <c r="K724" i="13" s="1"/>
  <c r="L724" i="13" s="1"/>
  <c r="F724" i="13"/>
  <c r="E724" i="13"/>
  <c r="D724" i="13"/>
  <c r="J724" i="13" s="1"/>
  <c r="C724" i="13"/>
  <c r="N724" i="13" s="1"/>
  <c r="P724" i="13" s="1"/>
  <c r="B724" i="13"/>
  <c r="M723" i="13"/>
  <c r="J723" i="13"/>
  <c r="H723" i="13"/>
  <c r="G723" i="13"/>
  <c r="F723" i="13"/>
  <c r="E723" i="13"/>
  <c r="D723" i="13"/>
  <c r="K723" i="13" s="1"/>
  <c r="L723" i="13" s="1"/>
  <c r="C723" i="13"/>
  <c r="N723" i="13" s="1"/>
  <c r="R723" i="13" s="1"/>
  <c r="B723" i="13"/>
  <c r="M722" i="13"/>
  <c r="K722" i="13"/>
  <c r="L722" i="13" s="1"/>
  <c r="G722" i="13"/>
  <c r="F722" i="13"/>
  <c r="E722" i="13"/>
  <c r="D722" i="13"/>
  <c r="J722" i="13" s="1"/>
  <c r="C722" i="13"/>
  <c r="B722" i="13"/>
  <c r="N721" i="13"/>
  <c r="M721" i="13"/>
  <c r="G721" i="13"/>
  <c r="F721" i="13"/>
  <c r="E721" i="13"/>
  <c r="D721" i="13"/>
  <c r="C721" i="13"/>
  <c r="T721" i="13" s="1"/>
  <c r="B721" i="13"/>
  <c r="O720" i="13"/>
  <c r="M720" i="13"/>
  <c r="G720" i="13"/>
  <c r="K720" i="13" s="1"/>
  <c r="L720" i="13" s="1"/>
  <c r="F720" i="13"/>
  <c r="E720" i="13"/>
  <c r="D720" i="13"/>
  <c r="J720" i="13" s="1"/>
  <c r="C720" i="13"/>
  <c r="N720" i="13" s="1"/>
  <c r="P720" i="13" s="1"/>
  <c r="B720" i="13"/>
  <c r="M719" i="13"/>
  <c r="J719" i="13"/>
  <c r="H719" i="13"/>
  <c r="G719" i="13"/>
  <c r="F719" i="13"/>
  <c r="E719" i="13"/>
  <c r="D719" i="13"/>
  <c r="K719" i="13" s="1"/>
  <c r="L719" i="13" s="1"/>
  <c r="C719" i="13"/>
  <c r="N719" i="13" s="1"/>
  <c r="B719" i="13"/>
  <c r="T718" i="13"/>
  <c r="M718" i="13"/>
  <c r="K718" i="13"/>
  <c r="L718" i="13" s="1"/>
  <c r="G718" i="13"/>
  <c r="F718" i="13"/>
  <c r="E718" i="13"/>
  <c r="D718" i="13"/>
  <c r="J718" i="13" s="1"/>
  <c r="C718" i="13"/>
  <c r="B718" i="13"/>
  <c r="M717" i="13"/>
  <c r="G717" i="13"/>
  <c r="F717" i="13"/>
  <c r="E717" i="13"/>
  <c r="D717" i="13"/>
  <c r="C717" i="13"/>
  <c r="B717" i="13"/>
  <c r="M716" i="13"/>
  <c r="G716" i="13"/>
  <c r="K716" i="13" s="1"/>
  <c r="L716" i="13" s="1"/>
  <c r="F716" i="13"/>
  <c r="E716" i="13"/>
  <c r="D716" i="13"/>
  <c r="J716" i="13" s="1"/>
  <c r="C716" i="13"/>
  <c r="N716" i="13" s="1"/>
  <c r="P716" i="13" s="1"/>
  <c r="B716" i="13"/>
  <c r="M715" i="13"/>
  <c r="H715" i="13"/>
  <c r="G715" i="13"/>
  <c r="F715" i="13"/>
  <c r="E715" i="13"/>
  <c r="D715" i="13"/>
  <c r="K715" i="13" s="1"/>
  <c r="L715" i="13" s="1"/>
  <c r="C715" i="13"/>
  <c r="N715" i="13" s="1"/>
  <c r="B715" i="13"/>
  <c r="M714" i="13"/>
  <c r="K714" i="13"/>
  <c r="L714" i="13" s="1"/>
  <c r="G714" i="13"/>
  <c r="F714" i="13"/>
  <c r="E714" i="13"/>
  <c r="D714" i="13"/>
  <c r="J714" i="13" s="1"/>
  <c r="C714" i="13"/>
  <c r="B714" i="13"/>
  <c r="M713" i="13"/>
  <c r="G713" i="13"/>
  <c r="F713" i="13"/>
  <c r="E713" i="13"/>
  <c r="D713" i="13"/>
  <c r="C713" i="13"/>
  <c r="B713" i="13"/>
  <c r="M712" i="13"/>
  <c r="G712" i="13"/>
  <c r="K712" i="13" s="1"/>
  <c r="L712" i="13" s="1"/>
  <c r="F712" i="13"/>
  <c r="E712" i="13"/>
  <c r="D712" i="13"/>
  <c r="J712" i="13" s="1"/>
  <c r="C712" i="13"/>
  <c r="N712" i="13" s="1"/>
  <c r="O712" i="13" s="1"/>
  <c r="B712" i="13"/>
  <c r="M711" i="13"/>
  <c r="G711" i="13"/>
  <c r="F711" i="13"/>
  <c r="E711" i="13"/>
  <c r="D711" i="13"/>
  <c r="C711" i="13"/>
  <c r="B711" i="13"/>
  <c r="M710" i="13"/>
  <c r="K710" i="13"/>
  <c r="L710" i="13" s="1"/>
  <c r="G710" i="13"/>
  <c r="F710" i="13"/>
  <c r="E710" i="13"/>
  <c r="D710" i="13"/>
  <c r="J710" i="13" s="1"/>
  <c r="C710" i="13"/>
  <c r="B710" i="13"/>
  <c r="N709" i="13"/>
  <c r="M709" i="13"/>
  <c r="G709" i="13"/>
  <c r="F709" i="13"/>
  <c r="E709" i="13"/>
  <c r="D709" i="13"/>
  <c r="C709" i="13"/>
  <c r="T709" i="13" s="1"/>
  <c r="B709" i="13"/>
  <c r="M708" i="13"/>
  <c r="K708" i="13"/>
  <c r="L708" i="13" s="1"/>
  <c r="G708" i="13"/>
  <c r="F708" i="13"/>
  <c r="E708" i="13"/>
  <c r="D708" i="13"/>
  <c r="J708" i="13" s="1"/>
  <c r="C708" i="13"/>
  <c r="N708" i="13" s="1"/>
  <c r="P708" i="13" s="1"/>
  <c r="B708" i="13"/>
  <c r="M707" i="13"/>
  <c r="G707" i="13"/>
  <c r="F707" i="13"/>
  <c r="E707" i="13"/>
  <c r="D707" i="13"/>
  <c r="J707" i="13" s="1"/>
  <c r="C707" i="13"/>
  <c r="B707" i="13"/>
  <c r="M706" i="13"/>
  <c r="G706" i="13"/>
  <c r="F706" i="13"/>
  <c r="E706" i="13"/>
  <c r="D706" i="13"/>
  <c r="J706" i="13" s="1"/>
  <c r="C706" i="13"/>
  <c r="B706" i="13"/>
  <c r="M705" i="13"/>
  <c r="K705" i="13"/>
  <c r="L705" i="13" s="1"/>
  <c r="G705" i="13"/>
  <c r="F705" i="13"/>
  <c r="E705" i="13"/>
  <c r="D705" i="13"/>
  <c r="J705" i="13" s="1"/>
  <c r="C705" i="13"/>
  <c r="B705" i="13"/>
  <c r="M704" i="13"/>
  <c r="G704" i="13"/>
  <c r="F704" i="13"/>
  <c r="E704" i="13"/>
  <c r="D704" i="13"/>
  <c r="C704" i="13"/>
  <c r="B704" i="13"/>
  <c r="M703" i="13"/>
  <c r="G703" i="13"/>
  <c r="F703" i="13"/>
  <c r="E703" i="13"/>
  <c r="D703" i="13"/>
  <c r="C703" i="13"/>
  <c r="B703" i="13"/>
  <c r="M702" i="13"/>
  <c r="G702" i="13"/>
  <c r="F702" i="13"/>
  <c r="E702" i="13"/>
  <c r="D702" i="13"/>
  <c r="C702" i="13"/>
  <c r="B702" i="13"/>
  <c r="M701" i="13"/>
  <c r="G701" i="13"/>
  <c r="F701" i="13"/>
  <c r="E701" i="13"/>
  <c r="D701" i="13"/>
  <c r="C701" i="13"/>
  <c r="B701" i="13"/>
  <c r="M700" i="13"/>
  <c r="G700" i="13"/>
  <c r="K700" i="13" s="1"/>
  <c r="L700" i="13" s="1"/>
  <c r="F700" i="13"/>
  <c r="E700" i="13"/>
  <c r="D700" i="13"/>
  <c r="C700" i="13"/>
  <c r="N700" i="13" s="1"/>
  <c r="O700" i="13" s="1"/>
  <c r="B700" i="13"/>
  <c r="M699" i="13"/>
  <c r="G699" i="13"/>
  <c r="F699" i="13"/>
  <c r="E699" i="13"/>
  <c r="D699" i="13"/>
  <c r="C699" i="13"/>
  <c r="N699" i="13" s="1"/>
  <c r="O699" i="13" s="1"/>
  <c r="B699" i="13"/>
  <c r="M698" i="13"/>
  <c r="G698" i="13"/>
  <c r="F698" i="13"/>
  <c r="E698" i="13"/>
  <c r="D698" i="13"/>
  <c r="C698" i="13"/>
  <c r="B698" i="13"/>
  <c r="N697" i="13"/>
  <c r="S697" i="13" s="1"/>
  <c r="M697" i="13"/>
  <c r="H697" i="13"/>
  <c r="G697" i="13"/>
  <c r="F697" i="13"/>
  <c r="E697" i="13"/>
  <c r="D697" i="13"/>
  <c r="J697" i="13" s="1"/>
  <c r="C697" i="13"/>
  <c r="B697" i="13"/>
  <c r="M696" i="13"/>
  <c r="K696" i="13"/>
  <c r="L696" i="13" s="1"/>
  <c r="G696" i="13"/>
  <c r="F696" i="13"/>
  <c r="E696" i="13"/>
  <c r="D696" i="13"/>
  <c r="C696" i="13"/>
  <c r="B696" i="13"/>
  <c r="M695" i="13"/>
  <c r="G695" i="13"/>
  <c r="F695" i="13"/>
  <c r="E695" i="13"/>
  <c r="D695" i="13"/>
  <c r="C695" i="13"/>
  <c r="B695" i="13"/>
  <c r="M694" i="13"/>
  <c r="K694" i="13"/>
  <c r="L694" i="13" s="1"/>
  <c r="G694" i="13"/>
  <c r="F694" i="13"/>
  <c r="E694" i="13"/>
  <c r="D694" i="13"/>
  <c r="J694" i="13" s="1"/>
  <c r="C694" i="13"/>
  <c r="N694" i="13" s="1"/>
  <c r="Q694" i="13" s="1"/>
  <c r="B694" i="13"/>
  <c r="M693" i="13"/>
  <c r="G693" i="13"/>
  <c r="F693" i="13"/>
  <c r="E693" i="13"/>
  <c r="D693" i="13"/>
  <c r="C693" i="13"/>
  <c r="B693" i="13"/>
  <c r="M692" i="13"/>
  <c r="G692" i="13"/>
  <c r="F692" i="13"/>
  <c r="E692" i="13"/>
  <c r="D692" i="13"/>
  <c r="C692" i="13"/>
  <c r="B692" i="13"/>
  <c r="O691" i="13"/>
  <c r="M691" i="13"/>
  <c r="H691" i="13"/>
  <c r="G691" i="13"/>
  <c r="F691" i="13"/>
  <c r="E691" i="13"/>
  <c r="D691" i="13"/>
  <c r="K691" i="13" s="1"/>
  <c r="L691" i="13" s="1"/>
  <c r="C691" i="13"/>
  <c r="N691" i="13" s="1"/>
  <c r="B691" i="13"/>
  <c r="M690" i="13"/>
  <c r="K690" i="13"/>
  <c r="L690" i="13" s="1"/>
  <c r="G690" i="13"/>
  <c r="F690" i="13"/>
  <c r="E690" i="13"/>
  <c r="D690" i="13"/>
  <c r="J690" i="13" s="1"/>
  <c r="C690" i="13"/>
  <c r="B690" i="13"/>
  <c r="M689" i="13"/>
  <c r="K689" i="13"/>
  <c r="L689" i="13" s="1"/>
  <c r="G689" i="13"/>
  <c r="F689" i="13"/>
  <c r="E689" i="13"/>
  <c r="D689" i="13"/>
  <c r="J689" i="13" s="1"/>
  <c r="C689" i="13"/>
  <c r="B689" i="13"/>
  <c r="M688" i="13"/>
  <c r="J688" i="13"/>
  <c r="G688" i="13"/>
  <c r="K688" i="13" s="1"/>
  <c r="L688" i="13" s="1"/>
  <c r="F688" i="13"/>
  <c r="E688" i="13"/>
  <c r="D688" i="13"/>
  <c r="H688" i="13" s="1"/>
  <c r="C688" i="13"/>
  <c r="T688" i="13" s="1"/>
  <c r="B688" i="13"/>
  <c r="M687" i="13"/>
  <c r="J687" i="13"/>
  <c r="G687" i="13"/>
  <c r="F687" i="13"/>
  <c r="E687" i="13"/>
  <c r="D687" i="13"/>
  <c r="H687" i="13" s="1"/>
  <c r="C687" i="13"/>
  <c r="B687" i="13"/>
  <c r="M686" i="13"/>
  <c r="G686" i="13"/>
  <c r="F686" i="13"/>
  <c r="E686" i="13"/>
  <c r="D686" i="13"/>
  <c r="C686" i="13"/>
  <c r="B686" i="13"/>
  <c r="N685" i="13"/>
  <c r="M685" i="13"/>
  <c r="H685" i="13"/>
  <c r="G685" i="13"/>
  <c r="F685" i="13"/>
  <c r="E685" i="13"/>
  <c r="D685" i="13"/>
  <c r="J685" i="13" s="1"/>
  <c r="C685" i="13"/>
  <c r="B685" i="13"/>
  <c r="M684" i="13"/>
  <c r="G684" i="13"/>
  <c r="F684" i="13"/>
  <c r="E684" i="13"/>
  <c r="D684" i="13"/>
  <c r="C684" i="13"/>
  <c r="B684" i="13"/>
  <c r="M683" i="13"/>
  <c r="H683" i="13"/>
  <c r="G683" i="13"/>
  <c r="F683" i="13"/>
  <c r="E683" i="13"/>
  <c r="D683" i="13"/>
  <c r="J683" i="13" s="1"/>
  <c r="C683" i="13"/>
  <c r="B683" i="13"/>
  <c r="M682" i="13"/>
  <c r="J682" i="13"/>
  <c r="H682" i="13"/>
  <c r="G682" i="13"/>
  <c r="K682" i="13" s="1"/>
  <c r="L682" i="13" s="1"/>
  <c r="F682" i="13"/>
  <c r="E682" i="13"/>
  <c r="D682" i="13"/>
  <c r="C682" i="13"/>
  <c r="T682" i="13" s="1"/>
  <c r="B682" i="13"/>
  <c r="M681" i="13"/>
  <c r="G681" i="13"/>
  <c r="K681" i="13" s="1"/>
  <c r="L681" i="13" s="1"/>
  <c r="F681" i="13"/>
  <c r="E681" i="13"/>
  <c r="D681" i="13"/>
  <c r="C681" i="13"/>
  <c r="B681" i="13"/>
  <c r="M680" i="13"/>
  <c r="G680" i="13"/>
  <c r="F680" i="13"/>
  <c r="E680" i="13"/>
  <c r="D680" i="13"/>
  <c r="J680" i="13" s="1"/>
  <c r="C680" i="13"/>
  <c r="B680" i="13"/>
  <c r="M679" i="13"/>
  <c r="J679" i="13"/>
  <c r="G679" i="13"/>
  <c r="F679" i="13"/>
  <c r="E679" i="13"/>
  <c r="D679" i="13"/>
  <c r="H679" i="13" s="1"/>
  <c r="C679" i="13"/>
  <c r="B679" i="13"/>
  <c r="N678" i="13"/>
  <c r="M678" i="13"/>
  <c r="G678" i="13"/>
  <c r="F678" i="13"/>
  <c r="E678" i="13"/>
  <c r="D678" i="13"/>
  <c r="C678" i="13"/>
  <c r="B678" i="13"/>
  <c r="M677" i="13"/>
  <c r="G677" i="13"/>
  <c r="F677" i="13"/>
  <c r="E677" i="13"/>
  <c r="D677" i="13"/>
  <c r="C677" i="13"/>
  <c r="B677" i="13"/>
  <c r="M676" i="13"/>
  <c r="J676" i="13"/>
  <c r="G676" i="13"/>
  <c r="F676" i="13"/>
  <c r="E676" i="13"/>
  <c r="D676" i="13"/>
  <c r="C676" i="13"/>
  <c r="T676" i="13" s="1"/>
  <c r="B676" i="13"/>
  <c r="M675" i="13"/>
  <c r="J675" i="13"/>
  <c r="G675" i="13"/>
  <c r="F675" i="13"/>
  <c r="E675" i="13"/>
  <c r="D675" i="13"/>
  <c r="C675" i="13"/>
  <c r="B675" i="13"/>
  <c r="M674" i="13"/>
  <c r="J674" i="13"/>
  <c r="G674" i="13"/>
  <c r="F674" i="13"/>
  <c r="E674" i="13"/>
  <c r="D674" i="13"/>
  <c r="K674" i="13" s="1"/>
  <c r="L674" i="13" s="1"/>
  <c r="C674" i="13"/>
  <c r="T674" i="13" s="1"/>
  <c r="B674" i="13"/>
  <c r="M673" i="13"/>
  <c r="G673" i="13"/>
  <c r="F673" i="13"/>
  <c r="E673" i="13"/>
  <c r="D673" i="13"/>
  <c r="C673" i="13"/>
  <c r="T673" i="13" s="1"/>
  <c r="B673" i="13"/>
  <c r="M672" i="13"/>
  <c r="G672" i="13"/>
  <c r="F672" i="13"/>
  <c r="E672" i="13"/>
  <c r="D672" i="13"/>
  <c r="C672" i="13"/>
  <c r="B672" i="13"/>
  <c r="M671" i="13"/>
  <c r="J671" i="13"/>
  <c r="G671" i="13"/>
  <c r="F671" i="13"/>
  <c r="E671" i="13"/>
  <c r="D671" i="13"/>
  <c r="C671" i="13"/>
  <c r="N671" i="13" s="1"/>
  <c r="B671" i="13"/>
  <c r="M670" i="13"/>
  <c r="J670" i="13"/>
  <c r="G670" i="13"/>
  <c r="F670" i="13"/>
  <c r="E670" i="13"/>
  <c r="D670" i="13"/>
  <c r="H670" i="13" s="1"/>
  <c r="C670" i="13"/>
  <c r="B670" i="13"/>
  <c r="M669" i="13"/>
  <c r="G669" i="13"/>
  <c r="F669" i="13"/>
  <c r="E669" i="13"/>
  <c r="D669" i="13"/>
  <c r="K669" i="13" s="1"/>
  <c r="L669" i="13" s="1"/>
  <c r="C669" i="13"/>
  <c r="B669" i="13"/>
  <c r="M668" i="13"/>
  <c r="G668" i="13"/>
  <c r="F668" i="13"/>
  <c r="E668" i="13"/>
  <c r="D668" i="13"/>
  <c r="C668" i="13"/>
  <c r="T668" i="13" s="1"/>
  <c r="B668" i="13"/>
  <c r="M667" i="13"/>
  <c r="J667" i="13"/>
  <c r="H667" i="13"/>
  <c r="G667" i="13"/>
  <c r="K667" i="13" s="1"/>
  <c r="L667" i="13" s="1"/>
  <c r="F667" i="13"/>
  <c r="E667" i="13"/>
  <c r="D667" i="13"/>
  <c r="C667" i="13"/>
  <c r="N667" i="13" s="1"/>
  <c r="B667" i="13"/>
  <c r="N666" i="13"/>
  <c r="M666" i="13"/>
  <c r="K666" i="13"/>
  <c r="L666" i="13" s="1"/>
  <c r="J666" i="13"/>
  <c r="H666" i="13"/>
  <c r="G666" i="13"/>
  <c r="F666" i="13"/>
  <c r="E666" i="13"/>
  <c r="D666" i="13"/>
  <c r="C666" i="13"/>
  <c r="T666" i="13" s="1"/>
  <c r="B666" i="13"/>
  <c r="M665" i="13"/>
  <c r="G665" i="13"/>
  <c r="K665" i="13" s="1"/>
  <c r="L665" i="13" s="1"/>
  <c r="F665" i="13"/>
  <c r="E665" i="13"/>
  <c r="D665" i="13"/>
  <c r="C665" i="13"/>
  <c r="T665" i="13" s="1"/>
  <c r="B665" i="13"/>
  <c r="M664" i="13"/>
  <c r="J664" i="13"/>
  <c r="G664" i="13"/>
  <c r="F664" i="13"/>
  <c r="E664" i="13"/>
  <c r="D664" i="13"/>
  <c r="C664" i="13"/>
  <c r="B664" i="13"/>
  <c r="T663" i="13"/>
  <c r="M663" i="13"/>
  <c r="J663" i="13"/>
  <c r="H663" i="13"/>
  <c r="G663" i="13"/>
  <c r="K663" i="13" s="1"/>
  <c r="L663" i="13" s="1"/>
  <c r="F663" i="13"/>
  <c r="E663" i="13"/>
  <c r="D663" i="13"/>
  <c r="C663" i="13"/>
  <c r="N663" i="13" s="1"/>
  <c r="Q663" i="13" s="1"/>
  <c r="B663" i="13"/>
  <c r="N662" i="13"/>
  <c r="M662" i="13"/>
  <c r="K662" i="13"/>
  <c r="L662" i="13" s="1"/>
  <c r="J662" i="13"/>
  <c r="H662" i="13"/>
  <c r="G662" i="13"/>
  <c r="F662" i="13"/>
  <c r="E662" i="13"/>
  <c r="D662" i="13"/>
  <c r="C662" i="13"/>
  <c r="T662" i="13" s="1"/>
  <c r="B662" i="13"/>
  <c r="M661" i="13"/>
  <c r="G661" i="13"/>
  <c r="F661" i="13"/>
  <c r="E661" i="13"/>
  <c r="D661" i="13"/>
  <c r="C661" i="13"/>
  <c r="B661" i="13"/>
  <c r="M660" i="13"/>
  <c r="J660" i="13"/>
  <c r="G660" i="13"/>
  <c r="F660" i="13"/>
  <c r="E660" i="13"/>
  <c r="D660" i="13"/>
  <c r="C660" i="13"/>
  <c r="T660" i="13" s="1"/>
  <c r="B660" i="13"/>
  <c r="M659" i="13"/>
  <c r="J659" i="13"/>
  <c r="G659" i="13"/>
  <c r="K659" i="13" s="1"/>
  <c r="L659" i="13" s="1"/>
  <c r="F659" i="13"/>
  <c r="E659" i="13"/>
  <c r="D659" i="13"/>
  <c r="C659" i="13"/>
  <c r="B659" i="13"/>
  <c r="N658" i="13"/>
  <c r="M658" i="13"/>
  <c r="K658" i="13"/>
  <c r="L658" i="13" s="1"/>
  <c r="J658" i="13"/>
  <c r="H658" i="13"/>
  <c r="G658" i="13"/>
  <c r="F658" i="13"/>
  <c r="E658" i="13"/>
  <c r="D658" i="13"/>
  <c r="C658" i="13"/>
  <c r="T658" i="13" s="1"/>
  <c r="B658" i="13"/>
  <c r="M657" i="13"/>
  <c r="G657" i="13"/>
  <c r="F657" i="13"/>
  <c r="E657" i="13"/>
  <c r="D657" i="13"/>
  <c r="C657" i="13"/>
  <c r="T657" i="13" s="1"/>
  <c r="B657" i="13"/>
  <c r="M656" i="13"/>
  <c r="G656" i="13"/>
  <c r="F656" i="13"/>
  <c r="E656" i="13"/>
  <c r="D656" i="13"/>
  <c r="C656" i="13"/>
  <c r="B656" i="13"/>
  <c r="M655" i="13"/>
  <c r="L655" i="13"/>
  <c r="J655" i="13"/>
  <c r="G655" i="13"/>
  <c r="K655" i="13" s="1"/>
  <c r="F655" i="13"/>
  <c r="E655" i="13"/>
  <c r="D655" i="13"/>
  <c r="C655" i="13"/>
  <c r="N655" i="13" s="1"/>
  <c r="B655" i="13"/>
  <c r="N654" i="13"/>
  <c r="S654" i="13" s="1"/>
  <c r="M654" i="13"/>
  <c r="K654" i="13"/>
  <c r="L654" i="13" s="1"/>
  <c r="J654" i="13"/>
  <c r="H654" i="13"/>
  <c r="G654" i="13"/>
  <c r="F654" i="13"/>
  <c r="E654" i="13"/>
  <c r="D654" i="13"/>
  <c r="C654" i="13"/>
  <c r="T654" i="13" s="1"/>
  <c r="B654" i="13"/>
  <c r="M653" i="13"/>
  <c r="K653" i="13"/>
  <c r="L653" i="13" s="1"/>
  <c r="G653" i="13"/>
  <c r="F653" i="13"/>
  <c r="E653" i="13"/>
  <c r="D653" i="13"/>
  <c r="C653" i="13"/>
  <c r="B653" i="13"/>
  <c r="M652" i="13"/>
  <c r="G652" i="13"/>
  <c r="F652" i="13"/>
  <c r="E652" i="13"/>
  <c r="D652" i="13"/>
  <c r="C652" i="13"/>
  <c r="T652" i="13" s="1"/>
  <c r="B652" i="13"/>
  <c r="M651" i="13"/>
  <c r="J651" i="13"/>
  <c r="H651" i="13"/>
  <c r="G651" i="13"/>
  <c r="K651" i="13" s="1"/>
  <c r="L651" i="13" s="1"/>
  <c r="F651" i="13"/>
  <c r="E651" i="13"/>
  <c r="D651" i="13"/>
  <c r="C651" i="13"/>
  <c r="N651" i="13" s="1"/>
  <c r="B651" i="13"/>
  <c r="N650" i="13"/>
  <c r="M650" i="13"/>
  <c r="K650" i="13"/>
  <c r="L650" i="13" s="1"/>
  <c r="J650" i="13"/>
  <c r="H650" i="13"/>
  <c r="G650" i="13"/>
  <c r="F650" i="13"/>
  <c r="E650" i="13"/>
  <c r="D650" i="13"/>
  <c r="C650" i="13"/>
  <c r="T650" i="13" s="1"/>
  <c r="B650" i="13"/>
  <c r="M649" i="13"/>
  <c r="G649" i="13"/>
  <c r="K649" i="13" s="1"/>
  <c r="L649" i="13" s="1"/>
  <c r="F649" i="13"/>
  <c r="E649" i="13"/>
  <c r="D649" i="13"/>
  <c r="C649" i="13"/>
  <c r="T649" i="13" s="1"/>
  <c r="B649" i="13"/>
  <c r="M648" i="13"/>
  <c r="J648" i="13"/>
  <c r="G648" i="13"/>
  <c r="F648" i="13"/>
  <c r="E648" i="13"/>
  <c r="D648" i="13"/>
  <c r="C648" i="13"/>
  <c r="B648" i="13"/>
  <c r="T647" i="13"/>
  <c r="M647" i="13"/>
  <c r="J647" i="13"/>
  <c r="H647" i="13"/>
  <c r="G647" i="13"/>
  <c r="K647" i="13" s="1"/>
  <c r="L647" i="13" s="1"/>
  <c r="F647" i="13"/>
  <c r="E647" i="13"/>
  <c r="D647" i="13"/>
  <c r="C647" i="13"/>
  <c r="N647" i="13" s="1"/>
  <c r="Q647" i="13" s="1"/>
  <c r="B647" i="13"/>
  <c r="N646" i="13"/>
  <c r="M646" i="13"/>
  <c r="K646" i="13"/>
  <c r="L646" i="13" s="1"/>
  <c r="J646" i="13"/>
  <c r="H646" i="13"/>
  <c r="G646" i="13"/>
  <c r="F646" i="13"/>
  <c r="E646" i="13"/>
  <c r="D646" i="13"/>
  <c r="C646" i="13"/>
  <c r="T646" i="13" s="1"/>
  <c r="B646" i="13"/>
  <c r="M645" i="13"/>
  <c r="G645" i="13"/>
  <c r="F645" i="13"/>
  <c r="E645" i="13"/>
  <c r="D645" i="13"/>
  <c r="C645" i="13"/>
  <c r="B645" i="13"/>
  <c r="M644" i="13"/>
  <c r="J644" i="13"/>
  <c r="G644" i="13"/>
  <c r="F644" i="13"/>
  <c r="E644" i="13"/>
  <c r="D644" i="13"/>
  <c r="C644" i="13"/>
  <c r="T644" i="13" s="1"/>
  <c r="B644" i="13"/>
  <c r="M643" i="13"/>
  <c r="G643" i="13"/>
  <c r="K643" i="13" s="1"/>
  <c r="L643" i="13" s="1"/>
  <c r="F643" i="13"/>
  <c r="E643" i="13"/>
  <c r="D643" i="13"/>
  <c r="J643" i="13" s="1"/>
  <c r="C643" i="13"/>
  <c r="B643" i="13"/>
  <c r="M642" i="13"/>
  <c r="K642" i="13"/>
  <c r="L642" i="13" s="1"/>
  <c r="H642" i="13"/>
  <c r="G642" i="13"/>
  <c r="F642" i="13"/>
  <c r="E642" i="13"/>
  <c r="D642" i="13"/>
  <c r="J642" i="13" s="1"/>
  <c r="C642" i="13"/>
  <c r="T642" i="13" s="1"/>
  <c r="B642" i="13"/>
  <c r="M641" i="13"/>
  <c r="G641" i="13"/>
  <c r="F641" i="13"/>
  <c r="E641" i="13"/>
  <c r="D641" i="13"/>
  <c r="C641" i="13"/>
  <c r="B641" i="13"/>
  <c r="M640" i="13"/>
  <c r="G640" i="13"/>
  <c r="F640" i="13"/>
  <c r="E640" i="13"/>
  <c r="D640" i="13"/>
  <c r="C640" i="13"/>
  <c r="B640" i="13"/>
  <c r="M639" i="13"/>
  <c r="G639" i="13"/>
  <c r="F639" i="13"/>
  <c r="E639" i="13"/>
  <c r="D639" i="13"/>
  <c r="J639" i="13" s="1"/>
  <c r="C639" i="13"/>
  <c r="B639" i="13"/>
  <c r="M638" i="13"/>
  <c r="J638" i="13"/>
  <c r="G638" i="13"/>
  <c r="F638" i="13"/>
  <c r="E638" i="13"/>
  <c r="D638" i="13"/>
  <c r="K638" i="13" s="1"/>
  <c r="L638" i="13" s="1"/>
  <c r="C638" i="13"/>
  <c r="T638" i="13" s="1"/>
  <c r="B638" i="13"/>
  <c r="M637" i="13"/>
  <c r="G637" i="13"/>
  <c r="F637" i="13"/>
  <c r="E637" i="13"/>
  <c r="D637" i="13"/>
  <c r="C637" i="13"/>
  <c r="B637" i="13"/>
  <c r="M636" i="13"/>
  <c r="G636" i="13"/>
  <c r="F636" i="13"/>
  <c r="E636" i="13"/>
  <c r="D636" i="13"/>
  <c r="J636" i="13" s="1"/>
  <c r="C636" i="13"/>
  <c r="B636" i="13"/>
  <c r="T635" i="13"/>
  <c r="M635" i="13"/>
  <c r="J635" i="13"/>
  <c r="G635" i="13"/>
  <c r="F635" i="13"/>
  <c r="E635" i="13"/>
  <c r="D635" i="13"/>
  <c r="C635" i="13"/>
  <c r="N635" i="13" s="1"/>
  <c r="R635" i="13" s="1"/>
  <c r="B635" i="13"/>
  <c r="M634" i="13"/>
  <c r="J634" i="13"/>
  <c r="G634" i="13"/>
  <c r="F634" i="13"/>
  <c r="E634" i="13"/>
  <c r="D634" i="13"/>
  <c r="H634" i="13" s="1"/>
  <c r="C634" i="13"/>
  <c r="T634" i="13" s="1"/>
  <c r="B634" i="13"/>
  <c r="N633" i="13"/>
  <c r="M633" i="13"/>
  <c r="G633" i="13"/>
  <c r="F633" i="13"/>
  <c r="E633" i="13"/>
  <c r="D633" i="13"/>
  <c r="C633" i="13"/>
  <c r="B633" i="13"/>
  <c r="N632" i="13"/>
  <c r="M632" i="13"/>
  <c r="J632" i="13"/>
  <c r="G632" i="13"/>
  <c r="F632" i="13"/>
  <c r="E632" i="13"/>
  <c r="D632" i="13"/>
  <c r="C632" i="13"/>
  <c r="B632" i="13"/>
  <c r="M631" i="13"/>
  <c r="G631" i="13"/>
  <c r="F631" i="13"/>
  <c r="E631" i="13"/>
  <c r="D631" i="13"/>
  <c r="J631" i="13" s="1"/>
  <c r="C631" i="13"/>
  <c r="B631" i="13"/>
  <c r="M630" i="13"/>
  <c r="H630" i="13"/>
  <c r="G630" i="13"/>
  <c r="K630" i="13" s="1"/>
  <c r="L630" i="13" s="1"/>
  <c r="F630" i="13"/>
  <c r="E630" i="13"/>
  <c r="D630" i="13"/>
  <c r="J630" i="13" s="1"/>
  <c r="C630" i="13"/>
  <c r="T630" i="13" s="1"/>
  <c r="B630" i="13"/>
  <c r="M629" i="13"/>
  <c r="G629" i="13"/>
  <c r="F629" i="13"/>
  <c r="E629" i="13"/>
  <c r="D629" i="13"/>
  <c r="C629" i="13"/>
  <c r="T629" i="13" s="1"/>
  <c r="B629" i="13"/>
  <c r="M628" i="13"/>
  <c r="G628" i="13"/>
  <c r="F628" i="13"/>
  <c r="E628" i="13"/>
  <c r="D628" i="13"/>
  <c r="J628" i="13" s="1"/>
  <c r="C628" i="13"/>
  <c r="N628" i="13" s="1"/>
  <c r="B628" i="13"/>
  <c r="M627" i="13"/>
  <c r="J627" i="13"/>
  <c r="G627" i="13"/>
  <c r="F627" i="13"/>
  <c r="E627" i="13"/>
  <c r="D627" i="13"/>
  <c r="C627" i="13"/>
  <c r="N627" i="13" s="1"/>
  <c r="B627" i="13"/>
  <c r="T626" i="13"/>
  <c r="M626" i="13"/>
  <c r="G626" i="13"/>
  <c r="K626" i="13" s="1"/>
  <c r="L626" i="13" s="1"/>
  <c r="F626" i="13"/>
  <c r="E626" i="13"/>
  <c r="D626" i="13"/>
  <c r="N626" i="13" s="1"/>
  <c r="C626" i="13"/>
  <c r="B626" i="13"/>
  <c r="M625" i="13"/>
  <c r="G625" i="13"/>
  <c r="F625" i="13"/>
  <c r="E625" i="13"/>
  <c r="D625" i="13"/>
  <c r="N625" i="13" s="1"/>
  <c r="C625" i="13"/>
  <c r="B625" i="13"/>
  <c r="M624" i="13"/>
  <c r="J624" i="13"/>
  <c r="G624" i="13"/>
  <c r="F624" i="13"/>
  <c r="E624" i="13"/>
  <c r="D624" i="13"/>
  <c r="C624" i="13"/>
  <c r="T624" i="13" s="1"/>
  <c r="B624" i="13"/>
  <c r="M623" i="13"/>
  <c r="K623" i="13"/>
  <c r="L623" i="13" s="1"/>
  <c r="G623" i="13"/>
  <c r="F623" i="13"/>
  <c r="E623" i="13"/>
  <c r="D623" i="13"/>
  <c r="J623" i="13" s="1"/>
  <c r="C623" i="13"/>
  <c r="B623" i="13"/>
  <c r="M622" i="13"/>
  <c r="K622" i="13"/>
  <c r="L622" i="13" s="1"/>
  <c r="G622" i="13"/>
  <c r="F622" i="13"/>
  <c r="E622" i="13"/>
  <c r="D622" i="13"/>
  <c r="J622" i="13" s="1"/>
  <c r="C622" i="13"/>
  <c r="B622" i="13"/>
  <c r="M621" i="13"/>
  <c r="K621" i="13"/>
  <c r="L621" i="13" s="1"/>
  <c r="G621" i="13"/>
  <c r="F621" i="13"/>
  <c r="E621" i="13"/>
  <c r="D621" i="13"/>
  <c r="C621" i="13"/>
  <c r="B621" i="13"/>
  <c r="M620" i="13"/>
  <c r="J620" i="13"/>
  <c r="G620" i="13"/>
  <c r="F620" i="13"/>
  <c r="E620" i="13"/>
  <c r="D620" i="13"/>
  <c r="C620" i="13"/>
  <c r="T620" i="13" s="1"/>
  <c r="B620" i="13"/>
  <c r="M619" i="13"/>
  <c r="G619" i="13"/>
  <c r="F619" i="13"/>
  <c r="E619" i="13"/>
  <c r="D619" i="13"/>
  <c r="J619" i="13" s="1"/>
  <c r="C619" i="13"/>
  <c r="B619" i="13"/>
  <c r="M618" i="13"/>
  <c r="L618" i="13"/>
  <c r="K618" i="13"/>
  <c r="J618" i="13"/>
  <c r="G618" i="13"/>
  <c r="F618" i="13"/>
  <c r="E618" i="13"/>
  <c r="D618" i="13"/>
  <c r="C618" i="13"/>
  <c r="B618" i="13"/>
  <c r="M617" i="13"/>
  <c r="G617" i="13"/>
  <c r="K617" i="13" s="1"/>
  <c r="L617" i="13" s="1"/>
  <c r="F617" i="13"/>
  <c r="E617" i="13"/>
  <c r="D617" i="13"/>
  <c r="C617" i="13"/>
  <c r="B617" i="13"/>
  <c r="M616" i="13"/>
  <c r="G616" i="13"/>
  <c r="F616" i="13"/>
  <c r="E616" i="13"/>
  <c r="D616" i="13"/>
  <c r="N616" i="13" s="1"/>
  <c r="C616" i="13"/>
  <c r="B616" i="13"/>
  <c r="M615" i="13"/>
  <c r="G615" i="13"/>
  <c r="F615" i="13"/>
  <c r="E615" i="13"/>
  <c r="D615" i="13"/>
  <c r="C615" i="13"/>
  <c r="B615" i="13"/>
  <c r="M614" i="13"/>
  <c r="G614" i="13"/>
  <c r="F614" i="13"/>
  <c r="E614" i="13"/>
  <c r="D614" i="13"/>
  <c r="C614" i="13"/>
  <c r="B614" i="13"/>
  <c r="M613" i="13"/>
  <c r="G613" i="13"/>
  <c r="F613" i="13"/>
  <c r="E613" i="13"/>
  <c r="D613" i="13"/>
  <c r="C613" i="13"/>
  <c r="T613" i="13" s="1"/>
  <c r="B613" i="13"/>
  <c r="M612" i="13"/>
  <c r="G612" i="13"/>
  <c r="F612" i="13"/>
  <c r="E612" i="13"/>
  <c r="D612" i="13"/>
  <c r="C612" i="13"/>
  <c r="B612" i="13"/>
  <c r="M611" i="13"/>
  <c r="K611" i="13"/>
  <c r="L611" i="13" s="1"/>
  <c r="G611" i="13"/>
  <c r="F611" i="13"/>
  <c r="E611" i="13"/>
  <c r="D611" i="13"/>
  <c r="J611" i="13" s="1"/>
  <c r="C611" i="13"/>
  <c r="B611" i="13"/>
  <c r="M610" i="13"/>
  <c r="J610" i="13"/>
  <c r="G610" i="13"/>
  <c r="F610" i="13"/>
  <c r="E610" i="13"/>
  <c r="D610" i="13"/>
  <c r="K610" i="13" s="1"/>
  <c r="L610" i="13" s="1"/>
  <c r="C610" i="13"/>
  <c r="N610" i="13" s="1"/>
  <c r="B610" i="13"/>
  <c r="M609" i="13"/>
  <c r="G609" i="13"/>
  <c r="K609" i="13" s="1"/>
  <c r="L609" i="13" s="1"/>
  <c r="F609" i="13"/>
  <c r="E609" i="13"/>
  <c r="D609" i="13"/>
  <c r="C609" i="13"/>
  <c r="N609" i="13" s="1"/>
  <c r="B609" i="13"/>
  <c r="N608" i="13"/>
  <c r="M608" i="13"/>
  <c r="J608" i="13"/>
  <c r="G608" i="13"/>
  <c r="H608" i="13" s="1"/>
  <c r="F608" i="13"/>
  <c r="E608" i="13"/>
  <c r="D608" i="13"/>
  <c r="C608" i="13"/>
  <c r="B608" i="13"/>
  <c r="M607" i="13"/>
  <c r="J607" i="13"/>
  <c r="G607" i="13"/>
  <c r="F607" i="13"/>
  <c r="E607" i="13"/>
  <c r="D607" i="13"/>
  <c r="C607" i="13"/>
  <c r="N607" i="13" s="1"/>
  <c r="O607" i="13" s="1"/>
  <c r="B607" i="13"/>
  <c r="M606" i="13"/>
  <c r="H606" i="13"/>
  <c r="G606" i="13"/>
  <c r="K606" i="13" s="1"/>
  <c r="L606" i="13" s="1"/>
  <c r="F606" i="13"/>
  <c r="E606" i="13"/>
  <c r="D606" i="13"/>
  <c r="J606" i="13" s="1"/>
  <c r="C606" i="13"/>
  <c r="N606" i="13" s="1"/>
  <c r="Q606" i="13" s="1"/>
  <c r="B606" i="13"/>
  <c r="M605" i="13"/>
  <c r="G605" i="13"/>
  <c r="F605" i="13"/>
  <c r="E605" i="13"/>
  <c r="D605" i="13"/>
  <c r="C605" i="13"/>
  <c r="B605" i="13"/>
  <c r="N604" i="13"/>
  <c r="M604" i="13"/>
  <c r="G604" i="13"/>
  <c r="F604" i="13"/>
  <c r="E604" i="13"/>
  <c r="D604" i="13"/>
  <c r="C604" i="13"/>
  <c r="B604" i="13"/>
  <c r="M603" i="13"/>
  <c r="J603" i="13"/>
  <c r="G603" i="13"/>
  <c r="K603" i="13" s="1"/>
  <c r="L603" i="13" s="1"/>
  <c r="F603" i="13"/>
  <c r="E603" i="13"/>
  <c r="D603" i="13"/>
  <c r="C603" i="13"/>
  <c r="B603" i="13"/>
  <c r="M602" i="13"/>
  <c r="G602" i="13"/>
  <c r="F602" i="13"/>
  <c r="E602" i="13"/>
  <c r="D602" i="13"/>
  <c r="C602" i="13"/>
  <c r="B602" i="13"/>
  <c r="M601" i="13"/>
  <c r="G601" i="13"/>
  <c r="F601" i="13"/>
  <c r="E601" i="13"/>
  <c r="D601" i="13"/>
  <c r="C601" i="13"/>
  <c r="B601" i="13"/>
  <c r="M600" i="13"/>
  <c r="J600" i="13"/>
  <c r="G600" i="13"/>
  <c r="F600" i="13"/>
  <c r="E600" i="13"/>
  <c r="D600" i="13"/>
  <c r="H600" i="13" s="1"/>
  <c r="C600" i="13"/>
  <c r="B600" i="13"/>
  <c r="T599" i="13"/>
  <c r="M599" i="13"/>
  <c r="G599" i="13"/>
  <c r="F599" i="13"/>
  <c r="E599" i="13"/>
  <c r="D599" i="13"/>
  <c r="C599" i="13"/>
  <c r="B599" i="13"/>
  <c r="M598" i="13"/>
  <c r="G598" i="13"/>
  <c r="K598" i="13" s="1"/>
  <c r="L598" i="13" s="1"/>
  <c r="F598" i="13"/>
  <c r="E598" i="13"/>
  <c r="D598" i="13"/>
  <c r="T598" i="13" s="1"/>
  <c r="C598" i="13"/>
  <c r="B598" i="13"/>
  <c r="M597" i="13"/>
  <c r="G597" i="13"/>
  <c r="K597" i="13" s="1"/>
  <c r="L597" i="13" s="1"/>
  <c r="F597" i="13"/>
  <c r="E597" i="13"/>
  <c r="D597" i="13"/>
  <c r="T597" i="13" s="1"/>
  <c r="C597" i="13"/>
  <c r="B597" i="13"/>
  <c r="M596" i="13"/>
  <c r="G596" i="13"/>
  <c r="F596" i="13"/>
  <c r="E596" i="13"/>
  <c r="D596" i="13"/>
  <c r="C596" i="13"/>
  <c r="B596" i="13"/>
  <c r="T595" i="13"/>
  <c r="M595" i="13"/>
  <c r="G595" i="13"/>
  <c r="K595" i="13" s="1"/>
  <c r="L595" i="13" s="1"/>
  <c r="F595" i="13"/>
  <c r="E595" i="13"/>
  <c r="D595" i="13"/>
  <c r="J595" i="13" s="1"/>
  <c r="C595" i="13"/>
  <c r="B595" i="13"/>
  <c r="M594" i="13"/>
  <c r="H594" i="13"/>
  <c r="G594" i="13"/>
  <c r="K594" i="13" s="1"/>
  <c r="L594" i="13" s="1"/>
  <c r="F594" i="13"/>
  <c r="E594" i="13"/>
  <c r="D594" i="13"/>
  <c r="J594" i="13" s="1"/>
  <c r="C594" i="13"/>
  <c r="N594" i="13" s="1"/>
  <c r="Q594" i="13" s="1"/>
  <c r="B594" i="13"/>
  <c r="M593" i="13"/>
  <c r="K593" i="13"/>
  <c r="L593" i="13" s="1"/>
  <c r="J593" i="13"/>
  <c r="G593" i="13"/>
  <c r="F593" i="13"/>
  <c r="E593" i="13"/>
  <c r="D593" i="13"/>
  <c r="H593" i="13" s="1"/>
  <c r="C593" i="13"/>
  <c r="N593" i="13" s="1"/>
  <c r="B593" i="13"/>
  <c r="M592" i="13"/>
  <c r="G592" i="13"/>
  <c r="F592" i="13"/>
  <c r="E592" i="13"/>
  <c r="D592" i="13"/>
  <c r="T592" i="13" s="1"/>
  <c r="C592" i="13"/>
  <c r="B592" i="13"/>
  <c r="N591" i="13"/>
  <c r="O591" i="13" s="1"/>
  <c r="M591" i="13"/>
  <c r="J591" i="13"/>
  <c r="G591" i="13"/>
  <c r="K591" i="13" s="1"/>
  <c r="L591" i="13" s="1"/>
  <c r="F591" i="13"/>
  <c r="E591" i="13"/>
  <c r="D591" i="13"/>
  <c r="C591" i="13"/>
  <c r="T591" i="13" s="1"/>
  <c r="B591" i="13"/>
  <c r="M590" i="13"/>
  <c r="J590" i="13"/>
  <c r="H590" i="13"/>
  <c r="G590" i="13"/>
  <c r="K590" i="13" s="1"/>
  <c r="L590" i="13" s="1"/>
  <c r="F590" i="13"/>
  <c r="E590" i="13"/>
  <c r="D590" i="13"/>
  <c r="C590" i="13"/>
  <c r="N590" i="13" s="1"/>
  <c r="Q590" i="13" s="1"/>
  <c r="B590" i="13"/>
  <c r="M589" i="13"/>
  <c r="K589" i="13"/>
  <c r="L589" i="13" s="1"/>
  <c r="J589" i="13"/>
  <c r="G589" i="13"/>
  <c r="F589" i="13"/>
  <c r="E589" i="13"/>
  <c r="D589" i="13"/>
  <c r="H589" i="13" s="1"/>
  <c r="C589" i="13"/>
  <c r="N589" i="13" s="1"/>
  <c r="S589" i="13" s="1"/>
  <c r="B589" i="13"/>
  <c r="T588" i="13"/>
  <c r="M588" i="13"/>
  <c r="G588" i="13"/>
  <c r="F588" i="13"/>
  <c r="E588" i="13"/>
  <c r="D588" i="13"/>
  <c r="C588" i="13"/>
  <c r="N588" i="13" s="1"/>
  <c r="B588" i="13"/>
  <c r="O587" i="13"/>
  <c r="N587" i="13"/>
  <c r="M587" i="13"/>
  <c r="J587" i="13"/>
  <c r="G587" i="13"/>
  <c r="K587" i="13" s="1"/>
  <c r="L587" i="13" s="1"/>
  <c r="F587" i="13"/>
  <c r="E587" i="13"/>
  <c r="D587" i="13"/>
  <c r="C587" i="13"/>
  <c r="T587" i="13" s="1"/>
  <c r="B587" i="13"/>
  <c r="M586" i="13"/>
  <c r="J586" i="13"/>
  <c r="G586" i="13"/>
  <c r="F586" i="13"/>
  <c r="E586" i="13"/>
  <c r="D586" i="13"/>
  <c r="C586" i="13"/>
  <c r="N586" i="13" s="1"/>
  <c r="B586" i="13"/>
  <c r="M585" i="13"/>
  <c r="K585" i="13"/>
  <c r="L585" i="13" s="1"/>
  <c r="J585" i="13"/>
  <c r="G585" i="13"/>
  <c r="F585" i="13"/>
  <c r="E585" i="13"/>
  <c r="D585" i="13"/>
  <c r="H585" i="13" s="1"/>
  <c r="C585" i="13"/>
  <c r="N585" i="13" s="1"/>
  <c r="B585" i="13"/>
  <c r="M584" i="13"/>
  <c r="G584" i="13"/>
  <c r="F584" i="13"/>
  <c r="E584" i="13"/>
  <c r="D584" i="13"/>
  <c r="C584" i="13"/>
  <c r="N584" i="13" s="1"/>
  <c r="B584" i="13"/>
  <c r="N583" i="13"/>
  <c r="O583" i="13" s="1"/>
  <c r="M583" i="13"/>
  <c r="J583" i="13"/>
  <c r="G583" i="13"/>
  <c r="K583" i="13" s="1"/>
  <c r="L583" i="13" s="1"/>
  <c r="F583" i="13"/>
  <c r="E583" i="13"/>
  <c r="D583" i="13"/>
  <c r="C583" i="13"/>
  <c r="T583" i="13" s="1"/>
  <c r="B583" i="13"/>
  <c r="M582" i="13"/>
  <c r="J582" i="13"/>
  <c r="H582" i="13"/>
  <c r="G582" i="13"/>
  <c r="K582" i="13" s="1"/>
  <c r="L582" i="13" s="1"/>
  <c r="F582" i="13"/>
  <c r="E582" i="13"/>
  <c r="D582" i="13"/>
  <c r="C582" i="13"/>
  <c r="N582" i="13" s="1"/>
  <c r="B582" i="13"/>
  <c r="M581" i="13"/>
  <c r="K581" i="13"/>
  <c r="L581" i="13" s="1"/>
  <c r="J581" i="13"/>
  <c r="G581" i="13"/>
  <c r="F581" i="13"/>
  <c r="E581" i="13"/>
  <c r="D581" i="13"/>
  <c r="H581" i="13" s="1"/>
  <c r="C581" i="13"/>
  <c r="N581" i="13" s="1"/>
  <c r="B581" i="13"/>
  <c r="M580" i="13"/>
  <c r="G580" i="13"/>
  <c r="F580" i="13"/>
  <c r="E580" i="13"/>
  <c r="D580" i="13"/>
  <c r="C580" i="13"/>
  <c r="B580" i="13"/>
  <c r="N579" i="13"/>
  <c r="M579" i="13"/>
  <c r="J579" i="13"/>
  <c r="G579" i="13"/>
  <c r="K579" i="13" s="1"/>
  <c r="L579" i="13" s="1"/>
  <c r="F579" i="13"/>
  <c r="E579" i="13"/>
  <c r="D579" i="13"/>
  <c r="C579" i="13"/>
  <c r="T579" i="13" s="1"/>
  <c r="B579" i="13"/>
  <c r="M578" i="13"/>
  <c r="J578" i="13"/>
  <c r="H578" i="13"/>
  <c r="G578" i="13"/>
  <c r="K578" i="13" s="1"/>
  <c r="L578" i="13" s="1"/>
  <c r="F578" i="13"/>
  <c r="E578" i="13"/>
  <c r="D578" i="13"/>
  <c r="C578" i="13"/>
  <c r="N578" i="13" s="1"/>
  <c r="Q578" i="13" s="1"/>
  <c r="B578" i="13"/>
  <c r="M577" i="13"/>
  <c r="K577" i="13"/>
  <c r="L577" i="13" s="1"/>
  <c r="J577" i="13"/>
  <c r="G577" i="13"/>
  <c r="F577" i="13"/>
  <c r="E577" i="13"/>
  <c r="D577" i="13"/>
  <c r="H577" i="13" s="1"/>
  <c r="C577" i="13"/>
  <c r="N577" i="13" s="1"/>
  <c r="S577" i="13" s="1"/>
  <c r="B577" i="13"/>
  <c r="M576" i="13"/>
  <c r="G576" i="13"/>
  <c r="F576" i="13"/>
  <c r="E576" i="13"/>
  <c r="D576" i="13"/>
  <c r="C576" i="13"/>
  <c r="B576" i="13"/>
  <c r="N575" i="13"/>
  <c r="M575" i="13"/>
  <c r="J575" i="13"/>
  <c r="G575" i="13"/>
  <c r="K575" i="13" s="1"/>
  <c r="L575" i="13" s="1"/>
  <c r="F575" i="13"/>
  <c r="E575" i="13"/>
  <c r="D575" i="13"/>
  <c r="C575" i="13"/>
  <c r="T575" i="13" s="1"/>
  <c r="B575" i="13"/>
  <c r="M574" i="13"/>
  <c r="J574" i="13"/>
  <c r="H574" i="13"/>
  <c r="G574" i="13"/>
  <c r="K574" i="13" s="1"/>
  <c r="L574" i="13" s="1"/>
  <c r="F574" i="13"/>
  <c r="E574" i="13"/>
  <c r="D574" i="13"/>
  <c r="C574" i="13"/>
  <c r="N574" i="13" s="1"/>
  <c r="B574" i="13"/>
  <c r="M573" i="13"/>
  <c r="K573" i="13"/>
  <c r="L573" i="13" s="1"/>
  <c r="J573" i="13"/>
  <c r="G573" i="13"/>
  <c r="F573" i="13"/>
  <c r="E573" i="13"/>
  <c r="D573" i="13"/>
  <c r="H573" i="13" s="1"/>
  <c r="C573" i="13"/>
  <c r="N573" i="13" s="1"/>
  <c r="S573" i="13" s="1"/>
  <c r="B573" i="13"/>
  <c r="T572" i="13"/>
  <c r="M572" i="13"/>
  <c r="G572" i="13"/>
  <c r="F572" i="13"/>
  <c r="E572" i="13"/>
  <c r="D572" i="13"/>
  <c r="C572" i="13"/>
  <c r="B572" i="13"/>
  <c r="N571" i="13"/>
  <c r="P571" i="13" s="1"/>
  <c r="M571" i="13"/>
  <c r="J571" i="13"/>
  <c r="G571" i="13"/>
  <c r="F571" i="13"/>
  <c r="E571" i="13"/>
  <c r="D571" i="13"/>
  <c r="C571" i="13"/>
  <c r="T571" i="13" s="1"/>
  <c r="B571" i="13"/>
  <c r="M570" i="13"/>
  <c r="J570" i="13"/>
  <c r="H570" i="13"/>
  <c r="G570" i="13"/>
  <c r="K570" i="13" s="1"/>
  <c r="L570" i="13" s="1"/>
  <c r="F570" i="13"/>
  <c r="E570" i="13"/>
  <c r="D570" i="13"/>
  <c r="C570" i="13"/>
  <c r="N570" i="13" s="1"/>
  <c r="R570" i="13" s="1"/>
  <c r="B570" i="13"/>
  <c r="M569" i="13"/>
  <c r="J569" i="13"/>
  <c r="G569" i="13"/>
  <c r="F569" i="13"/>
  <c r="E569" i="13"/>
  <c r="D569" i="13"/>
  <c r="K569" i="13" s="1"/>
  <c r="L569" i="13" s="1"/>
  <c r="C569" i="13"/>
  <c r="N569" i="13" s="1"/>
  <c r="S569" i="13" s="1"/>
  <c r="B569" i="13"/>
  <c r="M568" i="13"/>
  <c r="G568" i="13"/>
  <c r="F568" i="13"/>
  <c r="E568" i="13"/>
  <c r="D568" i="13"/>
  <c r="C568" i="13"/>
  <c r="B568" i="13"/>
  <c r="M567" i="13"/>
  <c r="J567" i="13"/>
  <c r="G567" i="13"/>
  <c r="F567" i="13"/>
  <c r="E567" i="13"/>
  <c r="D567" i="13"/>
  <c r="C567" i="13"/>
  <c r="T567" i="13" s="1"/>
  <c r="B567" i="13"/>
  <c r="M566" i="13"/>
  <c r="J566" i="13"/>
  <c r="G566" i="13"/>
  <c r="K566" i="13" s="1"/>
  <c r="L566" i="13" s="1"/>
  <c r="F566" i="13"/>
  <c r="E566" i="13"/>
  <c r="D566" i="13"/>
  <c r="C566" i="13"/>
  <c r="N566" i="13" s="1"/>
  <c r="P566" i="13" s="1"/>
  <c r="B566" i="13"/>
  <c r="M565" i="13"/>
  <c r="K565" i="13"/>
  <c r="L565" i="13" s="1"/>
  <c r="G565" i="13"/>
  <c r="F565" i="13"/>
  <c r="E565" i="13"/>
  <c r="D565" i="13"/>
  <c r="H565" i="13" s="1"/>
  <c r="C565" i="13"/>
  <c r="B565" i="13"/>
  <c r="N564" i="13"/>
  <c r="M564" i="13"/>
  <c r="G564" i="13"/>
  <c r="F564" i="13"/>
  <c r="E564" i="13"/>
  <c r="D564" i="13"/>
  <c r="C564" i="13"/>
  <c r="B564" i="13"/>
  <c r="M563" i="13"/>
  <c r="J563" i="13"/>
  <c r="G563" i="13"/>
  <c r="F563" i="13"/>
  <c r="E563" i="13"/>
  <c r="D563" i="13"/>
  <c r="C563" i="13"/>
  <c r="B563" i="13"/>
  <c r="M562" i="13"/>
  <c r="J562" i="13"/>
  <c r="G562" i="13"/>
  <c r="F562" i="13"/>
  <c r="E562" i="13"/>
  <c r="D562" i="13"/>
  <c r="H562" i="13" s="1"/>
  <c r="C562" i="13"/>
  <c r="B562" i="13"/>
  <c r="M561" i="13"/>
  <c r="J561" i="13"/>
  <c r="G561" i="13"/>
  <c r="K561" i="13" s="1"/>
  <c r="L561" i="13" s="1"/>
  <c r="F561" i="13"/>
  <c r="E561" i="13"/>
  <c r="D561" i="13"/>
  <c r="C561" i="13"/>
  <c r="N561" i="13" s="1"/>
  <c r="S561" i="13" s="1"/>
  <c r="B561" i="13"/>
  <c r="M560" i="13"/>
  <c r="G560" i="13"/>
  <c r="F560" i="13"/>
  <c r="E560" i="13"/>
  <c r="D560" i="13"/>
  <c r="C560" i="13"/>
  <c r="N560" i="13" s="1"/>
  <c r="B560" i="13"/>
  <c r="M559" i="13"/>
  <c r="J559" i="13"/>
  <c r="G559" i="13"/>
  <c r="F559" i="13"/>
  <c r="E559" i="13"/>
  <c r="D559" i="13"/>
  <c r="C559" i="13"/>
  <c r="B559" i="13"/>
  <c r="M558" i="13"/>
  <c r="J558" i="13"/>
  <c r="G558" i="13"/>
  <c r="F558" i="13"/>
  <c r="E558" i="13"/>
  <c r="D558" i="13"/>
  <c r="K558" i="13" s="1"/>
  <c r="L558" i="13" s="1"/>
  <c r="C558" i="13"/>
  <c r="N558" i="13" s="1"/>
  <c r="O558" i="13" s="1"/>
  <c r="B558" i="13"/>
  <c r="M557" i="13"/>
  <c r="G557" i="13"/>
  <c r="F557" i="13"/>
  <c r="E557" i="13"/>
  <c r="D557" i="13"/>
  <c r="J557" i="13" s="1"/>
  <c r="C557" i="13"/>
  <c r="T557" i="13" s="1"/>
  <c r="B557" i="13"/>
  <c r="M556" i="13"/>
  <c r="G556" i="13"/>
  <c r="F556" i="13"/>
  <c r="E556" i="13"/>
  <c r="D556" i="13"/>
  <c r="C556" i="13"/>
  <c r="B556" i="13"/>
  <c r="M555" i="13"/>
  <c r="J555" i="13"/>
  <c r="G555" i="13"/>
  <c r="K555" i="13" s="1"/>
  <c r="L555" i="13" s="1"/>
  <c r="F555" i="13"/>
  <c r="E555" i="13"/>
  <c r="D555" i="13"/>
  <c r="C555" i="13"/>
  <c r="N555" i="13" s="1"/>
  <c r="B555" i="13"/>
  <c r="M554" i="13"/>
  <c r="J554" i="13"/>
  <c r="G554" i="13"/>
  <c r="F554" i="13"/>
  <c r="E554" i="13"/>
  <c r="D554" i="13"/>
  <c r="K554" i="13" s="1"/>
  <c r="L554" i="13" s="1"/>
  <c r="C554" i="13"/>
  <c r="B554" i="13"/>
  <c r="M553" i="13"/>
  <c r="G553" i="13"/>
  <c r="F553" i="13"/>
  <c r="E553" i="13"/>
  <c r="D553" i="13"/>
  <c r="C553" i="13"/>
  <c r="B553" i="13"/>
  <c r="M552" i="13"/>
  <c r="G552" i="13"/>
  <c r="F552" i="13"/>
  <c r="E552" i="13"/>
  <c r="D552" i="13"/>
  <c r="C552" i="13"/>
  <c r="B552" i="13"/>
  <c r="M551" i="13"/>
  <c r="H551" i="13"/>
  <c r="G551" i="13"/>
  <c r="F551" i="13"/>
  <c r="E551" i="13"/>
  <c r="D551" i="13"/>
  <c r="J551" i="13" s="1"/>
  <c r="C551" i="13"/>
  <c r="T551" i="13" s="1"/>
  <c r="B551" i="13"/>
  <c r="M550" i="13"/>
  <c r="G550" i="13"/>
  <c r="F550" i="13"/>
  <c r="E550" i="13"/>
  <c r="D550" i="13"/>
  <c r="C550" i="13"/>
  <c r="B550" i="13"/>
  <c r="M549" i="13"/>
  <c r="K549" i="13"/>
  <c r="L549" i="13" s="1"/>
  <c r="G549" i="13"/>
  <c r="F549" i="13"/>
  <c r="E549" i="13"/>
  <c r="D549" i="13"/>
  <c r="C549" i="13"/>
  <c r="T549" i="13" s="1"/>
  <c r="B549" i="13"/>
  <c r="T548" i="13"/>
  <c r="M548" i="13"/>
  <c r="G548" i="13"/>
  <c r="F548" i="13"/>
  <c r="E548" i="13"/>
  <c r="D548" i="13"/>
  <c r="C548" i="13"/>
  <c r="B548" i="13"/>
  <c r="M547" i="13"/>
  <c r="J547" i="13"/>
  <c r="G547" i="13"/>
  <c r="F547" i="13"/>
  <c r="E547" i="13"/>
  <c r="D547" i="13"/>
  <c r="C547" i="13"/>
  <c r="T547" i="13" s="1"/>
  <c r="B547" i="13"/>
  <c r="M546" i="13"/>
  <c r="G546" i="13"/>
  <c r="F546" i="13"/>
  <c r="E546" i="13"/>
  <c r="D546" i="13"/>
  <c r="J546" i="13" s="1"/>
  <c r="C546" i="13"/>
  <c r="B546" i="13"/>
  <c r="M545" i="13"/>
  <c r="K545" i="13"/>
  <c r="L545" i="13" s="1"/>
  <c r="G545" i="13"/>
  <c r="F545" i="13"/>
  <c r="E545" i="13"/>
  <c r="D545" i="13"/>
  <c r="C545" i="13"/>
  <c r="T545" i="13" s="1"/>
  <c r="B545" i="13"/>
  <c r="M544" i="13"/>
  <c r="G544" i="13"/>
  <c r="F544" i="13"/>
  <c r="E544" i="13"/>
  <c r="D544" i="13"/>
  <c r="C544" i="13"/>
  <c r="B544" i="13"/>
  <c r="M543" i="13"/>
  <c r="J543" i="13"/>
  <c r="G543" i="13"/>
  <c r="F543" i="13"/>
  <c r="E543" i="13"/>
  <c r="D543" i="13"/>
  <c r="H543" i="13" s="1"/>
  <c r="C543" i="13"/>
  <c r="B543" i="13"/>
  <c r="M542" i="13"/>
  <c r="G542" i="13"/>
  <c r="F542" i="13"/>
  <c r="E542" i="13"/>
  <c r="D542" i="13"/>
  <c r="C542" i="13"/>
  <c r="B542" i="13"/>
  <c r="M541" i="13"/>
  <c r="G541" i="13"/>
  <c r="F541" i="13"/>
  <c r="E541" i="13"/>
  <c r="D541" i="13"/>
  <c r="C541" i="13"/>
  <c r="B541" i="13"/>
  <c r="M540" i="13"/>
  <c r="G540" i="13"/>
  <c r="F540" i="13"/>
  <c r="E540" i="13"/>
  <c r="D540" i="13"/>
  <c r="H540" i="13" s="1"/>
  <c r="C540" i="13"/>
  <c r="B540" i="13"/>
  <c r="M539" i="13"/>
  <c r="K539" i="13"/>
  <c r="L539" i="13" s="1"/>
  <c r="H539" i="13"/>
  <c r="G539" i="13"/>
  <c r="F539" i="13"/>
  <c r="E539" i="13"/>
  <c r="D539" i="13"/>
  <c r="J539" i="13" s="1"/>
  <c r="C539" i="13"/>
  <c r="B539" i="13"/>
  <c r="M538" i="13"/>
  <c r="K538" i="13"/>
  <c r="L538" i="13" s="1"/>
  <c r="J538" i="13"/>
  <c r="G538" i="13"/>
  <c r="F538" i="13"/>
  <c r="E538" i="13"/>
  <c r="D538" i="13"/>
  <c r="C538" i="13"/>
  <c r="B538" i="13"/>
  <c r="M537" i="13"/>
  <c r="J537" i="13"/>
  <c r="G537" i="13"/>
  <c r="F537" i="13"/>
  <c r="E537" i="13"/>
  <c r="D537" i="13"/>
  <c r="K537" i="13" s="1"/>
  <c r="L537" i="13" s="1"/>
  <c r="C537" i="13"/>
  <c r="T537" i="13" s="1"/>
  <c r="B537" i="13"/>
  <c r="M536" i="13"/>
  <c r="G536" i="13"/>
  <c r="F536" i="13"/>
  <c r="E536" i="13"/>
  <c r="D536" i="13"/>
  <c r="C536" i="13"/>
  <c r="B536" i="13"/>
  <c r="M535" i="13"/>
  <c r="J535" i="13"/>
  <c r="G535" i="13"/>
  <c r="K535" i="13" s="1"/>
  <c r="L535" i="13" s="1"/>
  <c r="F535" i="13"/>
  <c r="E535" i="13"/>
  <c r="D535" i="13"/>
  <c r="C535" i="13"/>
  <c r="B535" i="13"/>
  <c r="M534" i="13"/>
  <c r="G534" i="13"/>
  <c r="K534" i="13" s="1"/>
  <c r="L534" i="13" s="1"/>
  <c r="F534" i="13"/>
  <c r="E534" i="13"/>
  <c r="D534" i="13"/>
  <c r="C534" i="13"/>
  <c r="B534" i="13"/>
  <c r="M533" i="13"/>
  <c r="G533" i="13"/>
  <c r="F533" i="13"/>
  <c r="E533" i="13"/>
  <c r="D533" i="13"/>
  <c r="N533" i="13" s="1"/>
  <c r="C533" i="13"/>
  <c r="B533" i="13"/>
  <c r="M532" i="13"/>
  <c r="G532" i="13"/>
  <c r="F532" i="13"/>
  <c r="E532" i="13"/>
  <c r="D532" i="13"/>
  <c r="N532" i="13" s="1"/>
  <c r="C532" i="13"/>
  <c r="B532" i="13"/>
  <c r="M531" i="13"/>
  <c r="K531" i="13"/>
  <c r="L531" i="13" s="1"/>
  <c r="J531" i="13"/>
  <c r="G531" i="13"/>
  <c r="F531" i="13"/>
  <c r="E531" i="13"/>
  <c r="D531" i="13"/>
  <c r="C531" i="13"/>
  <c r="T531" i="13" s="1"/>
  <c r="B531" i="13"/>
  <c r="M530" i="13"/>
  <c r="K530" i="13"/>
  <c r="L530" i="13" s="1"/>
  <c r="G530" i="13"/>
  <c r="F530" i="13"/>
  <c r="E530" i="13"/>
  <c r="D530" i="13"/>
  <c r="J530" i="13" s="1"/>
  <c r="C530" i="13"/>
  <c r="B530" i="13"/>
  <c r="M529" i="13"/>
  <c r="G529" i="13"/>
  <c r="F529" i="13"/>
  <c r="E529" i="13"/>
  <c r="D529" i="13"/>
  <c r="C529" i="13"/>
  <c r="B529" i="13"/>
  <c r="M528" i="13"/>
  <c r="G528" i="13"/>
  <c r="H528" i="13" s="1"/>
  <c r="F528" i="13"/>
  <c r="E528" i="13"/>
  <c r="D528" i="13"/>
  <c r="C528" i="13"/>
  <c r="B528" i="13"/>
  <c r="N527" i="13"/>
  <c r="M527" i="13"/>
  <c r="G527" i="13"/>
  <c r="K527" i="13" s="1"/>
  <c r="L527" i="13" s="1"/>
  <c r="F527" i="13"/>
  <c r="E527" i="13"/>
  <c r="D527" i="13"/>
  <c r="J527" i="13" s="1"/>
  <c r="C527" i="13"/>
  <c r="B527" i="13"/>
  <c r="M526" i="13"/>
  <c r="G526" i="13"/>
  <c r="F526" i="13"/>
  <c r="E526" i="13"/>
  <c r="D526" i="13"/>
  <c r="J526" i="13" s="1"/>
  <c r="C526" i="13"/>
  <c r="B526" i="13"/>
  <c r="T525" i="13"/>
  <c r="M525" i="13"/>
  <c r="J525" i="13"/>
  <c r="G525" i="13"/>
  <c r="F525" i="13"/>
  <c r="E525" i="13"/>
  <c r="D525" i="13"/>
  <c r="K525" i="13" s="1"/>
  <c r="L525" i="13" s="1"/>
  <c r="C525" i="13"/>
  <c r="B525" i="13"/>
  <c r="M524" i="13"/>
  <c r="J524" i="13"/>
  <c r="G524" i="13"/>
  <c r="F524" i="13"/>
  <c r="E524" i="13"/>
  <c r="D524" i="13"/>
  <c r="K524" i="13" s="1"/>
  <c r="L524" i="13" s="1"/>
  <c r="C524" i="13"/>
  <c r="B524" i="13"/>
  <c r="M523" i="13"/>
  <c r="G523" i="13"/>
  <c r="F523" i="13"/>
  <c r="E523" i="13"/>
  <c r="D523" i="13"/>
  <c r="C523" i="13"/>
  <c r="B523" i="13"/>
  <c r="M522" i="13"/>
  <c r="G522" i="13"/>
  <c r="F522" i="13"/>
  <c r="E522" i="13"/>
  <c r="D522" i="13"/>
  <c r="C522" i="13"/>
  <c r="B522" i="13"/>
  <c r="M521" i="13"/>
  <c r="J521" i="13"/>
  <c r="G521" i="13"/>
  <c r="K521" i="13" s="1"/>
  <c r="L521" i="13" s="1"/>
  <c r="F521" i="13"/>
  <c r="E521" i="13"/>
  <c r="D521" i="13"/>
  <c r="C521" i="13"/>
  <c r="B521" i="13"/>
  <c r="M520" i="13"/>
  <c r="G520" i="13"/>
  <c r="F520" i="13"/>
  <c r="E520" i="13"/>
  <c r="D520" i="13"/>
  <c r="J520" i="13" s="1"/>
  <c r="C520" i="13"/>
  <c r="B520" i="13"/>
  <c r="M519" i="13"/>
  <c r="K519" i="13"/>
  <c r="L519" i="13" s="1"/>
  <c r="J519" i="13"/>
  <c r="G519" i="13"/>
  <c r="F519" i="13"/>
  <c r="E519" i="13"/>
  <c r="D519" i="13"/>
  <c r="C519" i="13"/>
  <c r="H519" i="13" s="1"/>
  <c r="B519" i="13"/>
  <c r="T518" i="13"/>
  <c r="M518" i="13"/>
  <c r="G518" i="13"/>
  <c r="F518" i="13"/>
  <c r="E518" i="13"/>
  <c r="D518" i="13"/>
  <c r="C518" i="13"/>
  <c r="N518" i="13" s="1"/>
  <c r="B518" i="13"/>
  <c r="O517" i="13"/>
  <c r="N517" i="13"/>
  <c r="M517" i="13"/>
  <c r="J517" i="13"/>
  <c r="G517" i="13"/>
  <c r="K517" i="13" s="1"/>
  <c r="L517" i="13" s="1"/>
  <c r="F517" i="13"/>
  <c r="E517" i="13"/>
  <c r="D517" i="13"/>
  <c r="H517" i="13" s="1"/>
  <c r="C517" i="13"/>
  <c r="T517" i="13" s="1"/>
  <c r="B517" i="13"/>
  <c r="M516" i="13"/>
  <c r="J516" i="13"/>
  <c r="G516" i="13"/>
  <c r="H516" i="13" s="1"/>
  <c r="F516" i="13"/>
  <c r="E516" i="13"/>
  <c r="D516" i="13"/>
  <c r="C516" i="13"/>
  <c r="N516" i="13" s="1"/>
  <c r="B516" i="13"/>
  <c r="M515" i="13"/>
  <c r="K515" i="13"/>
  <c r="L515" i="13" s="1"/>
  <c r="J515" i="13"/>
  <c r="G515" i="13"/>
  <c r="F515" i="13"/>
  <c r="E515" i="13"/>
  <c r="D515" i="13"/>
  <c r="C515" i="13"/>
  <c r="H515" i="13" s="1"/>
  <c r="B515" i="13"/>
  <c r="M514" i="13"/>
  <c r="G514" i="13"/>
  <c r="F514" i="13"/>
  <c r="E514" i="13"/>
  <c r="D514" i="13"/>
  <c r="C514" i="13"/>
  <c r="B514" i="13"/>
  <c r="N513" i="13"/>
  <c r="M513" i="13"/>
  <c r="J513" i="13"/>
  <c r="G513" i="13"/>
  <c r="K513" i="13" s="1"/>
  <c r="L513" i="13" s="1"/>
  <c r="F513" i="13"/>
  <c r="E513" i="13"/>
  <c r="D513" i="13"/>
  <c r="H513" i="13" s="1"/>
  <c r="C513" i="13"/>
  <c r="T513" i="13" s="1"/>
  <c r="B513" i="13"/>
  <c r="M512" i="13"/>
  <c r="J512" i="13"/>
  <c r="H512" i="13"/>
  <c r="G512" i="13"/>
  <c r="F512" i="13"/>
  <c r="E512" i="13"/>
  <c r="D512" i="13"/>
  <c r="C512" i="13"/>
  <c r="N512" i="13" s="1"/>
  <c r="Q512" i="13" s="1"/>
  <c r="B512" i="13"/>
  <c r="M511" i="13"/>
  <c r="K511" i="13"/>
  <c r="L511" i="13" s="1"/>
  <c r="J511" i="13"/>
  <c r="G511" i="13"/>
  <c r="F511" i="13"/>
  <c r="E511" i="13"/>
  <c r="D511" i="13"/>
  <c r="H511" i="13" s="1"/>
  <c r="C511" i="13"/>
  <c r="N511" i="13" s="1"/>
  <c r="B511" i="13"/>
  <c r="M510" i="13"/>
  <c r="G510" i="13"/>
  <c r="F510" i="13"/>
  <c r="E510" i="13"/>
  <c r="D510" i="13"/>
  <c r="C510" i="13"/>
  <c r="B510" i="13"/>
  <c r="N509" i="13"/>
  <c r="M509" i="13"/>
  <c r="J509" i="13"/>
  <c r="G509" i="13"/>
  <c r="K509" i="13" s="1"/>
  <c r="L509" i="13" s="1"/>
  <c r="F509" i="13"/>
  <c r="E509" i="13"/>
  <c r="D509" i="13"/>
  <c r="H509" i="13" s="1"/>
  <c r="C509" i="13"/>
  <c r="T509" i="13" s="1"/>
  <c r="B509" i="13"/>
  <c r="M508" i="13"/>
  <c r="J508" i="13"/>
  <c r="H508" i="13"/>
  <c r="G508" i="13"/>
  <c r="F508" i="13"/>
  <c r="E508" i="13"/>
  <c r="D508" i="13"/>
  <c r="K508" i="13" s="1"/>
  <c r="L508" i="13" s="1"/>
  <c r="C508" i="13"/>
  <c r="N508" i="13" s="1"/>
  <c r="Q508" i="13" s="1"/>
  <c r="B508" i="13"/>
  <c r="M507" i="13"/>
  <c r="K507" i="13"/>
  <c r="L507" i="13" s="1"/>
  <c r="J507" i="13"/>
  <c r="G507" i="13"/>
  <c r="F507" i="13"/>
  <c r="E507" i="13"/>
  <c r="D507" i="13"/>
  <c r="H507" i="13" s="1"/>
  <c r="C507" i="13"/>
  <c r="N507" i="13" s="1"/>
  <c r="B507" i="13"/>
  <c r="M506" i="13"/>
  <c r="G506" i="13"/>
  <c r="F506" i="13"/>
  <c r="E506" i="13"/>
  <c r="D506" i="13"/>
  <c r="C506" i="13"/>
  <c r="B506" i="13"/>
  <c r="O505" i="13"/>
  <c r="N505" i="13"/>
  <c r="M505" i="13"/>
  <c r="J505" i="13"/>
  <c r="G505" i="13"/>
  <c r="K505" i="13" s="1"/>
  <c r="L505" i="13" s="1"/>
  <c r="F505" i="13"/>
  <c r="E505" i="13"/>
  <c r="D505" i="13"/>
  <c r="H505" i="13" s="1"/>
  <c r="C505" i="13"/>
  <c r="T505" i="13" s="1"/>
  <c r="B505" i="13"/>
  <c r="M504" i="13"/>
  <c r="J504" i="13"/>
  <c r="G504" i="13"/>
  <c r="H504" i="13" s="1"/>
  <c r="F504" i="13"/>
  <c r="E504" i="13"/>
  <c r="D504" i="13"/>
  <c r="K504" i="13" s="1"/>
  <c r="L504" i="13" s="1"/>
  <c r="C504" i="13"/>
  <c r="N504" i="13" s="1"/>
  <c r="P504" i="13" s="1"/>
  <c r="B504" i="13"/>
  <c r="M503" i="13"/>
  <c r="K503" i="13"/>
  <c r="L503" i="13" s="1"/>
  <c r="J503" i="13"/>
  <c r="G503" i="13"/>
  <c r="F503" i="13"/>
  <c r="E503" i="13"/>
  <c r="D503" i="13"/>
  <c r="H503" i="13" s="1"/>
  <c r="C503" i="13"/>
  <c r="N503" i="13" s="1"/>
  <c r="S503" i="13" s="1"/>
  <c r="B503" i="13"/>
  <c r="T502" i="13"/>
  <c r="M502" i="13"/>
  <c r="G502" i="13"/>
  <c r="F502" i="13"/>
  <c r="E502" i="13"/>
  <c r="D502" i="13"/>
  <c r="C502" i="13"/>
  <c r="N502" i="13" s="1"/>
  <c r="B502" i="13"/>
  <c r="N501" i="13"/>
  <c r="O501" i="13" s="1"/>
  <c r="M501" i="13"/>
  <c r="J501" i="13"/>
  <c r="G501" i="13"/>
  <c r="K501" i="13" s="1"/>
  <c r="L501" i="13" s="1"/>
  <c r="F501" i="13"/>
  <c r="E501" i="13"/>
  <c r="D501" i="13"/>
  <c r="H501" i="13" s="1"/>
  <c r="C501" i="13"/>
  <c r="T501" i="13" s="1"/>
  <c r="B501" i="13"/>
  <c r="M500" i="13"/>
  <c r="J500" i="13"/>
  <c r="G500" i="13"/>
  <c r="H500" i="13" s="1"/>
  <c r="F500" i="13"/>
  <c r="E500" i="13"/>
  <c r="D500" i="13"/>
  <c r="K500" i="13" s="1"/>
  <c r="L500" i="13" s="1"/>
  <c r="C500" i="13"/>
  <c r="N500" i="13" s="1"/>
  <c r="P500" i="13" s="1"/>
  <c r="B500" i="13"/>
  <c r="M499" i="13"/>
  <c r="K499" i="13"/>
  <c r="L499" i="13" s="1"/>
  <c r="J499" i="13"/>
  <c r="G499" i="13"/>
  <c r="F499" i="13"/>
  <c r="E499" i="13"/>
  <c r="D499" i="13"/>
  <c r="H499" i="13" s="1"/>
  <c r="C499" i="13"/>
  <c r="N499" i="13" s="1"/>
  <c r="B499" i="13"/>
  <c r="M498" i="13"/>
  <c r="G498" i="13"/>
  <c r="F498" i="13"/>
  <c r="E498" i="13"/>
  <c r="D498" i="13"/>
  <c r="C498" i="13"/>
  <c r="N498" i="13" s="1"/>
  <c r="B498" i="13"/>
  <c r="N497" i="13"/>
  <c r="M497" i="13"/>
  <c r="J497" i="13"/>
  <c r="G497" i="13"/>
  <c r="K497" i="13" s="1"/>
  <c r="L497" i="13" s="1"/>
  <c r="F497" i="13"/>
  <c r="E497" i="13"/>
  <c r="D497" i="13"/>
  <c r="C497" i="13"/>
  <c r="T497" i="13" s="1"/>
  <c r="B497" i="13"/>
  <c r="M496" i="13"/>
  <c r="J496" i="13"/>
  <c r="H496" i="13"/>
  <c r="G496" i="13"/>
  <c r="F496" i="13"/>
  <c r="E496" i="13"/>
  <c r="D496" i="13"/>
  <c r="K496" i="13" s="1"/>
  <c r="L496" i="13" s="1"/>
  <c r="C496" i="13"/>
  <c r="N496" i="13" s="1"/>
  <c r="B496" i="13"/>
  <c r="M495" i="13"/>
  <c r="G495" i="13"/>
  <c r="F495" i="13"/>
  <c r="E495" i="13"/>
  <c r="D495" i="13"/>
  <c r="C495" i="13"/>
  <c r="N495" i="13" s="1"/>
  <c r="B495" i="13"/>
  <c r="M494" i="13"/>
  <c r="G494" i="13"/>
  <c r="F494" i="13"/>
  <c r="E494" i="13"/>
  <c r="D494" i="13"/>
  <c r="C494" i="13"/>
  <c r="B494" i="13"/>
  <c r="M493" i="13"/>
  <c r="G493" i="13"/>
  <c r="F493" i="13"/>
  <c r="E493" i="13"/>
  <c r="D493" i="13"/>
  <c r="J493" i="13" s="1"/>
  <c r="C493" i="13"/>
  <c r="B493" i="13"/>
  <c r="M492" i="13"/>
  <c r="G492" i="13"/>
  <c r="F492" i="13"/>
  <c r="E492" i="13"/>
  <c r="D492" i="13"/>
  <c r="C492" i="13"/>
  <c r="B492" i="13"/>
  <c r="M491" i="13"/>
  <c r="G491" i="13"/>
  <c r="F491" i="13"/>
  <c r="E491" i="13"/>
  <c r="D491" i="13"/>
  <c r="K491" i="13" s="1"/>
  <c r="L491" i="13" s="1"/>
  <c r="C491" i="13"/>
  <c r="B491" i="13"/>
  <c r="M490" i="13"/>
  <c r="G490" i="13"/>
  <c r="F490" i="13"/>
  <c r="E490" i="13"/>
  <c r="D490" i="13"/>
  <c r="C490" i="13"/>
  <c r="B490" i="13"/>
  <c r="N489" i="13"/>
  <c r="P489" i="13" s="1"/>
  <c r="M489" i="13"/>
  <c r="J489" i="13"/>
  <c r="G489" i="13"/>
  <c r="F489" i="13"/>
  <c r="E489" i="13"/>
  <c r="D489" i="13"/>
  <c r="C489" i="13"/>
  <c r="B489" i="13"/>
  <c r="M488" i="13"/>
  <c r="J488" i="13"/>
  <c r="G488" i="13"/>
  <c r="H488" i="13" s="1"/>
  <c r="F488" i="13"/>
  <c r="E488" i="13"/>
  <c r="D488" i="13"/>
  <c r="C488" i="13"/>
  <c r="B488" i="13"/>
  <c r="M487" i="13"/>
  <c r="G487" i="13"/>
  <c r="F487" i="13"/>
  <c r="E487" i="13"/>
  <c r="D487" i="13"/>
  <c r="K487" i="13" s="1"/>
  <c r="L487" i="13" s="1"/>
  <c r="C487" i="13"/>
  <c r="B487" i="13"/>
  <c r="M486" i="13"/>
  <c r="G486" i="13"/>
  <c r="F486" i="13"/>
  <c r="E486" i="13"/>
  <c r="D486" i="13"/>
  <c r="C486" i="13"/>
  <c r="B486" i="13"/>
  <c r="M485" i="13"/>
  <c r="G485" i="13"/>
  <c r="H485" i="13" s="1"/>
  <c r="F485" i="13"/>
  <c r="E485" i="13"/>
  <c r="D485" i="13"/>
  <c r="K485" i="13" s="1"/>
  <c r="L485" i="13" s="1"/>
  <c r="C485" i="13"/>
  <c r="B485" i="13"/>
  <c r="M484" i="13"/>
  <c r="G484" i="13"/>
  <c r="F484" i="13"/>
  <c r="E484" i="13"/>
  <c r="D484" i="13"/>
  <c r="C484" i="13"/>
  <c r="B484" i="13"/>
  <c r="M483" i="13"/>
  <c r="G483" i="13"/>
  <c r="F483" i="13"/>
  <c r="E483" i="13"/>
  <c r="D483" i="13"/>
  <c r="C483" i="13"/>
  <c r="B483" i="13"/>
  <c r="M482" i="13"/>
  <c r="G482" i="13"/>
  <c r="F482" i="13"/>
  <c r="E482" i="13"/>
  <c r="D482" i="13"/>
  <c r="T482" i="13" s="1"/>
  <c r="C482" i="13"/>
  <c r="B482" i="13"/>
  <c r="N481" i="13"/>
  <c r="O481" i="13" s="1"/>
  <c r="M481" i="13"/>
  <c r="J481" i="13"/>
  <c r="G481" i="13"/>
  <c r="H481" i="13" s="1"/>
  <c r="F481" i="13"/>
  <c r="E481" i="13"/>
  <c r="D481" i="13"/>
  <c r="C481" i="13"/>
  <c r="T481" i="13" s="1"/>
  <c r="B481" i="13"/>
  <c r="M480" i="13"/>
  <c r="J480" i="13"/>
  <c r="H480" i="13"/>
  <c r="G480" i="13"/>
  <c r="F480" i="13"/>
  <c r="E480" i="13"/>
  <c r="D480" i="13"/>
  <c r="C480" i="13"/>
  <c r="N480" i="13" s="1"/>
  <c r="B480" i="13"/>
  <c r="M479" i="13"/>
  <c r="G479" i="13"/>
  <c r="F479" i="13"/>
  <c r="E479" i="13"/>
  <c r="D479" i="13"/>
  <c r="C479" i="13"/>
  <c r="B479" i="13"/>
  <c r="M478" i="13"/>
  <c r="G478" i="13"/>
  <c r="F478" i="13"/>
  <c r="E478" i="13"/>
  <c r="D478" i="13"/>
  <c r="H478" i="13" s="1"/>
  <c r="C478" i="13"/>
  <c r="B478" i="13"/>
  <c r="M477" i="13"/>
  <c r="G477" i="13"/>
  <c r="F477" i="13"/>
  <c r="E477" i="13"/>
  <c r="D477" i="13"/>
  <c r="J477" i="13" s="1"/>
  <c r="C477" i="13"/>
  <c r="N477" i="13" s="1"/>
  <c r="S477" i="13" s="1"/>
  <c r="B477" i="13"/>
  <c r="M476" i="13"/>
  <c r="G476" i="13"/>
  <c r="F476" i="13"/>
  <c r="E476" i="13"/>
  <c r="D476" i="13"/>
  <c r="J476" i="13" s="1"/>
  <c r="C476" i="13"/>
  <c r="B476" i="13"/>
  <c r="M475" i="13"/>
  <c r="K475" i="13"/>
  <c r="L475" i="13" s="1"/>
  <c r="J475" i="13"/>
  <c r="G475" i="13"/>
  <c r="F475" i="13"/>
  <c r="E475" i="13"/>
  <c r="D475" i="13"/>
  <c r="C475" i="13"/>
  <c r="N475" i="13" s="1"/>
  <c r="O475" i="13" s="1"/>
  <c r="B475" i="13"/>
  <c r="M474" i="13"/>
  <c r="G474" i="13"/>
  <c r="F474" i="13"/>
  <c r="E474" i="13"/>
  <c r="D474" i="13"/>
  <c r="C474" i="13"/>
  <c r="B474" i="13"/>
  <c r="M473" i="13"/>
  <c r="K473" i="13"/>
  <c r="L473" i="13" s="1"/>
  <c r="J473" i="13"/>
  <c r="G473" i="13"/>
  <c r="F473" i="13"/>
  <c r="E473" i="13"/>
  <c r="D473" i="13"/>
  <c r="C473" i="13"/>
  <c r="T473" i="13" s="1"/>
  <c r="B473" i="13"/>
  <c r="M472" i="13"/>
  <c r="G472" i="13"/>
  <c r="F472" i="13"/>
  <c r="E472" i="13"/>
  <c r="D472" i="13"/>
  <c r="C472" i="13"/>
  <c r="B472" i="13"/>
  <c r="T471" i="13"/>
  <c r="M471" i="13"/>
  <c r="J471" i="13"/>
  <c r="G471" i="13"/>
  <c r="K471" i="13" s="1"/>
  <c r="L471" i="13" s="1"/>
  <c r="F471" i="13"/>
  <c r="E471" i="13"/>
  <c r="D471" i="13"/>
  <c r="C471" i="13"/>
  <c r="N471" i="13" s="1"/>
  <c r="S471" i="13" s="1"/>
  <c r="B471" i="13"/>
  <c r="M470" i="13"/>
  <c r="G470" i="13"/>
  <c r="F470" i="13"/>
  <c r="E470" i="13"/>
  <c r="D470" i="13"/>
  <c r="C470" i="13"/>
  <c r="B470" i="13"/>
  <c r="M469" i="13"/>
  <c r="K469" i="13"/>
  <c r="L469" i="13" s="1"/>
  <c r="J469" i="13"/>
  <c r="G469" i="13"/>
  <c r="H469" i="13" s="1"/>
  <c r="F469" i="13"/>
  <c r="E469" i="13"/>
  <c r="D469" i="13"/>
  <c r="C469" i="13"/>
  <c r="T469" i="13" s="1"/>
  <c r="B469" i="13"/>
  <c r="T468" i="13"/>
  <c r="M468" i="13"/>
  <c r="J468" i="13"/>
  <c r="G468" i="13"/>
  <c r="F468" i="13"/>
  <c r="E468" i="13"/>
  <c r="D468" i="13"/>
  <c r="C468" i="13"/>
  <c r="B468" i="13"/>
  <c r="M467" i="13"/>
  <c r="G467" i="13"/>
  <c r="F467" i="13"/>
  <c r="E467" i="13"/>
  <c r="D467" i="13"/>
  <c r="C467" i="13"/>
  <c r="B467" i="13"/>
  <c r="M466" i="13"/>
  <c r="G466" i="13"/>
  <c r="F466" i="13"/>
  <c r="E466" i="13"/>
  <c r="D466" i="13"/>
  <c r="C466" i="13"/>
  <c r="B466" i="13"/>
  <c r="M465" i="13"/>
  <c r="G465" i="13"/>
  <c r="H465" i="13" s="1"/>
  <c r="F465" i="13"/>
  <c r="E465" i="13"/>
  <c r="D465" i="13"/>
  <c r="K465" i="13" s="1"/>
  <c r="L465" i="13" s="1"/>
  <c r="C465" i="13"/>
  <c r="B465" i="13"/>
  <c r="M464" i="13"/>
  <c r="J464" i="13"/>
  <c r="G464" i="13"/>
  <c r="K464" i="13" s="1"/>
  <c r="L464" i="13" s="1"/>
  <c r="F464" i="13"/>
  <c r="E464" i="13"/>
  <c r="D464" i="13"/>
  <c r="C464" i="13"/>
  <c r="B464" i="13"/>
  <c r="M463" i="13"/>
  <c r="K463" i="13"/>
  <c r="L463" i="13" s="1"/>
  <c r="J463" i="13"/>
  <c r="G463" i="13"/>
  <c r="F463" i="13"/>
  <c r="E463" i="13"/>
  <c r="D463" i="13"/>
  <c r="C463" i="13"/>
  <c r="T463" i="13" s="1"/>
  <c r="B463" i="13"/>
  <c r="T462" i="13"/>
  <c r="M462" i="13"/>
  <c r="G462" i="13"/>
  <c r="F462" i="13"/>
  <c r="E462" i="13"/>
  <c r="D462" i="13"/>
  <c r="H462" i="13" s="1"/>
  <c r="C462" i="13"/>
  <c r="B462" i="13"/>
  <c r="M461" i="13"/>
  <c r="G461" i="13"/>
  <c r="K461" i="13" s="1"/>
  <c r="L461" i="13" s="1"/>
  <c r="F461" i="13"/>
  <c r="E461" i="13"/>
  <c r="D461" i="13"/>
  <c r="J461" i="13" s="1"/>
  <c r="C461" i="13"/>
  <c r="N461" i="13" s="1"/>
  <c r="B461" i="13"/>
  <c r="M460" i="13"/>
  <c r="G460" i="13"/>
  <c r="H460" i="13" s="1"/>
  <c r="F460" i="13"/>
  <c r="E460" i="13"/>
  <c r="D460" i="13"/>
  <c r="J460" i="13" s="1"/>
  <c r="C460" i="13"/>
  <c r="B460" i="13"/>
  <c r="M459" i="13"/>
  <c r="J459" i="13"/>
  <c r="G459" i="13"/>
  <c r="K459" i="13" s="1"/>
  <c r="L459" i="13" s="1"/>
  <c r="F459" i="13"/>
  <c r="E459" i="13"/>
  <c r="D459" i="13"/>
  <c r="C459" i="13"/>
  <c r="B459" i="13"/>
  <c r="N458" i="13"/>
  <c r="M458" i="13"/>
  <c r="G458" i="13"/>
  <c r="F458" i="13"/>
  <c r="E458" i="13"/>
  <c r="D458" i="13"/>
  <c r="C458" i="13"/>
  <c r="B458" i="13"/>
  <c r="N457" i="13"/>
  <c r="P457" i="13" s="1"/>
  <c r="M457" i="13"/>
  <c r="J457" i="13"/>
  <c r="G457" i="13"/>
  <c r="F457" i="13"/>
  <c r="E457" i="13"/>
  <c r="D457" i="13"/>
  <c r="C457" i="13"/>
  <c r="T457" i="13" s="1"/>
  <c r="B457" i="13"/>
  <c r="M456" i="13"/>
  <c r="G456" i="13"/>
  <c r="F456" i="13"/>
  <c r="E456" i="13"/>
  <c r="D456" i="13"/>
  <c r="C456" i="13"/>
  <c r="B456" i="13"/>
  <c r="M455" i="13"/>
  <c r="G455" i="13"/>
  <c r="F455" i="13"/>
  <c r="E455" i="13"/>
  <c r="D455" i="13"/>
  <c r="C455" i="13"/>
  <c r="B455" i="13"/>
  <c r="M454" i="13"/>
  <c r="G454" i="13"/>
  <c r="F454" i="13"/>
  <c r="E454" i="13"/>
  <c r="D454" i="13"/>
  <c r="C454" i="13"/>
  <c r="T454" i="13" s="1"/>
  <c r="B454" i="13"/>
  <c r="M453" i="13"/>
  <c r="G453" i="13"/>
  <c r="F453" i="13"/>
  <c r="E453" i="13"/>
  <c r="D453" i="13"/>
  <c r="J453" i="13" s="1"/>
  <c r="C453" i="13"/>
  <c r="N453" i="13" s="1"/>
  <c r="B453" i="13"/>
  <c r="M452" i="13"/>
  <c r="J452" i="13"/>
  <c r="G452" i="13"/>
  <c r="H452" i="13" s="1"/>
  <c r="F452" i="13"/>
  <c r="E452" i="13"/>
  <c r="D452" i="13"/>
  <c r="C452" i="13"/>
  <c r="B452" i="13"/>
  <c r="M451" i="13"/>
  <c r="K451" i="13"/>
  <c r="L451" i="13" s="1"/>
  <c r="J451" i="13"/>
  <c r="G451" i="13"/>
  <c r="F451" i="13"/>
  <c r="E451" i="13"/>
  <c r="D451" i="13"/>
  <c r="C451" i="13"/>
  <c r="B451" i="13"/>
  <c r="T450" i="13"/>
  <c r="M450" i="13"/>
  <c r="G450" i="13"/>
  <c r="F450" i="13"/>
  <c r="E450" i="13"/>
  <c r="D450" i="13"/>
  <c r="C450" i="13"/>
  <c r="N450" i="13" s="1"/>
  <c r="B450" i="13"/>
  <c r="M449" i="13"/>
  <c r="G449" i="13"/>
  <c r="F449" i="13"/>
  <c r="E449" i="13"/>
  <c r="D449" i="13"/>
  <c r="J449" i="13" s="1"/>
  <c r="C449" i="13"/>
  <c r="B449" i="13"/>
  <c r="M448" i="13"/>
  <c r="G448" i="13"/>
  <c r="F448" i="13"/>
  <c r="E448" i="13"/>
  <c r="D448" i="13"/>
  <c r="C448" i="13"/>
  <c r="N448" i="13" s="1"/>
  <c r="Q448" i="13" s="1"/>
  <c r="B448" i="13"/>
  <c r="M447" i="13"/>
  <c r="J447" i="13"/>
  <c r="G447" i="13"/>
  <c r="K447" i="13" s="1"/>
  <c r="L447" i="13" s="1"/>
  <c r="F447" i="13"/>
  <c r="E447" i="13"/>
  <c r="D447" i="13"/>
  <c r="C447" i="13"/>
  <c r="N447" i="13" s="1"/>
  <c r="R447" i="13" s="1"/>
  <c r="B447" i="13"/>
  <c r="T446" i="13"/>
  <c r="M446" i="13"/>
  <c r="G446" i="13"/>
  <c r="F446" i="13"/>
  <c r="E446" i="13"/>
  <c r="D446" i="13"/>
  <c r="C446" i="13"/>
  <c r="N446" i="13" s="1"/>
  <c r="B446" i="13"/>
  <c r="N445" i="13"/>
  <c r="M445" i="13"/>
  <c r="J445" i="13"/>
  <c r="G445" i="13"/>
  <c r="F445" i="13"/>
  <c r="E445" i="13"/>
  <c r="D445" i="13"/>
  <c r="C445" i="13"/>
  <c r="T445" i="13" s="1"/>
  <c r="B445" i="13"/>
  <c r="M444" i="13"/>
  <c r="J444" i="13"/>
  <c r="H444" i="13"/>
  <c r="G444" i="13"/>
  <c r="F444" i="13"/>
  <c r="E444" i="13"/>
  <c r="D444" i="13"/>
  <c r="C444" i="13"/>
  <c r="N444" i="13" s="1"/>
  <c r="B444" i="13"/>
  <c r="M443" i="13"/>
  <c r="K443" i="13"/>
  <c r="L443" i="13" s="1"/>
  <c r="J443" i="13"/>
  <c r="G443" i="13"/>
  <c r="F443" i="13"/>
  <c r="E443" i="13"/>
  <c r="D443" i="13"/>
  <c r="C443" i="13"/>
  <c r="B443" i="13"/>
  <c r="N442" i="13"/>
  <c r="M442" i="13"/>
  <c r="G442" i="13"/>
  <c r="F442" i="13"/>
  <c r="E442" i="13"/>
  <c r="D442" i="13"/>
  <c r="C442" i="13"/>
  <c r="T442" i="13" s="1"/>
  <c r="B442" i="13"/>
  <c r="N441" i="13"/>
  <c r="M441" i="13"/>
  <c r="J441" i="13"/>
  <c r="G441" i="13"/>
  <c r="F441" i="13"/>
  <c r="E441" i="13"/>
  <c r="D441" i="13"/>
  <c r="C441" i="13"/>
  <c r="T441" i="13" s="1"/>
  <c r="B441" i="13"/>
  <c r="M440" i="13"/>
  <c r="J440" i="13"/>
  <c r="H440" i="13"/>
  <c r="G440" i="13"/>
  <c r="F440" i="13"/>
  <c r="E440" i="13"/>
  <c r="D440" i="13"/>
  <c r="K440" i="13" s="1"/>
  <c r="L440" i="13" s="1"/>
  <c r="C440" i="13"/>
  <c r="N440" i="13" s="1"/>
  <c r="R440" i="13" s="1"/>
  <c r="B440" i="13"/>
  <c r="M439" i="13"/>
  <c r="K439" i="13"/>
  <c r="L439" i="13" s="1"/>
  <c r="J439" i="13"/>
  <c r="G439" i="13"/>
  <c r="F439" i="13"/>
  <c r="E439" i="13"/>
  <c r="D439" i="13"/>
  <c r="C439" i="13"/>
  <c r="B439" i="13"/>
  <c r="M438" i="13"/>
  <c r="G438" i="13"/>
  <c r="F438" i="13"/>
  <c r="E438" i="13"/>
  <c r="D438" i="13"/>
  <c r="C438" i="13"/>
  <c r="N438" i="13" s="1"/>
  <c r="B438" i="13"/>
  <c r="N437" i="13"/>
  <c r="M437" i="13"/>
  <c r="J437" i="13"/>
  <c r="G437" i="13"/>
  <c r="F437" i="13"/>
  <c r="E437" i="13"/>
  <c r="D437" i="13"/>
  <c r="C437" i="13"/>
  <c r="T437" i="13" s="1"/>
  <c r="B437" i="13"/>
  <c r="M436" i="13"/>
  <c r="J436" i="13"/>
  <c r="G436" i="13"/>
  <c r="H436" i="13" s="1"/>
  <c r="F436" i="13"/>
  <c r="E436" i="13"/>
  <c r="D436" i="13"/>
  <c r="K436" i="13" s="1"/>
  <c r="L436" i="13" s="1"/>
  <c r="C436" i="13"/>
  <c r="N436" i="13" s="1"/>
  <c r="P436" i="13" s="1"/>
  <c r="B436" i="13"/>
  <c r="M435" i="13"/>
  <c r="K435" i="13"/>
  <c r="L435" i="13" s="1"/>
  <c r="J435" i="13"/>
  <c r="G435" i="13"/>
  <c r="F435" i="13"/>
  <c r="E435" i="13"/>
  <c r="D435" i="13"/>
  <c r="C435" i="13"/>
  <c r="B435" i="13"/>
  <c r="T434" i="13"/>
  <c r="N434" i="13"/>
  <c r="M434" i="13"/>
  <c r="G434" i="13"/>
  <c r="F434" i="13"/>
  <c r="E434" i="13"/>
  <c r="D434" i="13"/>
  <c r="C434" i="13"/>
  <c r="B434" i="13"/>
  <c r="P433" i="13"/>
  <c r="N433" i="13"/>
  <c r="O433" i="13" s="1"/>
  <c r="M433" i="13"/>
  <c r="J433" i="13"/>
  <c r="G433" i="13"/>
  <c r="F433" i="13"/>
  <c r="E433" i="13"/>
  <c r="D433" i="13"/>
  <c r="C433" i="13"/>
  <c r="T433" i="13" s="1"/>
  <c r="B433" i="13"/>
  <c r="M432" i="13"/>
  <c r="J432" i="13"/>
  <c r="H432" i="13"/>
  <c r="G432" i="13"/>
  <c r="F432" i="13"/>
  <c r="E432" i="13"/>
  <c r="D432" i="13"/>
  <c r="K432" i="13" s="1"/>
  <c r="L432" i="13" s="1"/>
  <c r="C432" i="13"/>
  <c r="N432" i="13" s="1"/>
  <c r="Q432" i="13" s="1"/>
  <c r="B432" i="13"/>
  <c r="T431" i="13"/>
  <c r="M431" i="13"/>
  <c r="K431" i="13"/>
  <c r="L431" i="13" s="1"/>
  <c r="J431" i="13"/>
  <c r="G431" i="13"/>
  <c r="F431" i="13"/>
  <c r="E431" i="13"/>
  <c r="D431" i="13"/>
  <c r="H431" i="13" s="1"/>
  <c r="C431" i="13"/>
  <c r="N431" i="13" s="1"/>
  <c r="R431" i="13" s="1"/>
  <c r="B431" i="13"/>
  <c r="M430" i="13"/>
  <c r="G430" i="13"/>
  <c r="F430" i="13"/>
  <c r="E430" i="13"/>
  <c r="D430" i="13"/>
  <c r="C430" i="13"/>
  <c r="B430" i="13"/>
  <c r="N429" i="13"/>
  <c r="M429" i="13"/>
  <c r="J429" i="13"/>
  <c r="G429" i="13"/>
  <c r="F429" i="13"/>
  <c r="E429" i="13"/>
  <c r="D429" i="13"/>
  <c r="C429" i="13"/>
  <c r="T429" i="13" s="1"/>
  <c r="B429" i="13"/>
  <c r="M428" i="13"/>
  <c r="J428" i="13"/>
  <c r="G428" i="13"/>
  <c r="H428" i="13" s="1"/>
  <c r="F428" i="13"/>
  <c r="E428" i="13"/>
  <c r="D428" i="13"/>
  <c r="C428" i="13"/>
  <c r="N428" i="13" s="1"/>
  <c r="B428" i="13"/>
  <c r="M427" i="13"/>
  <c r="K427" i="13"/>
  <c r="L427" i="13" s="1"/>
  <c r="J427" i="13"/>
  <c r="G427" i="13"/>
  <c r="F427" i="13"/>
  <c r="E427" i="13"/>
  <c r="D427" i="13"/>
  <c r="C427" i="13"/>
  <c r="B427" i="13"/>
  <c r="N426" i="13"/>
  <c r="M426" i="13"/>
  <c r="G426" i="13"/>
  <c r="F426" i="13"/>
  <c r="E426" i="13"/>
  <c r="D426" i="13"/>
  <c r="C426" i="13"/>
  <c r="T426" i="13" s="1"/>
  <c r="B426" i="13"/>
  <c r="N425" i="13"/>
  <c r="M425" i="13"/>
  <c r="J425" i="13"/>
  <c r="G425" i="13"/>
  <c r="F425" i="13"/>
  <c r="E425" i="13"/>
  <c r="D425" i="13"/>
  <c r="C425" i="13"/>
  <c r="T425" i="13" s="1"/>
  <c r="B425" i="13"/>
  <c r="M424" i="13"/>
  <c r="J424" i="13"/>
  <c r="H424" i="13"/>
  <c r="G424" i="13"/>
  <c r="F424" i="13"/>
  <c r="E424" i="13"/>
  <c r="D424" i="13"/>
  <c r="K424" i="13" s="1"/>
  <c r="L424" i="13" s="1"/>
  <c r="C424" i="13"/>
  <c r="N424" i="13" s="1"/>
  <c r="R424" i="13" s="1"/>
  <c r="B424" i="13"/>
  <c r="M423" i="13"/>
  <c r="L423" i="13"/>
  <c r="K423" i="13"/>
  <c r="J423" i="13"/>
  <c r="G423" i="13"/>
  <c r="F423" i="13"/>
  <c r="E423" i="13"/>
  <c r="D423" i="13"/>
  <c r="C423" i="13"/>
  <c r="B423" i="13"/>
  <c r="T422" i="13"/>
  <c r="M422" i="13"/>
  <c r="G422" i="13"/>
  <c r="F422" i="13"/>
  <c r="E422" i="13"/>
  <c r="D422" i="13"/>
  <c r="C422" i="13"/>
  <c r="N422" i="13" s="1"/>
  <c r="B422" i="13"/>
  <c r="N421" i="13"/>
  <c r="S421" i="13" s="1"/>
  <c r="M421" i="13"/>
  <c r="J421" i="13"/>
  <c r="G421" i="13"/>
  <c r="F421" i="13"/>
  <c r="E421" i="13"/>
  <c r="D421" i="13"/>
  <c r="C421" i="13"/>
  <c r="B421" i="13"/>
  <c r="M420" i="13"/>
  <c r="J420" i="13"/>
  <c r="G420" i="13"/>
  <c r="F420" i="13"/>
  <c r="E420" i="13"/>
  <c r="D420" i="13"/>
  <c r="C420" i="13"/>
  <c r="B420" i="13"/>
  <c r="N419" i="13"/>
  <c r="M419" i="13"/>
  <c r="G419" i="13"/>
  <c r="F419" i="13"/>
  <c r="E419" i="13"/>
  <c r="D419" i="13"/>
  <c r="T419" i="13" s="1"/>
  <c r="C419" i="13"/>
  <c r="B419" i="13"/>
  <c r="M418" i="13"/>
  <c r="G418" i="13"/>
  <c r="F418" i="13"/>
  <c r="E418" i="13"/>
  <c r="D418" i="13"/>
  <c r="C418" i="13"/>
  <c r="B418" i="13"/>
  <c r="M417" i="13"/>
  <c r="G417" i="13"/>
  <c r="F417" i="13"/>
  <c r="E417" i="13"/>
  <c r="D417" i="13"/>
  <c r="N417" i="13" s="1"/>
  <c r="C417" i="13"/>
  <c r="B417" i="13"/>
  <c r="M416" i="13"/>
  <c r="J416" i="13"/>
  <c r="G416" i="13"/>
  <c r="F416" i="13"/>
  <c r="E416" i="13"/>
  <c r="D416" i="13"/>
  <c r="C416" i="13"/>
  <c r="B416" i="13"/>
  <c r="M415" i="13"/>
  <c r="K415" i="13"/>
  <c r="L415" i="13" s="1"/>
  <c r="J415" i="13"/>
  <c r="G415" i="13"/>
  <c r="F415" i="13"/>
  <c r="E415" i="13"/>
  <c r="D415" i="13"/>
  <c r="C415" i="13"/>
  <c r="T415" i="13" s="1"/>
  <c r="B415" i="13"/>
  <c r="T414" i="13"/>
  <c r="M414" i="13"/>
  <c r="G414" i="13"/>
  <c r="F414" i="13"/>
  <c r="E414" i="13"/>
  <c r="D414" i="13"/>
  <c r="C414" i="13"/>
  <c r="N414" i="13" s="1"/>
  <c r="B414" i="13"/>
  <c r="M413" i="13"/>
  <c r="G413" i="13"/>
  <c r="F413" i="13"/>
  <c r="E413" i="13"/>
  <c r="D413" i="13"/>
  <c r="J413" i="13" s="1"/>
  <c r="C413" i="13"/>
  <c r="B413" i="13"/>
  <c r="M412" i="13"/>
  <c r="G412" i="13"/>
  <c r="F412" i="13"/>
  <c r="E412" i="13"/>
  <c r="D412" i="13"/>
  <c r="J412" i="13" s="1"/>
  <c r="C412" i="13"/>
  <c r="B412" i="13"/>
  <c r="M411" i="13"/>
  <c r="K411" i="13"/>
  <c r="L411" i="13" s="1"/>
  <c r="J411" i="13"/>
  <c r="G411" i="13"/>
  <c r="F411" i="13"/>
  <c r="E411" i="13"/>
  <c r="D411" i="13"/>
  <c r="C411" i="13"/>
  <c r="B411" i="13"/>
  <c r="T410" i="13"/>
  <c r="M410" i="13"/>
  <c r="G410" i="13"/>
  <c r="F410" i="13"/>
  <c r="E410" i="13"/>
  <c r="D410" i="13"/>
  <c r="C410" i="13"/>
  <c r="N410" i="13" s="1"/>
  <c r="B410" i="13"/>
  <c r="M409" i="13"/>
  <c r="G409" i="13"/>
  <c r="F409" i="13"/>
  <c r="E409" i="13"/>
  <c r="D409" i="13"/>
  <c r="J409" i="13" s="1"/>
  <c r="C409" i="13"/>
  <c r="B409" i="13"/>
  <c r="M408" i="13"/>
  <c r="G408" i="13"/>
  <c r="F408" i="13"/>
  <c r="E408" i="13"/>
  <c r="D408" i="13"/>
  <c r="C408" i="13"/>
  <c r="B408" i="13"/>
  <c r="M407" i="13"/>
  <c r="K407" i="13"/>
  <c r="L407" i="13" s="1"/>
  <c r="J407" i="13"/>
  <c r="G407" i="13"/>
  <c r="F407" i="13"/>
  <c r="E407" i="13"/>
  <c r="D407" i="13"/>
  <c r="C407" i="13"/>
  <c r="T407" i="13" s="1"/>
  <c r="B407" i="13"/>
  <c r="T406" i="13"/>
  <c r="M406" i="13"/>
  <c r="G406" i="13"/>
  <c r="F406" i="13"/>
  <c r="E406" i="13"/>
  <c r="D406" i="13"/>
  <c r="C406" i="13"/>
  <c r="N406" i="13" s="1"/>
  <c r="B406" i="13"/>
  <c r="M405" i="13"/>
  <c r="G405" i="13"/>
  <c r="F405" i="13"/>
  <c r="E405" i="13"/>
  <c r="D405" i="13"/>
  <c r="J405" i="13" s="1"/>
  <c r="C405" i="13"/>
  <c r="B405" i="13"/>
  <c r="M404" i="13"/>
  <c r="G404" i="13"/>
  <c r="F404" i="13"/>
  <c r="E404" i="13"/>
  <c r="D404" i="13"/>
  <c r="C404" i="13"/>
  <c r="B404" i="13"/>
  <c r="M403" i="13"/>
  <c r="K403" i="13"/>
  <c r="L403" i="13" s="1"/>
  <c r="J403" i="13"/>
  <c r="G403" i="13"/>
  <c r="F403" i="13"/>
  <c r="E403" i="13"/>
  <c r="D403" i="13"/>
  <c r="C403" i="13"/>
  <c r="T403" i="13" s="1"/>
  <c r="B403" i="13"/>
  <c r="T402" i="13"/>
  <c r="M402" i="13"/>
  <c r="G402" i="13"/>
  <c r="F402" i="13"/>
  <c r="E402" i="13"/>
  <c r="D402" i="13"/>
  <c r="C402" i="13"/>
  <c r="B402" i="13"/>
  <c r="M401" i="13"/>
  <c r="J401" i="13"/>
  <c r="G401" i="13"/>
  <c r="F401" i="13"/>
  <c r="E401" i="13"/>
  <c r="D401" i="13"/>
  <c r="C401" i="13"/>
  <c r="T401" i="13" s="1"/>
  <c r="B401" i="13"/>
  <c r="M400" i="13"/>
  <c r="G400" i="13"/>
  <c r="F400" i="13"/>
  <c r="E400" i="13"/>
  <c r="D400" i="13"/>
  <c r="C400" i="13"/>
  <c r="B400" i="13"/>
  <c r="M399" i="13"/>
  <c r="G399" i="13"/>
  <c r="F399" i="13"/>
  <c r="E399" i="13"/>
  <c r="D399" i="13"/>
  <c r="K399" i="13" s="1"/>
  <c r="L399" i="13" s="1"/>
  <c r="C399" i="13"/>
  <c r="N399" i="13" s="1"/>
  <c r="B399" i="13"/>
  <c r="M398" i="13"/>
  <c r="G398" i="13"/>
  <c r="H398" i="13" s="1"/>
  <c r="F398" i="13"/>
  <c r="E398" i="13"/>
  <c r="D398" i="13"/>
  <c r="C398" i="13"/>
  <c r="T398" i="13" s="1"/>
  <c r="B398" i="13"/>
  <c r="N397" i="13"/>
  <c r="M397" i="13"/>
  <c r="J397" i="13"/>
  <c r="G397" i="13"/>
  <c r="F397" i="13"/>
  <c r="E397" i="13"/>
  <c r="D397" i="13"/>
  <c r="C397" i="13"/>
  <c r="T397" i="13" s="1"/>
  <c r="B397" i="13"/>
  <c r="M396" i="13"/>
  <c r="L396" i="13"/>
  <c r="J396" i="13"/>
  <c r="G396" i="13"/>
  <c r="F396" i="13"/>
  <c r="E396" i="13"/>
  <c r="D396" i="13"/>
  <c r="K396" i="13" s="1"/>
  <c r="C396" i="13"/>
  <c r="B396" i="13"/>
  <c r="T395" i="13"/>
  <c r="M395" i="13"/>
  <c r="G395" i="13"/>
  <c r="F395" i="13"/>
  <c r="E395" i="13"/>
  <c r="D395" i="13"/>
  <c r="K395" i="13" s="1"/>
  <c r="L395" i="13" s="1"/>
  <c r="C395" i="13"/>
  <c r="B395" i="13"/>
  <c r="M394" i="13"/>
  <c r="G394" i="13"/>
  <c r="H394" i="13" s="1"/>
  <c r="F394" i="13"/>
  <c r="E394" i="13"/>
  <c r="D394" i="13"/>
  <c r="C394" i="13"/>
  <c r="T394" i="13" s="1"/>
  <c r="B394" i="13"/>
  <c r="N393" i="13"/>
  <c r="P393" i="13" s="1"/>
  <c r="M393" i="13"/>
  <c r="J393" i="13"/>
  <c r="G393" i="13"/>
  <c r="F393" i="13"/>
  <c r="E393" i="13"/>
  <c r="D393" i="13"/>
  <c r="C393" i="13"/>
  <c r="T393" i="13" s="1"/>
  <c r="B393" i="13"/>
  <c r="M392" i="13"/>
  <c r="J392" i="13"/>
  <c r="G392" i="13"/>
  <c r="F392" i="13"/>
  <c r="E392" i="13"/>
  <c r="D392" i="13"/>
  <c r="C392" i="13"/>
  <c r="B392" i="13"/>
  <c r="M391" i="13"/>
  <c r="G391" i="13"/>
  <c r="F391" i="13"/>
  <c r="E391" i="13"/>
  <c r="D391" i="13"/>
  <c r="T391" i="13" s="1"/>
  <c r="C391" i="13"/>
  <c r="B391" i="13"/>
  <c r="M390" i="13"/>
  <c r="G390" i="13"/>
  <c r="F390" i="13"/>
  <c r="E390" i="13"/>
  <c r="D390" i="13"/>
  <c r="C390" i="13"/>
  <c r="B390" i="13"/>
  <c r="N389" i="13"/>
  <c r="P389" i="13" s="1"/>
  <c r="M389" i="13"/>
  <c r="J389" i="13"/>
  <c r="G389" i="13"/>
  <c r="F389" i="13"/>
  <c r="E389" i="13"/>
  <c r="D389" i="13"/>
  <c r="C389" i="13"/>
  <c r="B389" i="13"/>
  <c r="M388" i="13"/>
  <c r="J388" i="13"/>
  <c r="G388" i="13"/>
  <c r="F388" i="13"/>
  <c r="E388" i="13"/>
  <c r="D388" i="13"/>
  <c r="C388" i="13"/>
  <c r="B388" i="13"/>
  <c r="N387" i="13"/>
  <c r="M387" i="13"/>
  <c r="G387" i="13"/>
  <c r="F387" i="13"/>
  <c r="E387" i="13"/>
  <c r="D387" i="13"/>
  <c r="C387" i="13"/>
  <c r="T387" i="13" s="1"/>
  <c r="B387" i="13"/>
  <c r="M386" i="13"/>
  <c r="G386" i="13"/>
  <c r="F386" i="13"/>
  <c r="E386" i="13"/>
  <c r="D386" i="13"/>
  <c r="C386" i="13"/>
  <c r="B386" i="13"/>
  <c r="M385" i="13"/>
  <c r="G385" i="13"/>
  <c r="F385" i="13"/>
  <c r="E385" i="13"/>
  <c r="D385" i="13"/>
  <c r="J385" i="13" s="1"/>
  <c r="C385" i="13"/>
  <c r="B385" i="13"/>
  <c r="M384" i="13"/>
  <c r="G384" i="13"/>
  <c r="F384" i="13"/>
  <c r="E384" i="13"/>
  <c r="D384" i="13"/>
  <c r="C384" i="13"/>
  <c r="B384" i="13"/>
  <c r="M383" i="13"/>
  <c r="J383" i="13"/>
  <c r="G383" i="13"/>
  <c r="K383" i="13" s="1"/>
  <c r="L383" i="13" s="1"/>
  <c r="F383" i="13"/>
  <c r="E383" i="13"/>
  <c r="D383" i="13"/>
  <c r="C383" i="13"/>
  <c r="T383" i="13" s="1"/>
  <c r="B383" i="13"/>
  <c r="T382" i="13"/>
  <c r="M382" i="13"/>
  <c r="G382" i="13"/>
  <c r="H382" i="13" s="1"/>
  <c r="F382" i="13"/>
  <c r="E382" i="13"/>
  <c r="D382" i="13"/>
  <c r="C382" i="13"/>
  <c r="N382" i="13" s="1"/>
  <c r="B382" i="13"/>
  <c r="N381" i="13"/>
  <c r="P381" i="13" s="1"/>
  <c r="M381" i="13"/>
  <c r="J381" i="13"/>
  <c r="G381" i="13"/>
  <c r="F381" i="13"/>
  <c r="E381" i="13"/>
  <c r="D381" i="13"/>
  <c r="C381" i="13"/>
  <c r="T381" i="13" s="1"/>
  <c r="B381" i="13"/>
  <c r="M380" i="13"/>
  <c r="L380" i="13"/>
  <c r="J380" i="13"/>
  <c r="G380" i="13"/>
  <c r="F380" i="13"/>
  <c r="E380" i="13"/>
  <c r="D380" i="13"/>
  <c r="K380" i="13" s="1"/>
  <c r="C380" i="13"/>
  <c r="B380" i="13"/>
  <c r="T379" i="13"/>
  <c r="M379" i="13"/>
  <c r="G379" i="13"/>
  <c r="F379" i="13"/>
  <c r="E379" i="13"/>
  <c r="D379" i="13"/>
  <c r="K379" i="13" s="1"/>
  <c r="L379" i="13" s="1"/>
  <c r="C379" i="13"/>
  <c r="B379" i="13"/>
  <c r="M378" i="13"/>
  <c r="G378" i="13"/>
  <c r="H378" i="13" s="1"/>
  <c r="F378" i="13"/>
  <c r="E378" i="13"/>
  <c r="D378" i="13"/>
  <c r="T378" i="13" s="1"/>
  <c r="C378" i="13"/>
  <c r="B378" i="13"/>
  <c r="P377" i="13"/>
  <c r="N377" i="13"/>
  <c r="M377" i="13"/>
  <c r="G377" i="13"/>
  <c r="F377" i="13"/>
  <c r="E377" i="13"/>
  <c r="D377" i="13"/>
  <c r="C377" i="13"/>
  <c r="B377" i="13"/>
  <c r="M376" i="13"/>
  <c r="J376" i="13"/>
  <c r="H376" i="13"/>
  <c r="G376" i="13"/>
  <c r="K376" i="13" s="1"/>
  <c r="L376" i="13" s="1"/>
  <c r="F376" i="13"/>
  <c r="E376" i="13"/>
  <c r="D376" i="13"/>
  <c r="C376" i="13"/>
  <c r="N376" i="13" s="1"/>
  <c r="O376" i="13" s="1"/>
  <c r="B376" i="13"/>
  <c r="M375" i="13"/>
  <c r="K375" i="13"/>
  <c r="L375" i="13" s="1"/>
  <c r="J375" i="13"/>
  <c r="G375" i="13"/>
  <c r="F375" i="13"/>
  <c r="E375" i="13"/>
  <c r="D375" i="13"/>
  <c r="C375" i="13"/>
  <c r="N375" i="13" s="1"/>
  <c r="S375" i="13" s="1"/>
  <c r="B375" i="13"/>
  <c r="M374" i="13"/>
  <c r="G374" i="13"/>
  <c r="F374" i="13"/>
  <c r="E374" i="13"/>
  <c r="D374" i="13"/>
  <c r="C374" i="13"/>
  <c r="B374" i="13"/>
  <c r="N373" i="13"/>
  <c r="Q373" i="13" s="1"/>
  <c r="M373" i="13"/>
  <c r="J373" i="13"/>
  <c r="G373" i="13"/>
  <c r="F373" i="13"/>
  <c r="E373" i="13"/>
  <c r="D373" i="13"/>
  <c r="C373" i="13"/>
  <c r="T373" i="13" s="1"/>
  <c r="B373" i="13"/>
  <c r="M372" i="13"/>
  <c r="G372" i="13"/>
  <c r="F372" i="13"/>
  <c r="E372" i="13"/>
  <c r="D372" i="13"/>
  <c r="C372" i="13"/>
  <c r="B372" i="13"/>
  <c r="M371" i="13"/>
  <c r="G371" i="13"/>
  <c r="F371" i="13"/>
  <c r="E371" i="13"/>
  <c r="D371" i="13"/>
  <c r="C371" i="13"/>
  <c r="B371" i="13"/>
  <c r="M370" i="13"/>
  <c r="G370" i="13"/>
  <c r="F370" i="13"/>
  <c r="E370" i="13"/>
  <c r="D370" i="13"/>
  <c r="C370" i="13"/>
  <c r="T370" i="13" s="1"/>
  <c r="B370" i="13"/>
  <c r="N369" i="13"/>
  <c r="M369" i="13"/>
  <c r="K369" i="13"/>
  <c r="L369" i="13" s="1"/>
  <c r="J369" i="13"/>
  <c r="H369" i="13"/>
  <c r="G369" i="13"/>
  <c r="F369" i="13"/>
  <c r="E369" i="13"/>
  <c r="D369" i="13"/>
  <c r="C369" i="13"/>
  <c r="T369" i="13" s="1"/>
  <c r="B369" i="13"/>
  <c r="M368" i="13"/>
  <c r="K368" i="13"/>
  <c r="L368" i="13" s="1"/>
  <c r="G368" i="13"/>
  <c r="F368" i="13"/>
  <c r="E368" i="13"/>
  <c r="D368" i="13"/>
  <c r="C368" i="13"/>
  <c r="B368" i="13"/>
  <c r="T367" i="13"/>
  <c r="M367" i="13"/>
  <c r="K367" i="13"/>
  <c r="L367" i="13" s="1"/>
  <c r="J367" i="13"/>
  <c r="G367" i="13"/>
  <c r="F367" i="13"/>
  <c r="E367" i="13"/>
  <c r="D367" i="13"/>
  <c r="C367" i="13"/>
  <c r="N367" i="13" s="1"/>
  <c r="B367" i="13"/>
  <c r="T366" i="13"/>
  <c r="M366" i="13"/>
  <c r="G366" i="13"/>
  <c r="H366" i="13" s="1"/>
  <c r="F366" i="13"/>
  <c r="E366" i="13"/>
  <c r="D366" i="13"/>
  <c r="C366" i="13"/>
  <c r="N366" i="13" s="1"/>
  <c r="P366" i="13" s="1"/>
  <c r="B366" i="13"/>
  <c r="O365" i="13"/>
  <c r="N365" i="13"/>
  <c r="M365" i="13"/>
  <c r="J365" i="13"/>
  <c r="G365" i="13"/>
  <c r="F365" i="13"/>
  <c r="E365" i="13"/>
  <c r="D365" i="13"/>
  <c r="C365" i="13"/>
  <c r="T365" i="13" s="1"/>
  <c r="B365" i="13"/>
  <c r="T364" i="13"/>
  <c r="M364" i="13"/>
  <c r="J364" i="13"/>
  <c r="G364" i="13"/>
  <c r="F364" i="13"/>
  <c r="E364" i="13"/>
  <c r="D364" i="13"/>
  <c r="C364" i="13"/>
  <c r="N364" i="13" s="1"/>
  <c r="O364" i="13" s="1"/>
  <c r="B364" i="13"/>
  <c r="M363" i="13"/>
  <c r="J363" i="13"/>
  <c r="G363" i="13"/>
  <c r="F363" i="13"/>
  <c r="E363" i="13"/>
  <c r="D363" i="13"/>
  <c r="N363" i="13" s="1"/>
  <c r="O363" i="13" s="1"/>
  <c r="C363" i="13"/>
  <c r="B363" i="13"/>
  <c r="N362" i="13"/>
  <c r="M362" i="13"/>
  <c r="G362" i="13"/>
  <c r="F362" i="13"/>
  <c r="E362" i="13"/>
  <c r="D362" i="13"/>
  <c r="C362" i="13"/>
  <c r="T362" i="13" s="1"/>
  <c r="B362" i="13"/>
  <c r="P361" i="13"/>
  <c r="N361" i="13"/>
  <c r="M361" i="13"/>
  <c r="K361" i="13"/>
  <c r="L361" i="13" s="1"/>
  <c r="J361" i="13"/>
  <c r="G361" i="13"/>
  <c r="H361" i="13" s="1"/>
  <c r="F361" i="13"/>
  <c r="E361" i="13"/>
  <c r="D361" i="13"/>
  <c r="C361" i="13"/>
  <c r="T361" i="13" s="1"/>
  <c r="B361" i="13"/>
  <c r="M360" i="13"/>
  <c r="K360" i="13"/>
  <c r="L360" i="13" s="1"/>
  <c r="G360" i="13"/>
  <c r="F360" i="13"/>
  <c r="E360" i="13"/>
  <c r="D360" i="13"/>
  <c r="C360" i="13"/>
  <c r="B360" i="13"/>
  <c r="M359" i="13"/>
  <c r="K359" i="13"/>
  <c r="L359" i="13" s="1"/>
  <c r="G359" i="13"/>
  <c r="F359" i="13"/>
  <c r="E359" i="13"/>
  <c r="D359" i="13"/>
  <c r="C359" i="13"/>
  <c r="B359" i="13"/>
  <c r="M358" i="13"/>
  <c r="G358" i="13"/>
  <c r="F358" i="13"/>
  <c r="E358" i="13"/>
  <c r="D358" i="13"/>
  <c r="C358" i="13"/>
  <c r="T358" i="13" s="1"/>
  <c r="B358" i="13"/>
  <c r="N357" i="13"/>
  <c r="M357" i="13"/>
  <c r="H357" i="13"/>
  <c r="G357" i="13"/>
  <c r="F357" i="13"/>
  <c r="E357" i="13"/>
  <c r="D357" i="13"/>
  <c r="C357" i="13"/>
  <c r="T357" i="13" s="1"/>
  <c r="B357" i="13"/>
  <c r="M356" i="13"/>
  <c r="J356" i="13"/>
  <c r="H356" i="13"/>
  <c r="G356" i="13"/>
  <c r="K356" i="13" s="1"/>
  <c r="L356" i="13" s="1"/>
  <c r="F356" i="13"/>
  <c r="E356" i="13"/>
  <c r="D356" i="13"/>
  <c r="C356" i="13"/>
  <c r="N356" i="13" s="1"/>
  <c r="R356" i="13" s="1"/>
  <c r="B356" i="13"/>
  <c r="M355" i="13"/>
  <c r="H355" i="13" s="1"/>
  <c r="K355" i="13"/>
  <c r="L355" i="13" s="1"/>
  <c r="J355" i="13"/>
  <c r="G355" i="13"/>
  <c r="F355" i="13"/>
  <c r="E355" i="13"/>
  <c r="D355" i="13"/>
  <c r="C355" i="13"/>
  <c r="N355" i="13" s="1"/>
  <c r="B355" i="13"/>
  <c r="T354" i="13"/>
  <c r="M354" i="13"/>
  <c r="G354" i="13"/>
  <c r="F354" i="13"/>
  <c r="E354" i="13"/>
  <c r="D354" i="13"/>
  <c r="K354" i="13" s="1"/>
  <c r="L354" i="13" s="1"/>
  <c r="C354" i="13"/>
  <c r="B354" i="13"/>
  <c r="N353" i="13"/>
  <c r="M353" i="13"/>
  <c r="H353" i="13"/>
  <c r="G353" i="13"/>
  <c r="F353" i="13"/>
  <c r="E353" i="13"/>
  <c r="D353" i="13"/>
  <c r="C353" i="13"/>
  <c r="B353" i="13"/>
  <c r="M352" i="13"/>
  <c r="K352" i="13"/>
  <c r="L352" i="13" s="1"/>
  <c r="J352" i="13"/>
  <c r="G352" i="13"/>
  <c r="H352" i="13" s="1"/>
  <c r="F352" i="13"/>
  <c r="E352" i="13"/>
  <c r="D352" i="13"/>
  <c r="C352" i="13"/>
  <c r="N352" i="13" s="1"/>
  <c r="R352" i="13" s="1"/>
  <c r="B352" i="13"/>
  <c r="M351" i="13"/>
  <c r="G351" i="13"/>
  <c r="F351" i="13"/>
  <c r="E351" i="13"/>
  <c r="D351" i="13"/>
  <c r="C351" i="13"/>
  <c r="B351" i="13"/>
  <c r="M350" i="13"/>
  <c r="K350" i="13"/>
  <c r="L350" i="13" s="1"/>
  <c r="G350" i="13"/>
  <c r="F350" i="13"/>
  <c r="E350" i="13"/>
  <c r="D350" i="13"/>
  <c r="C350" i="13"/>
  <c r="B350" i="13"/>
  <c r="N349" i="13"/>
  <c r="M349" i="13"/>
  <c r="G349" i="13"/>
  <c r="F349" i="13"/>
  <c r="E349" i="13"/>
  <c r="D349" i="13"/>
  <c r="C349" i="13"/>
  <c r="T349" i="13" s="1"/>
  <c r="B349" i="13"/>
  <c r="S348" i="13"/>
  <c r="O348" i="13"/>
  <c r="M348" i="13"/>
  <c r="K348" i="13"/>
  <c r="L348" i="13" s="1"/>
  <c r="J348" i="13"/>
  <c r="H348" i="13"/>
  <c r="G348" i="13"/>
  <c r="F348" i="13"/>
  <c r="E348" i="13"/>
  <c r="D348" i="13"/>
  <c r="C348" i="13"/>
  <c r="N348" i="13" s="1"/>
  <c r="R348" i="13" s="1"/>
  <c r="B348" i="13"/>
  <c r="M347" i="13"/>
  <c r="G347" i="13"/>
  <c r="F347" i="13"/>
  <c r="E347" i="13"/>
  <c r="D347" i="13"/>
  <c r="K347" i="13" s="1"/>
  <c r="L347" i="13" s="1"/>
  <c r="C347" i="13"/>
  <c r="B347" i="13"/>
  <c r="M346" i="13"/>
  <c r="G346" i="13"/>
  <c r="K346" i="13" s="1"/>
  <c r="L346" i="13" s="1"/>
  <c r="F346" i="13"/>
  <c r="E346" i="13"/>
  <c r="D346" i="13"/>
  <c r="C346" i="13"/>
  <c r="N346" i="13" s="1"/>
  <c r="B346" i="13"/>
  <c r="M345" i="13"/>
  <c r="G345" i="13"/>
  <c r="F345" i="13"/>
  <c r="E345" i="13"/>
  <c r="D345" i="13"/>
  <c r="C345" i="13"/>
  <c r="B345" i="13"/>
  <c r="M344" i="13"/>
  <c r="K344" i="13"/>
  <c r="L344" i="13" s="1"/>
  <c r="J344" i="13"/>
  <c r="G344" i="13"/>
  <c r="H344" i="13" s="1"/>
  <c r="F344" i="13"/>
  <c r="E344" i="13"/>
  <c r="D344" i="13"/>
  <c r="C344" i="13"/>
  <c r="N344" i="13" s="1"/>
  <c r="B344" i="13"/>
  <c r="M343" i="13"/>
  <c r="H343" i="13" s="1"/>
  <c r="J343" i="13"/>
  <c r="G343" i="13"/>
  <c r="F343" i="13"/>
  <c r="E343" i="13"/>
  <c r="D343" i="13"/>
  <c r="C343" i="13"/>
  <c r="B343" i="13"/>
  <c r="M342" i="13"/>
  <c r="G342" i="13"/>
  <c r="F342" i="13"/>
  <c r="E342" i="13"/>
  <c r="D342" i="13"/>
  <c r="C342" i="13"/>
  <c r="N342" i="13" s="1"/>
  <c r="B342" i="13"/>
  <c r="N341" i="13"/>
  <c r="M341" i="13"/>
  <c r="H341" i="13"/>
  <c r="G341" i="13"/>
  <c r="F341" i="13"/>
  <c r="E341" i="13"/>
  <c r="D341" i="13"/>
  <c r="C341" i="13"/>
  <c r="B341" i="13"/>
  <c r="M340" i="13"/>
  <c r="G340" i="13"/>
  <c r="F340" i="13"/>
  <c r="E340" i="13"/>
  <c r="D340" i="13"/>
  <c r="C340" i="13"/>
  <c r="B340" i="13"/>
  <c r="M339" i="13"/>
  <c r="G339" i="13"/>
  <c r="F339" i="13"/>
  <c r="E339" i="13"/>
  <c r="D339" i="13"/>
  <c r="C339" i="13"/>
  <c r="N339" i="13" s="1"/>
  <c r="B339" i="13"/>
  <c r="M338" i="13"/>
  <c r="G338" i="13"/>
  <c r="F338" i="13"/>
  <c r="E338" i="13"/>
  <c r="D338" i="13"/>
  <c r="K338" i="13" s="1"/>
  <c r="L338" i="13" s="1"/>
  <c r="C338" i="13"/>
  <c r="T338" i="13" s="1"/>
  <c r="B338" i="13"/>
  <c r="M337" i="13"/>
  <c r="G337" i="13"/>
  <c r="F337" i="13"/>
  <c r="E337" i="13"/>
  <c r="D337" i="13"/>
  <c r="C337" i="13"/>
  <c r="B337" i="13"/>
  <c r="M336" i="13"/>
  <c r="G336" i="13"/>
  <c r="F336" i="13"/>
  <c r="E336" i="13"/>
  <c r="D336" i="13"/>
  <c r="C336" i="13"/>
  <c r="B336" i="13"/>
  <c r="M335" i="13"/>
  <c r="G335" i="13"/>
  <c r="F335" i="13"/>
  <c r="E335" i="13"/>
  <c r="D335" i="13"/>
  <c r="C335" i="13"/>
  <c r="B335" i="13"/>
  <c r="M334" i="13"/>
  <c r="K334" i="13"/>
  <c r="L334" i="13" s="1"/>
  <c r="G334" i="13"/>
  <c r="F334" i="13"/>
  <c r="E334" i="13"/>
  <c r="D334" i="13"/>
  <c r="C334" i="13"/>
  <c r="B334" i="13"/>
  <c r="M333" i="13"/>
  <c r="G333" i="13"/>
  <c r="F333" i="13"/>
  <c r="E333" i="13"/>
  <c r="D333" i="13"/>
  <c r="N333" i="13" s="1"/>
  <c r="C333" i="13"/>
  <c r="B333" i="13"/>
  <c r="M332" i="13"/>
  <c r="K332" i="13"/>
  <c r="L332" i="13" s="1"/>
  <c r="J332" i="13"/>
  <c r="H332" i="13"/>
  <c r="G332" i="13"/>
  <c r="F332" i="13"/>
  <c r="E332" i="13"/>
  <c r="D332" i="13"/>
  <c r="C332" i="13"/>
  <c r="N332" i="13" s="1"/>
  <c r="B332" i="13"/>
  <c r="M331" i="13"/>
  <c r="G331" i="13"/>
  <c r="F331" i="13"/>
  <c r="E331" i="13"/>
  <c r="D331" i="13"/>
  <c r="C331" i="13"/>
  <c r="B331" i="13"/>
  <c r="T330" i="13"/>
  <c r="M330" i="13"/>
  <c r="G330" i="13"/>
  <c r="F330" i="13"/>
  <c r="E330" i="13"/>
  <c r="D330" i="13"/>
  <c r="K330" i="13" s="1"/>
  <c r="L330" i="13" s="1"/>
  <c r="C330" i="13"/>
  <c r="B330" i="13"/>
  <c r="M329" i="13"/>
  <c r="G329" i="13"/>
  <c r="F329" i="13"/>
  <c r="E329" i="13"/>
  <c r="D329" i="13"/>
  <c r="H329" i="13" s="1"/>
  <c r="C329" i="13"/>
  <c r="B329" i="13"/>
  <c r="M328" i="13"/>
  <c r="G328" i="13"/>
  <c r="H328" i="13" s="1"/>
  <c r="F328" i="13"/>
  <c r="E328" i="13"/>
  <c r="D328" i="13"/>
  <c r="C328" i="13"/>
  <c r="B328" i="13"/>
  <c r="M327" i="13"/>
  <c r="H327" i="13"/>
  <c r="G327" i="13"/>
  <c r="F327" i="13"/>
  <c r="E327" i="13"/>
  <c r="D327" i="13"/>
  <c r="J327" i="13" s="1"/>
  <c r="C327" i="13"/>
  <c r="B327" i="13"/>
  <c r="M326" i="13"/>
  <c r="G326" i="13"/>
  <c r="F326" i="13"/>
  <c r="E326" i="13"/>
  <c r="D326" i="13"/>
  <c r="C326" i="13"/>
  <c r="B326" i="13"/>
  <c r="M325" i="13"/>
  <c r="H325" i="13" s="1"/>
  <c r="G325" i="13"/>
  <c r="F325" i="13"/>
  <c r="E325" i="13"/>
  <c r="D325" i="13"/>
  <c r="C325" i="13"/>
  <c r="T325" i="13" s="1"/>
  <c r="B325" i="13"/>
  <c r="M324" i="13"/>
  <c r="J324" i="13"/>
  <c r="G324" i="13"/>
  <c r="K324" i="13" s="1"/>
  <c r="L324" i="13" s="1"/>
  <c r="F324" i="13"/>
  <c r="E324" i="13"/>
  <c r="D324" i="13"/>
  <c r="C324" i="13"/>
  <c r="B324" i="13"/>
  <c r="M323" i="13"/>
  <c r="H323" i="13" s="1"/>
  <c r="K323" i="13"/>
  <c r="L323" i="13" s="1"/>
  <c r="J323" i="13"/>
  <c r="G323" i="13"/>
  <c r="F323" i="13"/>
  <c r="E323" i="13"/>
  <c r="D323" i="13"/>
  <c r="C323" i="13"/>
  <c r="N323" i="13" s="1"/>
  <c r="B323" i="13"/>
  <c r="T322" i="13"/>
  <c r="M322" i="13"/>
  <c r="G322" i="13"/>
  <c r="F322" i="13"/>
  <c r="E322" i="13"/>
  <c r="D322" i="13"/>
  <c r="K322" i="13" s="1"/>
  <c r="L322" i="13" s="1"/>
  <c r="C322" i="13"/>
  <c r="B322" i="13"/>
  <c r="N321" i="13"/>
  <c r="M321" i="13"/>
  <c r="G321" i="13"/>
  <c r="F321" i="13"/>
  <c r="E321" i="13"/>
  <c r="D321" i="13"/>
  <c r="C321" i="13"/>
  <c r="B321" i="13"/>
  <c r="M320" i="13"/>
  <c r="G320" i="13"/>
  <c r="F320" i="13"/>
  <c r="E320" i="13"/>
  <c r="D320" i="13"/>
  <c r="J320" i="13" s="1"/>
  <c r="C320" i="13"/>
  <c r="N320" i="13" s="1"/>
  <c r="R320" i="13" s="1"/>
  <c r="B320" i="13"/>
  <c r="M319" i="13"/>
  <c r="G319" i="13"/>
  <c r="F319" i="13"/>
  <c r="E319" i="13"/>
  <c r="D319" i="13"/>
  <c r="C319" i="13"/>
  <c r="B319" i="13"/>
  <c r="M318" i="13"/>
  <c r="G318" i="13"/>
  <c r="F318" i="13"/>
  <c r="E318" i="13"/>
  <c r="D318" i="13"/>
  <c r="K318" i="13" s="1"/>
  <c r="L318" i="13" s="1"/>
  <c r="C318" i="13"/>
  <c r="B318" i="13"/>
  <c r="M317" i="13"/>
  <c r="G317" i="13"/>
  <c r="F317" i="13"/>
  <c r="E317" i="13"/>
  <c r="D317" i="13"/>
  <c r="C317" i="13"/>
  <c r="T317" i="13" s="1"/>
  <c r="B317" i="13"/>
  <c r="M316" i="13"/>
  <c r="G316" i="13"/>
  <c r="F316" i="13"/>
  <c r="E316" i="13"/>
  <c r="D316" i="13"/>
  <c r="C316" i="13"/>
  <c r="N316" i="13" s="1"/>
  <c r="R316" i="13" s="1"/>
  <c r="B316" i="13"/>
  <c r="M315" i="13"/>
  <c r="G315" i="13"/>
  <c r="F315" i="13"/>
  <c r="E315" i="13"/>
  <c r="D315" i="13"/>
  <c r="C315" i="13"/>
  <c r="B315" i="13"/>
  <c r="M314" i="13"/>
  <c r="L314" i="13"/>
  <c r="K314" i="13"/>
  <c r="G314" i="13"/>
  <c r="F314" i="13"/>
  <c r="E314" i="13"/>
  <c r="D314" i="13"/>
  <c r="C314" i="13"/>
  <c r="N314" i="13" s="1"/>
  <c r="B314" i="13"/>
  <c r="M313" i="13"/>
  <c r="H313" i="13" s="1"/>
  <c r="G313" i="13"/>
  <c r="F313" i="13"/>
  <c r="E313" i="13"/>
  <c r="D313" i="13"/>
  <c r="C313" i="13"/>
  <c r="B313" i="13"/>
  <c r="M312" i="13"/>
  <c r="J312" i="13"/>
  <c r="G312" i="13"/>
  <c r="F312" i="13"/>
  <c r="E312" i="13"/>
  <c r="D312" i="13"/>
  <c r="C312" i="13"/>
  <c r="B312" i="13"/>
  <c r="M311" i="13"/>
  <c r="J311" i="13"/>
  <c r="G311" i="13"/>
  <c r="F311" i="13"/>
  <c r="E311" i="13"/>
  <c r="D311" i="13"/>
  <c r="C311" i="13"/>
  <c r="N311" i="13" s="1"/>
  <c r="B311" i="13"/>
  <c r="M310" i="13"/>
  <c r="G310" i="13"/>
  <c r="F310" i="13"/>
  <c r="E310" i="13"/>
  <c r="D310" i="13"/>
  <c r="C310" i="13"/>
  <c r="B310" i="13"/>
  <c r="N309" i="13"/>
  <c r="M309" i="13"/>
  <c r="G309" i="13"/>
  <c r="F309" i="13"/>
  <c r="E309" i="13"/>
  <c r="D309" i="13"/>
  <c r="C309" i="13"/>
  <c r="T309" i="13" s="1"/>
  <c r="B309" i="13"/>
  <c r="M308" i="13"/>
  <c r="J308" i="13"/>
  <c r="H308" i="13"/>
  <c r="G308" i="13"/>
  <c r="F308" i="13"/>
  <c r="E308" i="13"/>
  <c r="D308" i="13"/>
  <c r="C308" i="13"/>
  <c r="N308" i="13" s="1"/>
  <c r="R308" i="13" s="1"/>
  <c r="B308" i="13"/>
  <c r="M307" i="13"/>
  <c r="K307" i="13"/>
  <c r="L307" i="13" s="1"/>
  <c r="G307" i="13"/>
  <c r="F307" i="13"/>
  <c r="E307" i="13"/>
  <c r="D307" i="13"/>
  <c r="J307" i="13" s="1"/>
  <c r="C307" i="13"/>
  <c r="N307" i="13" s="1"/>
  <c r="B307" i="13"/>
  <c r="M306" i="13"/>
  <c r="G306" i="13"/>
  <c r="F306" i="13"/>
  <c r="E306" i="13"/>
  <c r="D306" i="13"/>
  <c r="K306" i="13" s="1"/>
  <c r="L306" i="13" s="1"/>
  <c r="C306" i="13"/>
  <c r="N306" i="13" s="1"/>
  <c r="B306" i="13"/>
  <c r="M305" i="13"/>
  <c r="G305" i="13"/>
  <c r="F305" i="13"/>
  <c r="E305" i="13"/>
  <c r="D305" i="13"/>
  <c r="C305" i="13"/>
  <c r="B305" i="13"/>
  <c r="M304" i="13"/>
  <c r="G304" i="13"/>
  <c r="F304" i="13"/>
  <c r="E304" i="13"/>
  <c r="D304" i="13"/>
  <c r="C304" i="13"/>
  <c r="B304" i="13"/>
  <c r="M303" i="13"/>
  <c r="G303" i="13"/>
  <c r="F303" i="13"/>
  <c r="E303" i="13"/>
  <c r="D303" i="13"/>
  <c r="T303" i="13" s="1"/>
  <c r="C303" i="13"/>
  <c r="B303" i="13"/>
  <c r="M302" i="13"/>
  <c r="G302" i="13"/>
  <c r="F302" i="13"/>
  <c r="E302" i="13"/>
  <c r="D302" i="13"/>
  <c r="K302" i="13" s="1"/>
  <c r="L302" i="13" s="1"/>
  <c r="C302" i="13"/>
  <c r="T302" i="13" s="1"/>
  <c r="B302" i="13"/>
  <c r="M301" i="13"/>
  <c r="G301" i="13"/>
  <c r="F301" i="13"/>
  <c r="E301" i="13"/>
  <c r="D301" i="13"/>
  <c r="C301" i="13"/>
  <c r="N301" i="13" s="1"/>
  <c r="B301" i="13"/>
  <c r="M300" i="13"/>
  <c r="K300" i="13"/>
  <c r="L300" i="13" s="1"/>
  <c r="J300" i="13"/>
  <c r="H300" i="13"/>
  <c r="G300" i="13"/>
  <c r="F300" i="13"/>
  <c r="E300" i="13"/>
  <c r="D300" i="13"/>
  <c r="C300" i="13"/>
  <c r="N300" i="13" s="1"/>
  <c r="Q300" i="13" s="1"/>
  <c r="B300" i="13"/>
  <c r="M299" i="13"/>
  <c r="L299" i="13"/>
  <c r="J299" i="13"/>
  <c r="G299" i="13"/>
  <c r="F299" i="13"/>
  <c r="E299" i="13"/>
  <c r="D299" i="13"/>
  <c r="K299" i="13" s="1"/>
  <c r="C299" i="13"/>
  <c r="B299" i="13"/>
  <c r="M298" i="13"/>
  <c r="G298" i="13"/>
  <c r="F298" i="13"/>
  <c r="E298" i="13"/>
  <c r="D298" i="13"/>
  <c r="C298" i="13"/>
  <c r="B298" i="13"/>
  <c r="N297" i="13"/>
  <c r="M297" i="13"/>
  <c r="H297" i="13"/>
  <c r="G297" i="13"/>
  <c r="F297" i="13"/>
  <c r="E297" i="13"/>
  <c r="D297" i="13"/>
  <c r="C297" i="13"/>
  <c r="B297" i="13"/>
  <c r="M296" i="13"/>
  <c r="K296" i="13"/>
  <c r="L296" i="13" s="1"/>
  <c r="J296" i="13"/>
  <c r="H296" i="13"/>
  <c r="G296" i="13"/>
  <c r="F296" i="13"/>
  <c r="E296" i="13"/>
  <c r="D296" i="13"/>
  <c r="C296" i="13"/>
  <c r="B296" i="13"/>
  <c r="T295" i="13"/>
  <c r="M295" i="13"/>
  <c r="K295" i="13"/>
  <c r="L295" i="13" s="1"/>
  <c r="J295" i="13"/>
  <c r="H295" i="13"/>
  <c r="G295" i="13"/>
  <c r="F295" i="13"/>
  <c r="E295" i="13"/>
  <c r="D295" i="13"/>
  <c r="N295" i="13" s="1"/>
  <c r="C295" i="13"/>
  <c r="B295" i="13"/>
  <c r="T294" i="13"/>
  <c r="S294" i="13"/>
  <c r="M294" i="13"/>
  <c r="K294" i="13"/>
  <c r="L294" i="13" s="1"/>
  <c r="G294" i="13"/>
  <c r="F294" i="13"/>
  <c r="E294" i="13"/>
  <c r="D294" i="13"/>
  <c r="C294" i="13"/>
  <c r="N294" i="13" s="1"/>
  <c r="B294" i="13"/>
  <c r="M293" i="13"/>
  <c r="G293" i="13"/>
  <c r="F293" i="13"/>
  <c r="E293" i="13"/>
  <c r="D293" i="13"/>
  <c r="C293" i="13"/>
  <c r="B293" i="13"/>
  <c r="T292" i="13"/>
  <c r="M292" i="13"/>
  <c r="J292" i="13"/>
  <c r="G292" i="13"/>
  <c r="F292" i="13"/>
  <c r="E292" i="13"/>
  <c r="D292" i="13"/>
  <c r="C292" i="13"/>
  <c r="N292" i="13" s="1"/>
  <c r="R292" i="13" s="1"/>
  <c r="B292" i="13"/>
  <c r="T291" i="13"/>
  <c r="N291" i="13"/>
  <c r="M291" i="13"/>
  <c r="K291" i="13"/>
  <c r="L291" i="13" s="1"/>
  <c r="J291" i="13"/>
  <c r="G291" i="13"/>
  <c r="F291" i="13"/>
  <c r="E291" i="13"/>
  <c r="D291" i="13"/>
  <c r="H291" i="13" s="1"/>
  <c r="C291" i="13"/>
  <c r="B291" i="13"/>
  <c r="M290" i="13"/>
  <c r="G290" i="13"/>
  <c r="F290" i="13"/>
  <c r="E290" i="13"/>
  <c r="D290" i="13"/>
  <c r="C290" i="13"/>
  <c r="B290" i="13"/>
  <c r="P289" i="13"/>
  <c r="N289" i="13"/>
  <c r="M289" i="13"/>
  <c r="J289" i="13"/>
  <c r="G289" i="13"/>
  <c r="F289" i="13"/>
  <c r="E289" i="13"/>
  <c r="D289" i="13"/>
  <c r="K289" i="13" s="1"/>
  <c r="L289" i="13" s="1"/>
  <c r="C289" i="13"/>
  <c r="T289" i="13" s="1"/>
  <c r="B289" i="13"/>
  <c r="M288" i="13"/>
  <c r="K288" i="13"/>
  <c r="L288" i="13" s="1"/>
  <c r="J288" i="13"/>
  <c r="G288" i="13"/>
  <c r="F288" i="13"/>
  <c r="E288" i="13"/>
  <c r="D288" i="13"/>
  <c r="C288" i="13"/>
  <c r="B288" i="13"/>
  <c r="M287" i="13"/>
  <c r="G287" i="13"/>
  <c r="F287" i="13"/>
  <c r="E287" i="13"/>
  <c r="D287" i="13"/>
  <c r="C287" i="13"/>
  <c r="B287" i="13"/>
  <c r="M286" i="13"/>
  <c r="G286" i="13"/>
  <c r="F286" i="13"/>
  <c r="E286" i="13"/>
  <c r="D286" i="13"/>
  <c r="C286" i="13"/>
  <c r="B286" i="13"/>
  <c r="N285" i="13"/>
  <c r="S285" i="13" s="1"/>
  <c r="M285" i="13"/>
  <c r="J285" i="13"/>
  <c r="H285" i="13"/>
  <c r="G285" i="13"/>
  <c r="F285" i="13"/>
  <c r="E285" i="13"/>
  <c r="D285" i="13"/>
  <c r="C285" i="13"/>
  <c r="T285" i="13" s="1"/>
  <c r="B285" i="13"/>
  <c r="M284" i="13"/>
  <c r="J284" i="13"/>
  <c r="G284" i="13"/>
  <c r="K284" i="13" s="1"/>
  <c r="L284" i="13" s="1"/>
  <c r="F284" i="13"/>
  <c r="E284" i="13"/>
  <c r="D284" i="13"/>
  <c r="C284" i="13"/>
  <c r="B284" i="13"/>
  <c r="M283" i="13"/>
  <c r="L283" i="13"/>
  <c r="J283" i="13"/>
  <c r="G283" i="13"/>
  <c r="F283" i="13"/>
  <c r="E283" i="13"/>
  <c r="D283" i="13"/>
  <c r="K283" i="13" s="1"/>
  <c r="C283" i="13"/>
  <c r="B283" i="13"/>
  <c r="T282" i="13"/>
  <c r="M282" i="13"/>
  <c r="G282" i="13"/>
  <c r="K282" i="13" s="1"/>
  <c r="L282" i="13" s="1"/>
  <c r="F282" i="13"/>
  <c r="E282" i="13"/>
  <c r="D282" i="13"/>
  <c r="C282" i="13"/>
  <c r="N282" i="13" s="1"/>
  <c r="P282" i="13" s="1"/>
  <c r="B282" i="13"/>
  <c r="N281" i="13"/>
  <c r="M281" i="13"/>
  <c r="G281" i="13"/>
  <c r="F281" i="13"/>
  <c r="E281" i="13"/>
  <c r="D281" i="13"/>
  <c r="C281" i="13"/>
  <c r="T281" i="13" s="1"/>
  <c r="B281" i="13"/>
  <c r="R280" i="13"/>
  <c r="N280" i="13"/>
  <c r="P280" i="13" s="1"/>
  <c r="M280" i="13"/>
  <c r="J280" i="13"/>
  <c r="G280" i="13"/>
  <c r="F280" i="13"/>
  <c r="E280" i="13"/>
  <c r="D280" i="13"/>
  <c r="C280" i="13"/>
  <c r="T280" i="13" s="1"/>
  <c r="B280" i="13"/>
  <c r="M279" i="13"/>
  <c r="L279" i="13"/>
  <c r="J279" i="13"/>
  <c r="G279" i="13"/>
  <c r="F279" i="13"/>
  <c r="E279" i="13"/>
  <c r="D279" i="13"/>
  <c r="K279" i="13" s="1"/>
  <c r="C279" i="13"/>
  <c r="B279" i="13"/>
  <c r="T278" i="13"/>
  <c r="M278" i="13"/>
  <c r="K278" i="13"/>
  <c r="L278" i="13" s="1"/>
  <c r="J278" i="13"/>
  <c r="G278" i="13"/>
  <c r="F278" i="13"/>
  <c r="E278" i="13"/>
  <c r="D278" i="13"/>
  <c r="C278" i="13"/>
  <c r="N278" i="13" s="1"/>
  <c r="B278" i="13"/>
  <c r="T277" i="13"/>
  <c r="M277" i="13"/>
  <c r="G277" i="13"/>
  <c r="F277" i="13"/>
  <c r="E277" i="13"/>
  <c r="D277" i="13"/>
  <c r="C277" i="13"/>
  <c r="N277" i="13" s="1"/>
  <c r="P277" i="13" s="1"/>
  <c r="B277" i="13"/>
  <c r="N276" i="13"/>
  <c r="M276" i="13"/>
  <c r="J276" i="13"/>
  <c r="G276" i="13"/>
  <c r="F276" i="13"/>
  <c r="E276" i="13"/>
  <c r="D276" i="13"/>
  <c r="C276" i="13"/>
  <c r="T276" i="13" s="1"/>
  <c r="B276" i="13"/>
  <c r="T275" i="13"/>
  <c r="M275" i="13"/>
  <c r="J275" i="13"/>
  <c r="G275" i="13"/>
  <c r="H275" i="13" s="1"/>
  <c r="F275" i="13"/>
  <c r="E275" i="13"/>
  <c r="D275" i="13"/>
  <c r="C275" i="13"/>
  <c r="N275" i="13" s="1"/>
  <c r="R275" i="13" s="1"/>
  <c r="B275" i="13"/>
  <c r="M274" i="13"/>
  <c r="L274" i="13"/>
  <c r="K274" i="13"/>
  <c r="J274" i="13"/>
  <c r="G274" i="13"/>
  <c r="F274" i="13"/>
  <c r="E274" i="13"/>
  <c r="D274" i="13"/>
  <c r="C274" i="13"/>
  <c r="T274" i="13" s="1"/>
  <c r="B274" i="13"/>
  <c r="M273" i="13"/>
  <c r="G273" i="13"/>
  <c r="F273" i="13"/>
  <c r="E273" i="13"/>
  <c r="D273" i="13"/>
  <c r="C273" i="13"/>
  <c r="N273" i="13" s="1"/>
  <c r="B273" i="13"/>
  <c r="M272" i="13"/>
  <c r="G272" i="13"/>
  <c r="F272" i="13"/>
  <c r="E272" i="13"/>
  <c r="D272" i="13"/>
  <c r="J272" i="13" s="1"/>
  <c r="C272" i="13"/>
  <c r="T272" i="13" s="1"/>
  <c r="B272" i="13"/>
  <c r="M271" i="13"/>
  <c r="G271" i="13"/>
  <c r="F271" i="13"/>
  <c r="E271" i="13"/>
  <c r="D271" i="13"/>
  <c r="C271" i="13"/>
  <c r="B271" i="13"/>
  <c r="M270" i="13"/>
  <c r="K270" i="13"/>
  <c r="L270" i="13" s="1"/>
  <c r="J270" i="13"/>
  <c r="G270" i="13"/>
  <c r="F270" i="13"/>
  <c r="E270" i="13"/>
  <c r="D270" i="13"/>
  <c r="C270" i="13"/>
  <c r="N270" i="13" s="1"/>
  <c r="B270" i="13"/>
  <c r="M269" i="13"/>
  <c r="G269" i="13"/>
  <c r="F269" i="13"/>
  <c r="E269" i="13"/>
  <c r="D269" i="13"/>
  <c r="T269" i="13" s="1"/>
  <c r="C269" i="13"/>
  <c r="B269" i="13"/>
  <c r="M268" i="13"/>
  <c r="K268" i="13"/>
  <c r="L268" i="13" s="1"/>
  <c r="J268" i="13"/>
  <c r="G268" i="13"/>
  <c r="H268" i="13" s="1"/>
  <c r="F268" i="13"/>
  <c r="E268" i="13"/>
  <c r="D268" i="13"/>
  <c r="C268" i="13"/>
  <c r="T268" i="13" s="1"/>
  <c r="B268" i="13"/>
  <c r="T267" i="13"/>
  <c r="M267" i="13"/>
  <c r="G267" i="13"/>
  <c r="F267" i="13"/>
  <c r="E267" i="13"/>
  <c r="D267" i="13"/>
  <c r="H267" i="13" s="1"/>
  <c r="C267" i="13"/>
  <c r="B267" i="13"/>
  <c r="M266" i="13"/>
  <c r="G266" i="13"/>
  <c r="F266" i="13"/>
  <c r="E266" i="13"/>
  <c r="D266" i="13"/>
  <c r="T266" i="13" s="1"/>
  <c r="C266" i="13"/>
  <c r="B266" i="13"/>
  <c r="M265" i="13"/>
  <c r="G265" i="13"/>
  <c r="F265" i="13"/>
  <c r="E265" i="13"/>
  <c r="D265" i="13"/>
  <c r="C265" i="13"/>
  <c r="T265" i="13" s="1"/>
  <c r="B265" i="13"/>
  <c r="M264" i="13"/>
  <c r="J264" i="13"/>
  <c r="H264" i="13"/>
  <c r="G264" i="13"/>
  <c r="K264" i="13" s="1"/>
  <c r="L264" i="13" s="1"/>
  <c r="F264" i="13"/>
  <c r="E264" i="13"/>
  <c r="D264" i="13"/>
  <c r="C264" i="13"/>
  <c r="T264" i="13" s="1"/>
  <c r="B264" i="13"/>
  <c r="M263" i="13"/>
  <c r="J263" i="13"/>
  <c r="G263" i="13"/>
  <c r="F263" i="13"/>
  <c r="E263" i="13"/>
  <c r="D263" i="13"/>
  <c r="C263" i="13"/>
  <c r="B263" i="13"/>
  <c r="T262" i="13"/>
  <c r="M262" i="13"/>
  <c r="G262" i="13"/>
  <c r="F262" i="13"/>
  <c r="E262" i="13"/>
  <c r="D262" i="13"/>
  <c r="C262" i="13"/>
  <c r="B262" i="13"/>
  <c r="M261" i="13"/>
  <c r="G261" i="13"/>
  <c r="F261" i="13"/>
  <c r="E261" i="13"/>
  <c r="D261" i="13"/>
  <c r="C261" i="13"/>
  <c r="B261" i="13"/>
  <c r="M260" i="13"/>
  <c r="J260" i="13"/>
  <c r="H260" i="13"/>
  <c r="G260" i="13"/>
  <c r="K260" i="13" s="1"/>
  <c r="L260" i="13" s="1"/>
  <c r="F260" i="13"/>
  <c r="E260" i="13"/>
  <c r="D260" i="13"/>
  <c r="C260" i="13"/>
  <c r="B260" i="13"/>
  <c r="M259" i="13"/>
  <c r="G259" i="13"/>
  <c r="F259" i="13"/>
  <c r="E259" i="13"/>
  <c r="D259" i="13"/>
  <c r="C259" i="13"/>
  <c r="B259" i="13"/>
  <c r="M258" i="13"/>
  <c r="K258" i="13"/>
  <c r="L258" i="13" s="1"/>
  <c r="J258" i="13"/>
  <c r="G258" i="13"/>
  <c r="F258" i="13"/>
  <c r="E258" i="13"/>
  <c r="D258" i="13"/>
  <c r="C258" i="13"/>
  <c r="N258" i="13" s="1"/>
  <c r="B258" i="13"/>
  <c r="T257" i="13"/>
  <c r="M257" i="13"/>
  <c r="G257" i="13"/>
  <c r="F257" i="13"/>
  <c r="E257" i="13"/>
  <c r="D257" i="13"/>
  <c r="C257" i="13"/>
  <c r="N257" i="13" s="1"/>
  <c r="Q257" i="13" s="1"/>
  <c r="B257" i="13"/>
  <c r="N256" i="13"/>
  <c r="R256" i="13" s="1"/>
  <c r="M256" i="13"/>
  <c r="J256" i="13"/>
  <c r="G256" i="13"/>
  <c r="F256" i="13"/>
  <c r="E256" i="13"/>
  <c r="D256" i="13"/>
  <c r="C256" i="13"/>
  <c r="T256" i="13" s="1"/>
  <c r="B256" i="13"/>
  <c r="M255" i="13"/>
  <c r="G255" i="13"/>
  <c r="F255" i="13"/>
  <c r="E255" i="13"/>
  <c r="D255" i="13"/>
  <c r="C255" i="13"/>
  <c r="B255" i="13"/>
  <c r="N254" i="13"/>
  <c r="M254" i="13"/>
  <c r="G254" i="13"/>
  <c r="F254" i="13"/>
  <c r="E254" i="13"/>
  <c r="D254" i="13"/>
  <c r="C254" i="13"/>
  <c r="T254" i="13" s="1"/>
  <c r="B254" i="13"/>
  <c r="M253" i="13"/>
  <c r="G253" i="13"/>
  <c r="F253" i="13"/>
  <c r="E253" i="13"/>
  <c r="D253" i="13"/>
  <c r="C253" i="13"/>
  <c r="B253" i="13"/>
  <c r="M252" i="13"/>
  <c r="G252" i="13"/>
  <c r="F252" i="13"/>
  <c r="E252" i="13"/>
  <c r="D252" i="13"/>
  <c r="C252" i="13"/>
  <c r="T252" i="13" s="1"/>
  <c r="B252" i="13"/>
  <c r="M251" i="13"/>
  <c r="G251" i="13"/>
  <c r="F251" i="13"/>
  <c r="E251" i="13"/>
  <c r="D251" i="13"/>
  <c r="C251" i="13"/>
  <c r="B251" i="13"/>
  <c r="M250" i="13"/>
  <c r="G250" i="13"/>
  <c r="F250" i="13"/>
  <c r="E250" i="13"/>
  <c r="D250" i="13"/>
  <c r="C250" i="13"/>
  <c r="B250" i="13"/>
  <c r="M249" i="13"/>
  <c r="G249" i="13"/>
  <c r="F249" i="13"/>
  <c r="E249" i="13"/>
  <c r="D249" i="13"/>
  <c r="H249" i="13" s="1"/>
  <c r="C249" i="13"/>
  <c r="B249" i="13"/>
  <c r="M248" i="13"/>
  <c r="J248" i="13"/>
  <c r="G248" i="13"/>
  <c r="K248" i="13" s="1"/>
  <c r="L248" i="13" s="1"/>
  <c r="F248" i="13"/>
  <c r="E248" i="13"/>
  <c r="D248" i="13"/>
  <c r="C248" i="13"/>
  <c r="B248" i="13"/>
  <c r="M247" i="13"/>
  <c r="G247" i="13"/>
  <c r="F247" i="13"/>
  <c r="E247" i="13"/>
  <c r="D247" i="13"/>
  <c r="C247" i="13"/>
  <c r="B247" i="13"/>
  <c r="M246" i="13"/>
  <c r="J246" i="13"/>
  <c r="G246" i="13"/>
  <c r="K246" i="13" s="1"/>
  <c r="F246" i="13"/>
  <c r="E246" i="13"/>
  <c r="D246" i="13"/>
  <c r="C246" i="13"/>
  <c r="B246" i="13"/>
  <c r="M245" i="13"/>
  <c r="H245" i="13"/>
  <c r="G245" i="13"/>
  <c r="F245" i="13"/>
  <c r="E245" i="13"/>
  <c r="D245" i="13"/>
  <c r="C245" i="13"/>
  <c r="T245" i="13" s="1"/>
  <c r="B245" i="13"/>
  <c r="M244" i="13"/>
  <c r="G244" i="13"/>
  <c r="F244" i="13"/>
  <c r="E244" i="13"/>
  <c r="D244" i="13"/>
  <c r="J244" i="13" s="1"/>
  <c r="C244" i="13"/>
  <c r="B244" i="13"/>
  <c r="M243" i="13"/>
  <c r="G243" i="13"/>
  <c r="F243" i="13"/>
  <c r="E243" i="13"/>
  <c r="D243" i="13"/>
  <c r="C243" i="13"/>
  <c r="T243" i="13" s="1"/>
  <c r="B243" i="13"/>
  <c r="M242" i="13"/>
  <c r="K242" i="13"/>
  <c r="L242" i="13" s="1"/>
  <c r="J242" i="13"/>
  <c r="G242" i="13"/>
  <c r="F242" i="13"/>
  <c r="E242" i="13"/>
  <c r="D242" i="13"/>
  <c r="H242" i="13" s="1"/>
  <c r="C242" i="13"/>
  <c r="T242" i="13" s="1"/>
  <c r="B242" i="13"/>
  <c r="M241" i="13"/>
  <c r="G241" i="13"/>
  <c r="F241" i="13"/>
  <c r="E241" i="13"/>
  <c r="D241" i="13"/>
  <c r="C241" i="13"/>
  <c r="N241" i="13" s="1"/>
  <c r="B241" i="13"/>
  <c r="M240" i="13"/>
  <c r="G240" i="13"/>
  <c r="F240" i="13"/>
  <c r="E240" i="13"/>
  <c r="D240" i="13"/>
  <c r="C240" i="13"/>
  <c r="T240" i="13" s="1"/>
  <c r="B240" i="13"/>
  <c r="M239" i="13"/>
  <c r="G239" i="13"/>
  <c r="F239" i="13"/>
  <c r="E239" i="13"/>
  <c r="D239" i="13"/>
  <c r="T239" i="13" s="1"/>
  <c r="C239" i="13"/>
  <c r="B239" i="13"/>
  <c r="M238" i="13"/>
  <c r="G238" i="13"/>
  <c r="F238" i="13"/>
  <c r="E238" i="13"/>
  <c r="D238" i="13"/>
  <c r="C238" i="13"/>
  <c r="T238" i="13" s="1"/>
  <c r="B238" i="13"/>
  <c r="M237" i="13"/>
  <c r="G237" i="13"/>
  <c r="F237" i="13"/>
  <c r="E237" i="13"/>
  <c r="D237" i="13"/>
  <c r="C237" i="13"/>
  <c r="B237" i="13"/>
  <c r="M236" i="13"/>
  <c r="J236" i="13"/>
  <c r="G236" i="13"/>
  <c r="F236" i="13"/>
  <c r="E236" i="13"/>
  <c r="D236" i="13"/>
  <c r="K236" i="13" s="1"/>
  <c r="L236" i="13" s="1"/>
  <c r="C236" i="13"/>
  <c r="T236" i="13" s="1"/>
  <c r="B236" i="13"/>
  <c r="M235" i="13"/>
  <c r="J235" i="13"/>
  <c r="G235" i="13"/>
  <c r="H235" i="13" s="1"/>
  <c r="F235" i="13"/>
  <c r="E235" i="13"/>
  <c r="D235" i="13"/>
  <c r="C235" i="13"/>
  <c r="N235" i="13" s="1"/>
  <c r="B235" i="13"/>
  <c r="M234" i="13"/>
  <c r="K234" i="13"/>
  <c r="L234" i="13" s="1"/>
  <c r="G234" i="13"/>
  <c r="F234" i="13"/>
  <c r="E234" i="13"/>
  <c r="D234" i="13"/>
  <c r="C234" i="13"/>
  <c r="N234" i="13" s="1"/>
  <c r="S234" i="13" s="1"/>
  <c r="B234" i="13"/>
  <c r="T233" i="13"/>
  <c r="M233" i="13"/>
  <c r="G233" i="13"/>
  <c r="F233" i="13"/>
  <c r="E233" i="13"/>
  <c r="D233" i="13"/>
  <c r="C233" i="13"/>
  <c r="B233" i="13"/>
  <c r="M232" i="13"/>
  <c r="J232" i="13"/>
  <c r="G232" i="13"/>
  <c r="F232" i="13"/>
  <c r="E232" i="13"/>
  <c r="D232" i="13"/>
  <c r="K232" i="13" s="1"/>
  <c r="L232" i="13" s="1"/>
  <c r="C232" i="13"/>
  <c r="T232" i="13" s="1"/>
  <c r="B232" i="13"/>
  <c r="M231" i="13"/>
  <c r="J231" i="13"/>
  <c r="G231" i="13"/>
  <c r="H231" i="13" s="1"/>
  <c r="F231" i="13"/>
  <c r="E231" i="13"/>
  <c r="D231" i="13"/>
  <c r="C231" i="13"/>
  <c r="B231" i="13"/>
  <c r="M230" i="13"/>
  <c r="J230" i="13"/>
  <c r="G230" i="13"/>
  <c r="F230" i="13"/>
  <c r="E230" i="13"/>
  <c r="D230" i="13"/>
  <c r="C230" i="13"/>
  <c r="B230" i="13"/>
  <c r="M229" i="13"/>
  <c r="G229" i="13"/>
  <c r="F229" i="13"/>
  <c r="E229" i="13"/>
  <c r="D229" i="13"/>
  <c r="C229" i="13"/>
  <c r="B229" i="13"/>
  <c r="M228" i="13"/>
  <c r="J228" i="13"/>
  <c r="G228" i="13"/>
  <c r="K228" i="13" s="1"/>
  <c r="L228" i="13" s="1"/>
  <c r="F228" i="13"/>
  <c r="E228" i="13"/>
  <c r="D228" i="13"/>
  <c r="C228" i="13"/>
  <c r="T228" i="13" s="1"/>
  <c r="B228" i="13"/>
  <c r="M227" i="13"/>
  <c r="J227" i="13"/>
  <c r="G227" i="13"/>
  <c r="F227" i="13"/>
  <c r="E227" i="13"/>
  <c r="D227" i="13"/>
  <c r="C227" i="13"/>
  <c r="B227" i="13"/>
  <c r="M226" i="13"/>
  <c r="J226" i="13"/>
  <c r="G226" i="13"/>
  <c r="K226" i="13" s="1"/>
  <c r="L226" i="13" s="1"/>
  <c r="F226" i="13"/>
  <c r="E226" i="13"/>
  <c r="D226" i="13"/>
  <c r="C226" i="13"/>
  <c r="N226" i="13" s="1"/>
  <c r="B226" i="13"/>
  <c r="M225" i="13"/>
  <c r="H225" i="13"/>
  <c r="G225" i="13"/>
  <c r="F225" i="13"/>
  <c r="E225" i="13"/>
  <c r="D225" i="13"/>
  <c r="T225" i="13" s="1"/>
  <c r="C225" i="13"/>
  <c r="B225" i="13"/>
  <c r="M224" i="13"/>
  <c r="G224" i="13"/>
  <c r="F224" i="13"/>
  <c r="E224" i="13"/>
  <c r="D224" i="13"/>
  <c r="C224" i="13"/>
  <c r="T224" i="13" s="1"/>
  <c r="B224" i="13"/>
  <c r="M223" i="13"/>
  <c r="G223" i="13"/>
  <c r="F223" i="13"/>
  <c r="E223" i="13"/>
  <c r="D223" i="13"/>
  <c r="C223" i="13"/>
  <c r="B223" i="13"/>
  <c r="N222" i="13"/>
  <c r="M222" i="13"/>
  <c r="L222" i="13"/>
  <c r="K222" i="13"/>
  <c r="J222" i="13"/>
  <c r="G222" i="13"/>
  <c r="F222" i="13"/>
  <c r="E222" i="13"/>
  <c r="D222" i="13"/>
  <c r="H222" i="13" s="1"/>
  <c r="C222" i="13"/>
  <c r="T222" i="13" s="1"/>
  <c r="B222" i="13"/>
  <c r="T221" i="13"/>
  <c r="M221" i="13"/>
  <c r="G221" i="13"/>
  <c r="H221" i="13" s="1"/>
  <c r="F221" i="13"/>
  <c r="E221" i="13"/>
  <c r="D221" i="13"/>
  <c r="C221" i="13"/>
  <c r="N221" i="13" s="1"/>
  <c r="B221" i="13"/>
  <c r="O220" i="13"/>
  <c r="N220" i="13"/>
  <c r="Q220" i="13" s="1"/>
  <c r="M220" i="13"/>
  <c r="J220" i="13"/>
  <c r="G220" i="13"/>
  <c r="F220" i="13"/>
  <c r="E220" i="13"/>
  <c r="D220" i="13"/>
  <c r="C220" i="13"/>
  <c r="T220" i="13" s="1"/>
  <c r="B220" i="13"/>
  <c r="M219" i="13"/>
  <c r="G219" i="13"/>
  <c r="F219" i="13"/>
  <c r="E219" i="13"/>
  <c r="D219" i="13"/>
  <c r="C219" i="13"/>
  <c r="B219" i="13"/>
  <c r="N218" i="13"/>
  <c r="M218" i="13"/>
  <c r="K218" i="13"/>
  <c r="L218" i="13" s="1"/>
  <c r="J218" i="13"/>
  <c r="G218" i="13"/>
  <c r="F218" i="13"/>
  <c r="E218" i="13"/>
  <c r="D218" i="13"/>
  <c r="H218" i="13" s="1"/>
  <c r="C218" i="13"/>
  <c r="T218" i="13" s="1"/>
  <c r="B218" i="13"/>
  <c r="T217" i="13"/>
  <c r="M217" i="13"/>
  <c r="H217" i="13"/>
  <c r="G217" i="13"/>
  <c r="F217" i="13"/>
  <c r="E217" i="13"/>
  <c r="D217" i="13"/>
  <c r="C217" i="13"/>
  <c r="N217" i="13" s="1"/>
  <c r="B217" i="13"/>
  <c r="N216" i="13"/>
  <c r="Q216" i="13" s="1"/>
  <c r="M216" i="13"/>
  <c r="J216" i="13"/>
  <c r="G216" i="13"/>
  <c r="F216" i="13"/>
  <c r="E216" i="13"/>
  <c r="D216" i="13"/>
  <c r="C216" i="13"/>
  <c r="T216" i="13" s="1"/>
  <c r="B216" i="13"/>
  <c r="M215" i="13"/>
  <c r="G215" i="13"/>
  <c r="F215" i="13"/>
  <c r="E215" i="13"/>
  <c r="D215" i="13"/>
  <c r="C215" i="13"/>
  <c r="B215" i="13"/>
  <c r="N214" i="13"/>
  <c r="M214" i="13"/>
  <c r="L214" i="13"/>
  <c r="K214" i="13"/>
  <c r="J214" i="13"/>
  <c r="G214" i="13"/>
  <c r="F214" i="13"/>
  <c r="E214" i="13"/>
  <c r="D214" i="13"/>
  <c r="H214" i="13" s="1"/>
  <c r="C214" i="13"/>
  <c r="T214" i="13" s="1"/>
  <c r="B214" i="13"/>
  <c r="T213" i="13"/>
  <c r="M213" i="13"/>
  <c r="G213" i="13"/>
  <c r="H213" i="13" s="1"/>
  <c r="F213" i="13"/>
  <c r="E213" i="13"/>
  <c r="D213" i="13"/>
  <c r="C213" i="13"/>
  <c r="N213" i="13" s="1"/>
  <c r="B213" i="13"/>
  <c r="P212" i="13"/>
  <c r="N212" i="13"/>
  <c r="Q212" i="13" s="1"/>
  <c r="M212" i="13"/>
  <c r="J212" i="13"/>
  <c r="G212" i="13"/>
  <c r="F212" i="13"/>
  <c r="E212" i="13"/>
  <c r="D212" i="13"/>
  <c r="C212" i="13"/>
  <c r="T212" i="13" s="1"/>
  <c r="B212" i="13"/>
  <c r="M211" i="13"/>
  <c r="G211" i="13"/>
  <c r="F211" i="13"/>
  <c r="E211" i="13"/>
  <c r="D211" i="13"/>
  <c r="C211" i="13"/>
  <c r="B211" i="13"/>
  <c r="M210" i="13"/>
  <c r="G210" i="13"/>
  <c r="F210" i="13"/>
  <c r="E210" i="13"/>
  <c r="D210" i="13"/>
  <c r="C210" i="13"/>
  <c r="B210" i="13"/>
  <c r="M209" i="13"/>
  <c r="G209" i="13"/>
  <c r="F209" i="13"/>
  <c r="E209" i="13"/>
  <c r="D209" i="13"/>
  <c r="C209" i="13"/>
  <c r="T209" i="13" s="1"/>
  <c r="B209" i="13"/>
  <c r="N208" i="13"/>
  <c r="P208" i="13" s="1"/>
  <c r="M208" i="13"/>
  <c r="K208" i="13"/>
  <c r="L208" i="13" s="1"/>
  <c r="J208" i="13"/>
  <c r="H208" i="13"/>
  <c r="G208" i="13"/>
  <c r="F208" i="13"/>
  <c r="E208" i="13"/>
  <c r="D208" i="13"/>
  <c r="C208" i="13"/>
  <c r="T208" i="13" s="1"/>
  <c r="B208" i="13"/>
  <c r="T207" i="13"/>
  <c r="M207" i="13"/>
  <c r="K207" i="13"/>
  <c r="L207" i="13" s="1"/>
  <c r="J207" i="13"/>
  <c r="H207" i="13"/>
  <c r="G207" i="13"/>
  <c r="F207" i="13"/>
  <c r="E207" i="13"/>
  <c r="D207" i="13"/>
  <c r="C207" i="13"/>
  <c r="N207" i="13" s="1"/>
  <c r="S207" i="13" s="1"/>
  <c r="B207" i="13"/>
  <c r="T206" i="13"/>
  <c r="M206" i="13"/>
  <c r="K206" i="13"/>
  <c r="L206" i="13" s="1"/>
  <c r="J206" i="13"/>
  <c r="G206" i="13"/>
  <c r="F206" i="13"/>
  <c r="E206" i="13"/>
  <c r="D206" i="13"/>
  <c r="H206" i="13" s="1"/>
  <c r="C206" i="13"/>
  <c r="N206" i="13" s="1"/>
  <c r="S206" i="13" s="1"/>
  <c r="B206" i="13"/>
  <c r="T205" i="13"/>
  <c r="M205" i="13"/>
  <c r="H205" i="13"/>
  <c r="G205" i="13"/>
  <c r="F205" i="13"/>
  <c r="E205" i="13"/>
  <c r="D205" i="13"/>
  <c r="C205" i="13"/>
  <c r="N205" i="13" s="1"/>
  <c r="P205" i="13" s="1"/>
  <c r="B205" i="13"/>
  <c r="N204" i="13"/>
  <c r="M204" i="13"/>
  <c r="J204" i="13"/>
  <c r="H204" i="13"/>
  <c r="G204" i="13"/>
  <c r="K204" i="13" s="1"/>
  <c r="L204" i="13" s="1"/>
  <c r="F204" i="13"/>
  <c r="E204" i="13"/>
  <c r="D204" i="13"/>
  <c r="C204" i="13"/>
  <c r="T204" i="13" s="1"/>
  <c r="B204" i="13"/>
  <c r="M203" i="13"/>
  <c r="H203" i="13"/>
  <c r="G203" i="13"/>
  <c r="F203" i="13"/>
  <c r="E203" i="13"/>
  <c r="D203" i="13"/>
  <c r="C203" i="13"/>
  <c r="B203" i="13"/>
  <c r="N202" i="13"/>
  <c r="M202" i="13"/>
  <c r="G202" i="13"/>
  <c r="F202" i="13"/>
  <c r="E202" i="13"/>
  <c r="D202" i="13"/>
  <c r="C202" i="13"/>
  <c r="B202" i="13"/>
  <c r="M201" i="13"/>
  <c r="G201" i="13"/>
  <c r="F201" i="13"/>
  <c r="E201" i="13"/>
  <c r="D201" i="13"/>
  <c r="C201" i="13"/>
  <c r="B201" i="13"/>
  <c r="N200" i="13"/>
  <c r="M200" i="13"/>
  <c r="K200" i="13"/>
  <c r="L200" i="13" s="1"/>
  <c r="J200" i="13"/>
  <c r="H200" i="13"/>
  <c r="G200" i="13"/>
  <c r="F200" i="13"/>
  <c r="E200" i="13"/>
  <c r="D200" i="13"/>
  <c r="C200" i="13"/>
  <c r="T200" i="13" s="1"/>
  <c r="B200" i="13"/>
  <c r="M199" i="13"/>
  <c r="G199" i="13"/>
  <c r="F199" i="13"/>
  <c r="E199" i="13"/>
  <c r="D199" i="13"/>
  <c r="K199" i="13" s="1"/>
  <c r="L199" i="13" s="1"/>
  <c r="C199" i="13"/>
  <c r="B199" i="13"/>
  <c r="M198" i="13"/>
  <c r="G198" i="13"/>
  <c r="F198" i="13"/>
  <c r="E198" i="13"/>
  <c r="D198" i="13"/>
  <c r="N198" i="13" s="1"/>
  <c r="C198" i="13"/>
  <c r="B198" i="13"/>
  <c r="M197" i="13"/>
  <c r="G197" i="13"/>
  <c r="K197" i="13" s="1"/>
  <c r="L197" i="13" s="1"/>
  <c r="F197" i="13"/>
  <c r="E197" i="13"/>
  <c r="D197" i="13"/>
  <c r="J197" i="13" s="1"/>
  <c r="C197" i="13"/>
  <c r="N197" i="13" s="1"/>
  <c r="B197" i="13"/>
  <c r="M196" i="13"/>
  <c r="G196" i="13"/>
  <c r="F196" i="13"/>
  <c r="E196" i="13"/>
  <c r="D196" i="13"/>
  <c r="N196" i="13" s="1"/>
  <c r="C196" i="13"/>
  <c r="B196" i="13"/>
  <c r="M195" i="13"/>
  <c r="J195" i="13"/>
  <c r="G195" i="13"/>
  <c r="K195" i="13" s="1"/>
  <c r="L195" i="13" s="1"/>
  <c r="F195" i="13"/>
  <c r="E195" i="13"/>
  <c r="D195" i="13"/>
  <c r="C195" i="13"/>
  <c r="B195" i="13"/>
  <c r="M194" i="13"/>
  <c r="G194" i="13"/>
  <c r="F194" i="13"/>
  <c r="E194" i="13"/>
  <c r="D194" i="13"/>
  <c r="C194" i="13"/>
  <c r="B194" i="13"/>
  <c r="M193" i="13"/>
  <c r="G193" i="13"/>
  <c r="F193" i="13"/>
  <c r="E193" i="13"/>
  <c r="D193" i="13"/>
  <c r="C193" i="13"/>
  <c r="N193" i="13" s="1"/>
  <c r="B193" i="13"/>
  <c r="M192" i="13"/>
  <c r="G192" i="13"/>
  <c r="F192" i="13"/>
  <c r="E192" i="13"/>
  <c r="D192" i="13"/>
  <c r="C192" i="13"/>
  <c r="T192" i="13" s="1"/>
  <c r="B192" i="13"/>
  <c r="M191" i="13"/>
  <c r="G191" i="13"/>
  <c r="F191" i="13"/>
  <c r="E191" i="13"/>
  <c r="D191" i="13"/>
  <c r="C191" i="13"/>
  <c r="B191" i="13"/>
  <c r="M190" i="13"/>
  <c r="G190" i="13"/>
  <c r="F190" i="13"/>
  <c r="E190" i="13"/>
  <c r="D190" i="13"/>
  <c r="C190" i="13"/>
  <c r="B190" i="13"/>
  <c r="M189" i="13"/>
  <c r="G189" i="13"/>
  <c r="H189" i="13" s="1"/>
  <c r="F189" i="13"/>
  <c r="E189" i="13"/>
  <c r="D189" i="13"/>
  <c r="N189" i="13" s="1"/>
  <c r="C189" i="13"/>
  <c r="B189" i="13"/>
  <c r="M188" i="13"/>
  <c r="G188" i="13"/>
  <c r="F188" i="13"/>
  <c r="E188" i="13"/>
  <c r="D188" i="13"/>
  <c r="C188" i="13"/>
  <c r="B188" i="13"/>
  <c r="M187" i="13"/>
  <c r="G187" i="13"/>
  <c r="F187" i="13"/>
  <c r="E187" i="13"/>
  <c r="D187" i="13"/>
  <c r="T187" i="13" s="1"/>
  <c r="C187" i="13"/>
  <c r="B187" i="13"/>
  <c r="M186" i="13"/>
  <c r="K186" i="13"/>
  <c r="L186" i="13" s="1"/>
  <c r="G186" i="13"/>
  <c r="F186" i="13"/>
  <c r="E186" i="13"/>
  <c r="D186" i="13"/>
  <c r="J186" i="13" s="1"/>
  <c r="C186" i="13"/>
  <c r="B186" i="13"/>
  <c r="M185" i="13"/>
  <c r="G185" i="13"/>
  <c r="F185" i="13"/>
  <c r="E185" i="13"/>
  <c r="D185" i="13"/>
  <c r="C185" i="13"/>
  <c r="B185" i="13"/>
  <c r="M184" i="13"/>
  <c r="J184" i="13"/>
  <c r="H184" i="13"/>
  <c r="G184" i="13"/>
  <c r="K184" i="13" s="1"/>
  <c r="L184" i="13" s="1"/>
  <c r="F184" i="13"/>
  <c r="E184" i="13"/>
  <c r="D184" i="13"/>
  <c r="C184" i="13"/>
  <c r="T184" i="13" s="1"/>
  <c r="B184" i="13"/>
  <c r="M183" i="13"/>
  <c r="G183" i="13"/>
  <c r="F183" i="13"/>
  <c r="E183" i="13"/>
  <c r="D183" i="13"/>
  <c r="C183" i="13"/>
  <c r="B183" i="13"/>
  <c r="M182" i="13"/>
  <c r="G182" i="13"/>
  <c r="F182" i="13"/>
  <c r="E182" i="13"/>
  <c r="D182" i="13"/>
  <c r="C182" i="13"/>
  <c r="B182" i="13"/>
  <c r="M181" i="13"/>
  <c r="G181" i="13"/>
  <c r="F181" i="13"/>
  <c r="E181" i="13"/>
  <c r="D181" i="13"/>
  <c r="N181" i="13" s="1"/>
  <c r="C181" i="13"/>
  <c r="B181" i="13"/>
  <c r="M180" i="13"/>
  <c r="G180" i="13"/>
  <c r="F180" i="13"/>
  <c r="E180" i="13"/>
  <c r="D180" i="13"/>
  <c r="C180" i="13"/>
  <c r="B180" i="13"/>
  <c r="M179" i="13"/>
  <c r="K179" i="13"/>
  <c r="L179" i="13" s="1"/>
  <c r="J179" i="13"/>
  <c r="G179" i="13"/>
  <c r="F179" i="13"/>
  <c r="E179" i="13"/>
  <c r="D179" i="13"/>
  <c r="H179" i="13" s="1"/>
  <c r="C179" i="13"/>
  <c r="B179" i="13"/>
  <c r="T178" i="13"/>
  <c r="M178" i="13"/>
  <c r="G178" i="13"/>
  <c r="F178" i="13"/>
  <c r="E178" i="13"/>
  <c r="D178" i="13"/>
  <c r="K178" i="13" s="1"/>
  <c r="L178" i="13" s="1"/>
  <c r="C178" i="13"/>
  <c r="B178" i="13"/>
  <c r="M177" i="13"/>
  <c r="G177" i="13"/>
  <c r="F177" i="13"/>
  <c r="E177" i="13"/>
  <c r="D177" i="13"/>
  <c r="C177" i="13"/>
  <c r="B177" i="13"/>
  <c r="M176" i="13"/>
  <c r="G176" i="13"/>
  <c r="F176" i="13"/>
  <c r="E176" i="13"/>
  <c r="D176" i="13"/>
  <c r="C176" i="13"/>
  <c r="B176" i="13"/>
  <c r="M175" i="13"/>
  <c r="G175" i="13"/>
  <c r="F175" i="13"/>
  <c r="E175" i="13"/>
  <c r="D175" i="13"/>
  <c r="C175" i="13"/>
  <c r="B175" i="13"/>
  <c r="M174" i="13"/>
  <c r="J174" i="13"/>
  <c r="G174" i="13"/>
  <c r="F174" i="13"/>
  <c r="E174" i="13"/>
  <c r="D174" i="13"/>
  <c r="C174" i="13"/>
  <c r="T174" i="13" s="1"/>
  <c r="B174" i="13"/>
  <c r="M173" i="13"/>
  <c r="G173" i="13"/>
  <c r="F173" i="13"/>
  <c r="E173" i="13"/>
  <c r="D173" i="13"/>
  <c r="T173" i="13" s="1"/>
  <c r="C173" i="13"/>
  <c r="B173" i="13"/>
  <c r="M172" i="13"/>
  <c r="G172" i="13"/>
  <c r="K172" i="13" s="1"/>
  <c r="L172" i="13" s="1"/>
  <c r="F172" i="13"/>
  <c r="E172" i="13"/>
  <c r="D172" i="13"/>
  <c r="J172" i="13" s="1"/>
  <c r="C172" i="13"/>
  <c r="N172" i="13" s="1"/>
  <c r="B172" i="13"/>
  <c r="M171" i="13"/>
  <c r="G171" i="13"/>
  <c r="F171" i="13"/>
  <c r="E171" i="13"/>
  <c r="D171" i="13"/>
  <c r="C171" i="13"/>
  <c r="B171" i="13"/>
  <c r="M170" i="13"/>
  <c r="J170" i="13"/>
  <c r="H170" i="13"/>
  <c r="G170" i="13"/>
  <c r="F170" i="13"/>
  <c r="E170" i="13"/>
  <c r="D170" i="13"/>
  <c r="K170" i="13" s="1"/>
  <c r="L170" i="13" s="1"/>
  <c r="C170" i="13"/>
  <c r="B170" i="13"/>
  <c r="M169" i="13"/>
  <c r="G169" i="13"/>
  <c r="F169" i="13"/>
  <c r="E169" i="13"/>
  <c r="D169" i="13"/>
  <c r="C169" i="13"/>
  <c r="N169" i="13" s="1"/>
  <c r="O169" i="13" s="1"/>
  <c r="B169" i="13"/>
  <c r="M168" i="13"/>
  <c r="G168" i="13"/>
  <c r="F168" i="13"/>
  <c r="E168" i="13"/>
  <c r="D168" i="13"/>
  <c r="C168" i="13"/>
  <c r="B168" i="13"/>
  <c r="M167" i="13"/>
  <c r="G167" i="13"/>
  <c r="F167" i="13"/>
  <c r="E167" i="13"/>
  <c r="D167" i="13"/>
  <c r="C167" i="13"/>
  <c r="B167" i="13"/>
  <c r="M166" i="13"/>
  <c r="J166" i="13"/>
  <c r="G166" i="13"/>
  <c r="H166" i="13" s="1"/>
  <c r="F166" i="13"/>
  <c r="E166" i="13"/>
  <c r="D166" i="13"/>
  <c r="C166" i="13"/>
  <c r="T166" i="13" s="1"/>
  <c r="B166" i="13"/>
  <c r="M165" i="13"/>
  <c r="J165" i="13"/>
  <c r="G165" i="13"/>
  <c r="F165" i="13"/>
  <c r="E165" i="13"/>
  <c r="D165" i="13"/>
  <c r="K165" i="13" s="1"/>
  <c r="L165" i="13" s="1"/>
  <c r="C165" i="13"/>
  <c r="T165" i="13" s="1"/>
  <c r="B165" i="13"/>
  <c r="M164" i="13"/>
  <c r="G164" i="13"/>
  <c r="F164" i="13"/>
  <c r="E164" i="13"/>
  <c r="D164" i="13"/>
  <c r="C164" i="13"/>
  <c r="N164" i="13" s="1"/>
  <c r="B164" i="13"/>
  <c r="M163" i="13"/>
  <c r="G163" i="13"/>
  <c r="F163" i="13"/>
  <c r="E163" i="13"/>
  <c r="D163" i="13"/>
  <c r="C163" i="13"/>
  <c r="B163" i="13"/>
  <c r="M162" i="13"/>
  <c r="G162" i="13"/>
  <c r="F162" i="13"/>
  <c r="E162" i="13"/>
  <c r="D162" i="13"/>
  <c r="C162" i="13"/>
  <c r="B162" i="13"/>
  <c r="M161" i="13"/>
  <c r="G161" i="13"/>
  <c r="F161" i="13"/>
  <c r="E161" i="13"/>
  <c r="D161" i="13"/>
  <c r="C161" i="13"/>
  <c r="B161" i="13"/>
  <c r="M160" i="13"/>
  <c r="G160" i="13"/>
  <c r="F160" i="13"/>
  <c r="E160" i="13"/>
  <c r="D160" i="13"/>
  <c r="J160" i="13" s="1"/>
  <c r="C160" i="13"/>
  <c r="B160" i="13"/>
  <c r="M159" i="13"/>
  <c r="G159" i="13"/>
  <c r="F159" i="13"/>
  <c r="E159" i="13"/>
  <c r="D159" i="13"/>
  <c r="C159" i="13"/>
  <c r="N159" i="13" s="1"/>
  <c r="O159" i="13" s="1"/>
  <c r="B159" i="13"/>
  <c r="M158" i="13"/>
  <c r="J158" i="13"/>
  <c r="H158" i="13"/>
  <c r="G158" i="13"/>
  <c r="F158" i="13"/>
  <c r="E158" i="13"/>
  <c r="D158" i="13"/>
  <c r="K158" i="13" s="1"/>
  <c r="L158" i="13" s="1"/>
  <c r="C158" i="13"/>
  <c r="B158" i="13"/>
  <c r="M157" i="13"/>
  <c r="J157" i="13"/>
  <c r="G157" i="13"/>
  <c r="F157" i="13"/>
  <c r="E157" i="13"/>
  <c r="D157" i="13"/>
  <c r="K157" i="13" s="1"/>
  <c r="L157" i="13" s="1"/>
  <c r="C157" i="13"/>
  <c r="B157" i="13"/>
  <c r="M156" i="13"/>
  <c r="K156" i="13"/>
  <c r="L156" i="13" s="1"/>
  <c r="G156" i="13"/>
  <c r="F156" i="13"/>
  <c r="E156" i="13"/>
  <c r="D156" i="13"/>
  <c r="J156" i="13" s="1"/>
  <c r="C156" i="13"/>
  <c r="N156" i="13" s="1"/>
  <c r="B156" i="13"/>
  <c r="M155" i="13"/>
  <c r="G155" i="13"/>
  <c r="F155" i="13"/>
  <c r="E155" i="13"/>
  <c r="D155" i="13"/>
  <c r="C155" i="13"/>
  <c r="N155" i="13" s="1"/>
  <c r="O155" i="13" s="1"/>
  <c r="B155" i="13"/>
  <c r="M154" i="13"/>
  <c r="G154" i="13"/>
  <c r="F154" i="13"/>
  <c r="E154" i="13"/>
  <c r="D154" i="13"/>
  <c r="J154" i="13" s="1"/>
  <c r="C154" i="13"/>
  <c r="B154" i="13"/>
  <c r="M153" i="13"/>
  <c r="K153" i="13"/>
  <c r="L153" i="13" s="1"/>
  <c r="J153" i="13"/>
  <c r="G153" i="13"/>
  <c r="F153" i="13"/>
  <c r="E153" i="13"/>
  <c r="D153" i="13"/>
  <c r="C153" i="13"/>
  <c r="B153" i="13"/>
  <c r="T152" i="13"/>
  <c r="M152" i="13"/>
  <c r="G152" i="13"/>
  <c r="F152" i="13"/>
  <c r="E152" i="13"/>
  <c r="D152" i="13"/>
  <c r="J152" i="13" s="1"/>
  <c r="C152" i="13"/>
  <c r="N152" i="13" s="1"/>
  <c r="B152" i="13"/>
  <c r="M151" i="13"/>
  <c r="G151" i="13"/>
  <c r="F151" i="13"/>
  <c r="E151" i="13"/>
  <c r="D151" i="13"/>
  <c r="C151" i="13"/>
  <c r="B151" i="13"/>
  <c r="M150" i="13"/>
  <c r="G150" i="13"/>
  <c r="F150" i="13"/>
  <c r="E150" i="13"/>
  <c r="D150" i="13"/>
  <c r="C150" i="13"/>
  <c r="T150" i="13" s="1"/>
  <c r="B150" i="13"/>
  <c r="M149" i="13"/>
  <c r="J149" i="13"/>
  <c r="G149" i="13"/>
  <c r="K149" i="13" s="1"/>
  <c r="L149" i="13" s="1"/>
  <c r="F149" i="13"/>
  <c r="E149" i="13"/>
  <c r="D149" i="13"/>
  <c r="C149" i="13"/>
  <c r="B149" i="13"/>
  <c r="M148" i="13"/>
  <c r="K148" i="13"/>
  <c r="L148" i="13" s="1"/>
  <c r="G148" i="13"/>
  <c r="F148" i="13"/>
  <c r="E148" i="13"/>
  <c r="D148" i="13"/>
  <c r="J148" i="13" s="1"/>
  <c r="C148" i="13"/>
  <c r="N148" i="13" s="1"/>
  <c r="B148" i="13"/>
  <c r="M147" i="13"/>
  <c r="G147" i="13"/>
  <c r="F147" i="13"/>
  <c r="E147" i="13"/>
  <c r="D147" i="13"/>
  <c r="C147" i="13"/>
  <c r="N147" i="13" s="1"/>
  <c r="O147" i="13" s="1"/>
  <c r="B147" i="13"/>
  <c r="N146" i="13"/>
  <c r="M146" i="13"/>
  <c r="J146" i="13"/>
  <c r="H146" i="13"/>
  <c r="G146" i="13"/>
  <c r="F146" i="13"/>
  <c r="E146" i="13"/>
  <c r="D146" i="13"/>
  <c r="K146" i="13" s="1"/>
  <c r="L146" i="13" s="1"/>
  <c r="C146" i="13"/>
  <c r="T146" i="13" s="1"/>
  <c r="B146" i="13"/>
  <c r="T145" i="13"/>
  <c r="M145" i="13"/>
  <c r="J145" i="13"/>
  <c r="G145" i="13"/>
  <c r="K145" i="13" s="1"/>
  <c r="L145" i="13" s="1"/>
  <c r="F145" i="13"/>
  <c r="E145" i="13"/>
  <c r="D145" i="13"/>
  <c r="C145" i="13"/>
  <c r="B145" i="13"/>
  <c r="M144" i="13"/>
  <c r="K144" i="13"/>
  <c r="L144" i="13" s="1"/>
  <c r="G144" i="13"/>
  <c r="F144" i="13"/>
  <c r="E144" i="13"/>
  <c r="D144" i="13"/>
  <c r="J144" i="13" s="1"/>
  <c r="C144" i="13"/>
  <c r="N144" i="13" s="1"/>
  <c r="B144" i="13"/>
  <c r="M143" i="13"/>
  <c r="G143" i="13"/>
  <c r="F143" i="13"/>
  <c r="E143" i="13"/>
  <c r="D143" i="13"/>
  <c r="C143" i="13"/>
  <c r="N143" i="13" s="1"/>
  <c r="O143" i="13" s="1"/>
  <c r="B143" i="13"/>
  <c r="M142" i="13"/>
  <c r="J142" i="13"/>
  <c r="G142" i="13"/>
  <c r="F142" i="13"/>
  <c r="E142" i="13"/>
  <c r="D142" i="13"/>
  <c r="C142" i="13"/>
  <c r="B142" i="13"/>
  <c r="M141" i="13"/>
  <c r="J141" i="13"/>
  <c r="G141" i="13"/>
  <c r="K141" i="13" s="1"/>
  <c r="L141" i="13" s="1"/>
  <c r="F141" i="13"/>
  <c r="E141" i="13"/>
  <c r="D141" i="13"/>
  <c r="C141" i="13"/>
  <c r="B141" i="13"/>
  <c r="N140" i="13"/>
  <c r="R140" i="13" s="1"/>
  <c r="M140" i="13"/>
  <c r="J140" i="13"/>
  <c r="H140" i="13"/>
  <c r="G140" i="13"/>
  <c r="F140" i="13"/>
  <c r="E140" i="13"/>
  <c r="D140" i="13"/>
  <c r="K140" i="13" s="1"/>
  <c r="L140" i="13" s="1"/>
  <c r="C140" i="13"/>
  <c r="T140" i="13" s="1"/>
  <c r="B140" i="13"/>
  <c r="M139" i="13"/>
  <c r="J139" i="13"/>
  <c r="G139" i="13"/>
  <c r="K139" i="13" s="1"/>
  <c r="L139" i="13" s="1"/>
  <c r="F139" i="13"/>
  <c r="E139" i="13"/>
  <c r="D139" i="13"/>
  <c r="C139" i="13"/>
  <c r="B139" i="13"/>
  <c r="M138" i="13"/>
  <c r="G138" i="13"/>
  <c r="F138" i="13"/>
  <c r="E138" i="13"/>
  <c r="D138" i="13"/>
  <c r="J138" i="13" s="1"/>
  <c r="C138" i="13"/>
  <c r="T138" i="13" s="1"/>
  <c r="B138" i="13"/>
  <c r="M137" i="13"/>
  <c r="L137" i="13"/>
  <c r="J137" i="13"/>
  <c r="G137" i="13"/>
  <c r="K137" i="13" s="1"/>
  <c r="F137" i="13"/>
  <c r="E137" i="13"/>
  <c r="D137" i="13"/>
  <c r="C137" i="13"/>
  <c r="H137" i="13" s="1"/>
  <c r="B137" i="13"/>
  <c r="N136" i="13"/>
  <c r="M136" i="13"/>
  <c r="J136" i="13"/>
  <c r="H136" i="13"/>
  <c r="G136" i="13"/>
  <c r="F136" i="13"/>
  <c r="E136" i="13"/>
  <c r="D136" i="13"/>
  <c r="K136" i="13" s="1"/>
  <c r="L136" i="13" s="1"/>
  <c r="C136" i="13"/>
  <c r="T136" i="13" s="1"/>
  <c r="B136" i="13"/>
  <c r="T135" i="13"/>
  <c r="P135" i="13"/>
  <c r="M135" i="13"/>
  <c r="J135" i="13"/>
  <c r="G135" i="13"/>
  <c r="K135" i="13" s="1"/>
  <c r="L135" i="13" s="1"/>
  <c r="F135" i="13"/>
  <c r="E135" i="13"/>
  <c r="D135" i="13"/>
  <c r="C135" i="13"/>
  <c r="N135" i="13" s="1"/>
  <c r="S135" i="13" s="1"/>
  <c r="B135" i="13"/>
  <c r="M134" i="13"/>
  <c r="J134" i="13"/>
  <c r="G134" i="13"/>
  <c r="F134" i="13"/>
  <c r="E134" i="13"/>
  <c r="D134" i="13"/>
  <c r="C134" i="13"/>
  <c r="T134" i="13" s="1"/>
  <c r="B134" i="13"/>
  <c r="M133" i="13"/>
  <c r="J133" i="13"/>
  <c r="G133" i="13"/>
  <c r="K133" i="13" s="1"/>
  <c r="L133" i="13" s="1"/>
  <c r="F133" i="13"/>
  <c r="E133" i="13"/>
  <c r="D133" i="13"/>
  <c r="C133" i="13"/>
  <c r="B133" i="13"/>
  <c r="N132" i="13"/>
  <c r="Q132" i="13" s="1"/>
  <c r="M132" i="13"/>
  <c r="J132" i="13"/>
  <c r="H132" i="13"/>
  <c r="G132" i="13"/>
  <c r="K132" i="13" s="1"/>
  <c r="L132" i="13" s="1"/>
  <c r="F132" i="13"/>
  <c r="E132" i="13"/>
  <c r="D132" i="13"/>
  <c r="C132" i="13"/>
  <c r="T132" i="13" s="1"/>
  <c r="B132" i="13"/>
  <c r="M131" i="13"/>
  <c r="J131" i="13"/>
  <c r="G131" i="13"/>
  <c r="K131" i="13" s="1"/>
  <c r="L131" i="13" s="1"/>
  <c r="F131" i="13"/>
  <c r="E131" i="13"/>
  <c r="D131" i="13"/>
  <c r="C131" i="13"/>
  <c r="B131" i="13"/>
  <c r="M130" i="13"/>
  <c r="G130" i="13"/>
  <c r="F130" i="13"/>
  <c r="E130" i="13"/>
  <c r="D130" i="13"/>
  <c r="J130" i="13" s="1"/>
  <c r="C130" i="13"/>
  <c r="T130" i="13" s="1"/>
  <c r="B130" i="13"/>
  <c r="M129" i="13"/>
  <c r="L129" i="13"/>
  <c r="J129" i="13"/>
  <c r="G129" i="13"/>
  <c r="K129" i="13" s="1"/>
  <c r="F129" i="13"/>
  <c r="E129" i="13"/>
  <c r="D129" i="13"/>
  <c r="C129" i="13"/>
  <c r="H129" i="13" s="1"/>
  <c r="B129" i="13"/>
  <c r="N128" i="13"/>
  <c r="R128" i="13" s="1"/>
  <c r="M128" i="13"/>
  <c r="K128" i="13"/>
  <c r="L128" i="13" s="1"/>
  <c r="J128" i="13"/>
  <c r="G128" i="13"/>
  <c r="H128" i="13" s="1"/>
  <c r="F128" i="13"/>
  <c r="E128" i="13"/>
  <c r="D128" i="13"/>
  <c r="C128" i="13"/>
  <c r="T128" i="13" s="1"/>
  <c r="B128" i="13"/>
  <c r="T127" i="13"/>
  <c r="M127" i="13"/>
  <c r="K127" i="13"/>
  <c r="L127" i="13" s="1"/>
  <c r="J127" i="13"/>
  <c r="G127" i="13"/>
  <c r="F127" i="13"/>
  <c r="E127" i="13"/>
  <c r="D127" i="13"/>
  <c r="C127" i="13"/>
  <c r="N127" i="13" s="1"/>
  <c r="R127" i="13" s="1"/>
  <c r="B127" i="13"/>
  <c r="M126" i="13"/>
  <c r="G126" i="13"/>
  <c r="F126" i="13"/>
  <c r="E126" i="13"/>
  <c r="D126" i="13"/>
  <c r="J126" i="13" s="1"/>
  <c r="C126" i="13"/>
  <c r="N126" i="13" s="1"/>
  <c r="R126" i="13" s="1"/>
  <c r="B126" i="13"/>
  <c r="N125" i="13"/>
  <c r="M125" i="13"/>
  <c r="J125" i="13"/>
  <c r="G125" i="13"/>
  <c r="K125" i="13" s="1"/>
  <c r="L125" i="13" s="1"/>
  <c r="F125" i="13"/>
  <c r="E125" i="13"/>
  <c r="D125" i="13"/>
  <c r="C125" i="13"/>
  <c r="T125" i="13" s="1"/>
  <c r="B125" i="13"/>
  <c r="M124" i="13"/>
  <c r="K124" i="13"/>
  <c r="L124" i="13" s="1"/>
  <c r="G124" i="13"/>
  <c r="F124" i="13"/>
  <c r="E124" i="13"/>
  <c r="D124" i="13"/>
  <c r="J124" i="13" s="1"/>
  <c r="C124" i="13"/>
  <c r="T124" i="13" s="1"/>
  <c r="B124" i="13"/>
  <c r="M123" i="13"/>
  <c r="G123" i="13"/>
  <c r="F123" i="13"/>
  <c r="E123" i="13"/>
  <c r="D123" i="13"/>
  <c r="J123" i="13" s="1"/>
  <c r="C123" i="13"/>
  <c r="B123" i="13"/>
  <c r="M122" i="13"/>
  <c r="G122" i="13"/>
  <c r="F122" i="13"/>
  <c r="E122" i="13"/>
  <c r="D122" i="13"/>
  <c r="C122" i="13"/>
  <c r="B122" i="13"/>
  <c r="N121" i="13"/>
  <c r="M121" i="13"/>
  <c r="G121" i="13"/>
  <c r="F121" i="13"/>
  <c r="E121" i="13"/>
  <c r="D121" i="13"/>
  <c r="C121" i="13"/>
  <c r="B121" i="13"/>
  <c r="M120" i="13"/>
  <c r="J120" i="13"/>
  <c r="G120" i="13"/>
  <c r="K120" i="13" s="1"/>
  <c r="L120" i="13" s="1"/>
  <c r="F120" i="13"/>
  <c r="E120" i="13"/>
  <c r="D120" i="13"/>
  <c r="C120" i="13"/>
  <c r="T120" i="13" s="1"/>
  <c r="B120" i="13"/>
  <c r="M119" i="13"/>
  <c r="K119" i="13"/>
  <c r="L119" i="13" s="1"/>
  <c r="J119" i="13"/>
  <c r="G119" i="13"/>
  <c r="F119" i="13"/>
  <c r="E119" i="13"/>
  <c r="D119" i="13"/>
  <c r="C119" i="13"/>
  <c r="B119" i="13"/>
  <c r="M118" i="13"/>
  <c r="G118" i="13"/>
  <c r="F118" i="13"/>
  <c r="E118" i="13"/>
  <c r="D118" i="13"/>
  <c r="C118" i="13"/>
  <c r="N118" i="13" s="1"/>
  <c r="B118" i="13"/>
  <c r="M117" i="13"/>
  <c r="G117" i="13"/>
  <c r="F117" i="13"/>
  <c r="E117" i="13"/>
  <c r="D117" i="13"/>
  <c r="C117" i="13"/>
  <c r="B117" i="13"/>
  <c r="M116" i="13"/>
  <c r="J116" i="13"/>
  <c r="G116" i="13"/>
  <c r="F116" i="13"/>
  <c r="E116" i="13"/>
  <c r="D116" i="13"/>
  <c r="C116" i="13"/>
  <c r="N116" i="13" s="1"/>
  <c r="B116" i="13"/>
  <c r="M115" i="13"/>
  <c r="J115" i="13"/>
  <c r="G115" i="13"/>
  <c r="K115" i="13" s="1"/>
  <c r="L115" i="13" s="1"/>
  <c r="F115" i="13"/>
  <c r="E115" i="13"/>
  <c r="D115" i="13"/>
  <c r="C115" i="13"/>
  <c r="T115" i="13" s="1"/>
  <c r="B115" i="13"/>
  <c r="M114" i="13"/>
  <c r="J114" i="13"/>
  <c r="G114" i="13"/>
  <c r="F114" i="13"/>
  <c r="E114" i="13"/>
  <c r="D114" i="13"/>
  <c r="C114" i="13"/>
  <c r="T114" i="13" s="1"/>
  <c r="B114" i="13"/>
  <c r="T113" i="13"/>
  <c r="M113" i="13"/>
  <c r="G113" i="13"/>
  <c r="F113" i="13"/>
  <c r="E113" i="13"/>
  <c r="D113" i="13"/>
  <c r="C113" i="13"/>
  <c r="B113" i="13"/>
  <c r="M112" i="13"/>
  <c r="G112" i="13"/>
  <c r="F112" i="13"/>
  <c r="E112" i="13"/>
  <c r="D112" i="13"/>
  <c r="C112" i="13"/>
  <c r="B112" i="13"/>
  <c r="M111" i="13"/>
  <c r="G111" i="13"/>
  <c r="F111" i="13"/>
  <c r="E111" i="13"/>
  <c r="D111" i="13"/>
  <c r="C111" i="13"/>
  <c r="B111" i="13"/>
  <c r="M110" i="13"/>
  <c r="G110" i="13"/>
  <c r="F110" i="13"/>
  <c r="E110" i="13"/>
  <c r="D110" i="13"/>
  <c r="C110" i="13"/>
  <c r="B110" i="13"/>
  <c r="M109" i="13"/>
  <c r="G109" i="13"/>
  <c r="F109" i="13"/>
  <c r="E109" i="13"/>
  <c r="D109" i="13"/>
  <c r="N109" i="13" s="1"/>
  <c r="S109" i="13" s="1"/>
  <c r="C109" i="13"/>
  <c r="B109" i="13"/>
  <c r="M108" i="13"/>
  <c r="G108" i="13"/>
  <c r="K108" i="13" s="1"/>
  <c r="L108" i="13" s="1"/>
  <c r="F108" i="13"/>
  <c r="E108" i="13"/>
  <c r="D108" i="13"/>
  <c r="J108" i="13" s="1"/>
  <c r="C108" i="13"/>
  <c r="N108" i="13" s="1"/>
  <c r="Q108" i="13" s="1"/>
  <c r="B108" i="13"/>
  <c r="M107" i="13"/>
  <c r="G107" i="13"/>
  <c r="F107" i="13"/>
  <c r="E107" i="13"/>
  <c r="D107" i="13"/>
  <c r="T107" i="13" s="1"/>
  <c r="C107" i="13"/>
  <c r="B107" i="13"/>
  <c r="M106" i="13"/>
  <c r="G106" i="13"/>
  <c r="F106" i="13"/>
  <c r="E106" i="13"/>
  <c r="D106" i="13"/>
  <c r="C106" i="13"/>
  <c r="B106" i="13"/>
  <c r="M105" i="13"/>
  <c r="J105" i="13"/>
  <c r="H105" i="13"/>
  <c r="G105" i="13"/>
  <c r="F105" i="13"/>
  <c r="E105" i="13"/>
  <c r="D105" i="13"/>
  <c r="K105" i="13" s="1"/>
  <c r="L105" i="13" s="1"/>
  <c r="C105" i="13"/>
  <c r="B105" i="13"/>
  <c r="M104" i="13"/>
  <c r="G104" i="13"/>
  <c r="F104" i="13"/>
  <c r="E104" i="13"/>
  <c r="D104" i="13"/>
  <c r="C104" i="13"/>
  <c r="T104" i="13" s="1"/>
  <c r="B104" i="13"/>
  <c r="T103" i="13"/>
  <c r="M103" i="13"/>
  <c r="G103" i="13"/>
  <c r="K103" i="13" s="1"/>
  <c r="L103" i="13" s="1"/>
  <c r="F103" i="13"/>
  <c r="E103" i="13"/>
  <c r="D103" i="13"/>
  <c r="C103" i="13"/>
  <c r="N103" i="13" s="1"/>
  <c r="B103" i="13"/>
  <c r="M102" i="13"/>
  <c r="J102" i="13"/>
  <c r="G102" i="13"/>
  <c r="F102" i="13"/>
  <c r="E102" i="13"/>
  <c r="D102" i="13"/>
  <c r="C102" i="13"/>
  <c r="N102" i="13" s="1"/>
  <c r="B102" i="13"/>
  <c r="M101" i="13"/>
  <c r="G101" i="13"/>
  <c r="K101" i="13" s="1"/>
  <c r="L101" i="13" s="1"/>
  <c r="F101" i="13"/>
  <c r="E101" i="13"/>
  <c r="D101" i="13"/>
  <c r="J101" i="13" s="1"/>
  <c r="C101" i="13"/>
  <c r="T101" i="13" s="1"/>
  <c r="B101" i="13"/>
  <c r="N100" i="13"/>
  <c r="M100" i="13"/>
  <c r="G100" i="13"/>
  <c r="F100" i="13"/>
  <c r="E100" i="13"/>
  <c r="D100" i="13"/>
  <c r="C100" i="13"/>
  <c r="B100" i="13"/>
  <c r="M99" i="13"/>
  <c r="G99" i="13"/>
  <c r="F99" i="13"/>
  <c r="E99" i="13"/>
  <c r="D99" i="13"/>
  <c r="J99" i="13" s="1"/>
  <c r="C99" i="13"/>
  <c r="N99" i="13" s="1"/>
  <c r="P99" i="13" s="1"/>
  <c r="B99" i="13"/>
  <c r="M98" i="13"/>
  <c r="G98" i="13"/>
  <c r="F98" i="13"/>
  <c r="E98" i="13"/>
  <c r="D98" i="13"/>
  <c r="K98" i="13" s="1"/>
  <c r="L98" i="13" s="1"/>
  <c r="C98" i="13"/>
  <c r="N98" i="13" s="1"/>
  <c r="B98" i="13"/>
  <c r="M97" i="13"/>
  <c r="G97" i="13"/>
  <c r="F97" i="13"/>
  <c r="E97" i="13"/>
  <c r="D97" i="13"/>
  <c r="C97" i="13"/>
  <c r="B97" i="13"/>
  <c r="M96" i="13"/>
  <c r="G96" i="13"/>
  <c r="F96" i="13"/>
  <c r="E96" i="13"/>
  <c r="D96" i="13"/>
  <c r="K96" i="13" s="1"/>
  <c r="L96" i="13" s="1"/>
  <c r="C96" i="13"/>
  <c r="T96" i="13" s="1"/>
  <c r="B96" i="13"/>
  <c r="M95" i="13"/>
  <c r="G95" i="13"/>
  <c r="F95" i="13"/>
  <c r="E95" i="13"/>
  <c r="D95" i="13"/>
  <c r="C95" i="13"/>
  <c r="B95" i="13"/>
  <c r="M94" i="13"/>
  <c r="J94" i="13"/>
  <c r="G94" i="13"/>
  <c r="F94" i="13"/>
  <c r="E94" i="13"/>
  <c r="D94" i="13"/>
  <c r="C94" i="13"/>
  <c r="B94" i="13"/>
  <c r="M93" i="13"/>
  <c r="G93" i="13"/>
  <c r="F93" i="13"/>
  <c r="E93" i="13"/>
  <c r="D93" i="13"/>
  <c r="C93" i="13"/>
  <c r="B93" i="13"/>
  <c r="M92" i="13"/>
  <c r="G92" i="13"/>
  <c r="F92" i="13"/>
  <c r="E92" i="13"/>
  <c r="D92" i="13"/>
  <c r="C92" i="13"/>
  <c r="B92" i="13"/>
  <c r="M91" i="13"/>
  <c r="G91" i="13"/>
  <c r="F91" i="13"/>
  <c r="E91" i="13"/>
  <c r="D91" i="13"/>
  <c r="C91" i="13"/>
  <c r="B91" i="13"/>
  <c r="M90" i="13"/>
  <c r="J90" i="13"/>
  <c r="G90" i="13"/>
  <c r="H90" i="13" s="1"/>
  <c r="F90" i="13"/>
  <c r="E90" i="13"/>
  <c r="D90" i="13"/>
  <c r="C90" i="13"/>
  <c r="N90" i="13" s="1"/>
  <c r="B90" i="13"/>
  <c r="M89" i="13"/>
  <c r="K89" i="13"/>
  <c r="L89" i="13" s="1"/>
  <c r="G89" i="13"/>
  <c r="F89" i="13"/>
  <c r="E89" i="13"/>
  <c r="D89" i="13"/>
  <c r="J89" i="13" s="1"/>
  <c r="C89" i="13"/>
  <c r="B89" i="13"/>
  <c r="N88" i="13"/>
  <c r="M88" i="13"/>
  <c r="G88" i="13"/>
  <c r="F88" i="13"/>
  <c r="E88" i="13"/>
  <c r="D88" i="13"/>
  <c r="K88" i="13" s="1"/>
  <c r="L88" i="13" s="1"/>
  <c r="C88" i="13"/>
  <c r="B88" i="13"/>
  <c r="M87" i="13"/>
  <c r="K87" i="13"/>
  <c r="L87" i="13" s="1"/>
  <c r="G87" i="13"/>
  <c r="F87" i="13"/>
  <c r="E87" i="13"/>
  <c r="D87" i="13"/>
  <c r="N87" i="13" s="1"/>
  <c r="P87" i="13" s="1"/>
  <c r="C87" i="13"/>
  <c r="B87" i="13"/>
  <c r="M86" i="13"/>
  <c r="J86" i="13"/>
  <c r="G86" i="13"/>
  <c r="F86" i="13"/>
  <c r="E86" i="13"/>
  <c r="D86" i="13"/>
  <c r="C86" i="13"/>
  <c r="N86" i="13" s="1"/>
  <c r="B86" i="13"/>
  <c r="M85" i="13"/>
  <c r="K85" i="13"/>
  <c r="L85" i="13" s="1"/>
  <c r="G85" i="13"/>
  <c r="F85" i="13"/>
  <c r="E85" i="13"/>
  <c r="D85" i="13"/>
  <c r="J85" i="13" s="1"/>
  <c r="C85" i="13"/>
  <c r="B85" i="13"/>
  <c r="M84" i="13"/>
  <c r="G84" i="13"/>
  <c r="F84" i="13"/>
  <c r="E84" i="13"/>
  <c r="D84" i="13"/>
  <c r="K84" i="13" s="1"/>
  <c r="L84" i="13" s="1"/>
  <c r="C84" i="13"/>
  <c r="B84" i="13"/>
  <c r="M83" i="13"/>
  <c r="G83" i="13"/>
  <c r="F83" i="13"/>
  <c r="E83" i="13"/>
  <c r="D83" i="13"/>
  <c r="C83" i="13"/>
  <c r="T83" i="13" s="1"/>
  <c r="B83" i="13"/>
  <c r="M82" i="13"/>
  <c r="G82" i="13"/>
  <c r="F82" i="13"/>
  <c r="E82" i="13"/>
  <c r="D82" i="13"/>
  <c r="C82" i="13"/>
  <c r="B82" i="13"/>
  <c r="M81" i="13"/>
  <c r="L81" i="13"/>
  <c r="G81" i="13"/>
  <c r="K81" i="13" s="1"/>
  <c r="F81" i="13"/>
  <c r="E81" i="13"/>
  <c r="D81" i="13"/>
  <c r="J81" i="13" s="1"/>
  <c r="C81" i="13"/>
  <c r="B81" i="13"/>
  <c r="M80" i="13"/>
  <c r="G80" i="13"/>
  <c r="F80" i="13"/>
  <c r="E80" i="13"/>
  <c r="D80" i="13"/>
  <c r="C80" i="13"/>
  <c r="T80" i="13" s="1"/>
  <c r="B80" i="13"/>
  <c r="M79" i="13"/>
  <c r="G79" i="13"/>
  <c r="K79" i="13" s="1"/>
  <c r="L79" i="13" s="1"/>
  <c r="F79" i="13"/>
  <c r="E79" i="13"/>
  <c r="D79" i="13"/>
  <c r="C79" i="13"/>
  <c r="T79" i="13" s="1"/>
  <c r="B79" i="13"/>
  <c r="M78" i="13"/>
  <c r="G78" i="13"/>
  <c r="F78" i="13"/>
  <c r="E78" i="13"/>
  <c r="D78" i="13"/>
  <c r="C78" i="13"/>
  <c r="B78" i="13"/>
  <c r="M77" i="13"/>
  <c r="K77" i="13"/>
  <c r="L77" i="13" s="1"/>
  <c r="G77" i="13"/>
  <c r="F77" i="13"/>
  <c r="E77" i="13"/>
  <c r="D77" i="13"/>
  <c r="J77" i="13" s="1"/>
  <c r="C77" i="13"/>
  <c r="B77" i="13"/>
  <c r="M76" i="13"/>
  <c r="G76" i="13"/>
  <c r="F76" i="13"/>
  <c r="E76" i="13"/>
  <c r="D76" i="13"/>
  <c r="N76" i="13" s="1"/>
  <c r="C76" i="13"/>
  <c r="B76" i="13"/>
  <c r="M75" i="13"/>
  <c r="G75" i="13"/>
  <c r="K75" i="13" s="1"/>
  <c r="L75" i="13" s="1"/>
  <c r="F75" i="13"/>
  <c r="E75" i="13"/>
  <c r="D75" i="13"/>
  <c r="N75" i="13" s="1"/>
  <c r="C75" i="13"/>
  <c r="T75" i="13" s="1"/>
  <c r="B75" i="13"/>
  <c r="M74" i="13"/>
  <c r="J74" i="13"/>
  <c r="H74" i="13"/>
  <c r="G74" i="13"/>
  <c r="F74" i="13"/>
  <c r="E74" i="13"/>
  <c r="D74" i="13"/>
  <c r="K74" i="13" s="1"/>
  <c r="L74" i="13" s="1"/>
  <c r="C74" i="13"/>
  <c r="N74" i="13" s="1"/>
  <c r="R74" i="13" s="1"/>
  <c r="B74" i="13"/>
  <c r="M73" i="13"/>
  <c r="L73" i="13"/>
  <c r="K73" i="13"/>
  <c r="G73" i="13"/>
  <c r="F73" i="13"/>
  <c r="E73" i="13"/>
  <c r="D73" i="13"/>
  <c r="J73" i="13" s="1"/>
  <c r="C73" i="13"/>
  <c r="B73" i="13"/>
  <c r="N72" i="13"/>
  <c r="M72" i="13"/>
  <c r="G72" i="13"/>
  <c r="F72" i="13"/>
  <c r="E72" i="13"/>
  <c r="D72" i="13"/>
  <c r="C72" i="13"/>
  <c r="T72" i="13" s="1"/>
  <c r="B72" i="13"/>
  <c r="M71" i="13"/>
  <c r="G71" i="13"/>
  <c r="K71" i="13" s="1"/>
  <c r="L71" i="13" s="1"/>
  <c r="F71" i="13"/>
  <c r="E71" i="13"/>
  <c r="D71" i="13"/>
  <c r="N71" i="13" s="1"/>
  <c r="P71" i="13" s="1"/>
  <c r="C71" i="13"/>
  <c r="T71" i="13" s="1"/>
  <c r="B71" i="13"/>
  <c r="M70" i="13"/>
  <c r="J70" i="13"/>
  <c r="H70" i="13"/>
  <c r="G70" i="13"/>
  <c r="F70" i="13"/>
  <c r="E70" i="13"/>
  <c r="D70" i="13"/>
  <c r="K70" i="13" s="1"/>
  <c r="L70" i="13" s="1"/>
  <c r="C70" i="13"/>
  <c r="N70" i="13" s="1"/>
  <c r="R70" i="13" s="1"/>
  <c r="B70" i="13"/>
  <c r="M69" i="13"/>
  <c r="K69" i="13"/>
  <c r="L69" i="13" s="1"/>
  <c r="G69" i="13"/>
  <c r="F69" i="13"/>
  <c r="E69" i="13"/>
  <c r="D69" i="13"/>
  <c r="J69" i="13" s="1"/>
  <c r="C69" i="13"/>
  <c r="B69" i="13"/>
  <c r="N68" i="13"/>
  <c r="M68" i="13"/>
  <c r="G68" i="13"/>
  <c r="F68" i="13"/>
  <c r="E68" i="13"/>
  <c r="D68" i="13"/>
  <c r="C68" i="13"/>
  <c r="B68" i="13"/>
  <c r="O67" i="13"/>
  <c r="M67" i="13"/>
  <c r="G67" i="13"/>
  <c r="K67" i="13" s="1"/>
  <c r="L67" i="13" s="1"/>
  <c r="F67" i="13"/>
  <c r="E67" i="13"/>
  <c r="D67" i="13"/>
  <c r="N67" i="13" s="1"/>
  <c r="P67" i="13" s="1"/>
  <c r="C67" i="13"/>
  <c r="T67" i="13" s="1"/>
  <c r="B67" i="13"/>
  <c r="M66" i="13"/>
  <c r="J66" i="13"/>
  <c r="H66" i="13"/>
  <c r="G66" i="13"/>
  <c r="F66" i="13"/>
  <c r="E66" i="13"/>
  <c r="D66" i="13"/>
  <c r="K66" i="13" s="1"/>
  <c r="L66" i="13" s="1"/>
  <c r="C66" i="13"/>
  <c r="N66" i="13" s="1"/>
  <c r="R66" i="13" s="1"/>
  <c r="B66" i="13"/>
  <c r="T65" i="13"/>
  <c r="M65" i="13"/>
  <c r="L65" i="13"/>
  <c r="K65" i="13"/>
  <c r="G65" i="13"/>
  <c r="F65" i="13"/>
  <c r="E65" i="13"/>
  <c r="D65" i="13"/>
  <c r="J65" i="13" s="1"/>
  <c r="C65" i="13"/>
  <c r="B65" i="13"/>
  <c r="Q64" i="13"/>
  <c r="N64" i="13"/>
  <c r="M64" i="13"/>
  <c r="H64" i="13" s="1"/>
  <c r="G64" i="13"/>
  <c r="F64" i="13"/>
  <c r="E64" i="13"/>
  <c r="D64" i="13"/>
  <c r="C64" i="13"/>
  <c r="T64" i="13" s="1"/>
  <c r="B64" i="13"/>
  <c r="M63" i="13"/>
  <c r="K63" i="13"/>
  <c r="L63" i="13" s="1"/>
  <c r="G63" i="13"/>
  <c r="F63" i="13"/>
  <c r="E63" i="13"/>
  <c r="D63" i="13"/>
  <c r="N63" i="13" s="1"/>
  <c r="P63" i="13" s="1"/>
  <c r="C63" i="13"/>
  <c r="T63" i="13" s="1"/>
  <c r="B63" i="13"/>
  <c r="M62" i="13"/>
  <c r="J62" i="13"/>
  <c r="H62" i="13"/>
  <c r="G62" i="13"/>
  <c r="F62" i="13"/>
  <c r="E62" i="13"/>
  <c r="D62" i="13"/>
  <c r="K62" i="13" s="1"/>
  <c r="L62" i="13" s="1"/>
  <c r="C62" i="13"/>
  <c r="B62" i="13"/>
  <c r="T61" i="13"/>
  <c r="M61" i="13"/>
  <c r="L61" i="13"/>
  <c r="K61" i="13"/>
  <c r="G61" i="13"/>
  <c r="F61" i="13"/>
  <c r="E61" i="13"/>
  <c r="D61" i="13"/>
  <c r="J61" i="13" s="1"/>
  <c r="C61" i="13"/>
  <c r="B61" i="13"/>
  <c r="N60" i="13"/>
  <c r="Q60" i="13" s="1"/>
  <c r="M60" i="13"/>
  <c r="G60" i="13"/>
  <c r="F60" i="13"/>
  <c r="E60" i="13"/>
  <c r="D60" i="13"/>
  <c r="C60" i="13"/>
  <c r="T60" i="13" s="1"/>
  <c r="B60" i="13"/>
  <c r="M59" i="13"/>
  <c r="K59" i="13"/>
  <c r="L59" i="13" s="1"/>
  <c r="G59" i="13"/>
  <c r="F59" i="13"/>
  <c r="E59" i="13"/>
  <c r="D59" i="13"/>
  <c r="N59" i="13" s="1"/>
  <c r="P59" i="13" s="1"/>
  <c r="C59" i="13"/>
  <c r="T59" i="13" s="1"/>
  <c r="B59" i="13"/>
  <c r="M58" i="13"/>
  <c r="J58" i="13"/>
  <c r="H58" i="13"/>
  <c r="G58" i="13"/>
  <c r="F58" i="13"/>
  <c r="E58" i="13"/>
  <c r="D58" i="13"/>
  <c r="K58" i="13" s="1"/>
  <c r="L58" i="13" s="1"/>
  <c r="C58" i="13"/>
  <c r="N58" i="13" s="1"/>
  <c r="B58" i="13"/>
  <c r="T57" i="13"/>
  <c r="M57" i="13"/>
  <c r="L57" i="13"/>
  <c r="K57" i="13"/>
  <c r="G57" i="13"/>
  <c r="F57" i="13"/>
  <c r="E57" i="13"/>
  <c r="D57" i="13"/>
  <c r="J57" i="13" s="1"/>
  <c r="C57" i="13"/>
  <c r="B57" i="13"/>
  <c r="N56" i="13"/>
  <c r="Q56" i="13" s="1"/>
  <c r="M56" i="13"/>
  <c r="H56" i="13" s="1"/>
  <c r="G56" i="13"/>
  <c r="F56" i="13"/>
  <c r="E56" i="13"/>
  <c r="D56" i="13"/>
  <c r="C56" i="13"/>
  <c r="T56" i="13" s="1"/>
  <c r="B56" i="13"/>
  <c r="M55" i="13"/>
  <c r="K55" i="13"/>
  <c r="L55" i="13" s="1"/>
  <c r="G55" i="13"/>
  <c r="F55" i="13"/>
  <c r="E55" i="13"/>
  <c r="D55" i="13"/>
  <c r="N55" i="13" s="1"/>
  <c r="P55" i="13" s="1"/>
  <c r="C55" i="13"/>
  <c r="T55" i="13" s="1"/>
  <c r="B55" i="13"/>
  <c r="M54" i="13"/>
  <c r="J54" i="13"/>
  <c r="H54" i="13"/>
  <c r="G54" i="13"/>
  <c r="F54" i="13"/>
  <c r="E54" i="13"/>
  <c r="D54" i="13"/>
  <c r="K54" i="13" s="1"/>
  <c r="L54" i="13" s="1"/>
  <c r="C54" i="13"/>
  <c r="B54" i="13"/>
  <c r="T53" i="13"/>
  <c r="M53" i="13"/>
  <c r="L53" i="13"/>
  <c r="K53" i="13"/>
  <c r="G53" i="13"/>
  <c r="F53" i="13"/>
  <c r="E53" i="13"/>
  <c r="D53" i="13"/>
  <c r="J53" i="13" s="1"/>
  <c r="C53" i="13"/>
  <c r="B53" i="13"/>
  <c r="Q52" i="13"/>
  <c r="N52" i="13"/>
  <c r="M52" i="13"/>
  <c r="G52" i="13"/>
  <c r="F52" i="13"/>
  <c r="E52" i="13"/>
  <c r="D52" i="13"/>
  <c r="C52" i="13"/>
  <c r="T52" i="13" s="1"/>
  <c r="B52" i="13"/>
  <c r="M51" i="13"/>
  <c r="G51" i="13"/>
  <c r="F51" i="13"/>
  <c r="E51" i="13"/>
  <c r="D51" i="13"/>
  <c r="C51" i="13"/>
  <c r="B51" i="13"/>
  <c r="M50" i="13"/>
  <c r="J50" i="13"/>
  <c r="G50" i="13"/>
  <c r="H50" i="13" s="1"/>
  <c r="F50" i="13"/>
  <c r="E50" i="13"/>
  <c r="D50" i="13"/>
  <c r="C50" i="13"/>
  <c r="N50" i="13" s="1"/>
  <c r="B50" i="13"/>
  <c r="M49" i="13"/>
  <c r="G49" i="13"/>
  <c r="F49" i="13"/>
  <c r="E49" i="13"/>
  <c r="D49" i="13"/>
  <c r="C49" i="13"/>
  <c r="B49" i="13"/>
  <c r="M48" i="13"/>
  <c r="G48" i="13"/>
  <c r="F48" i="13"/>
  <c r="E48" i="13"/>
  <c r="D48" i="13"/>
  <c r="J48" i="13" s="1"/>
  <c r="C48" i="13"/>
  <c r="B48" i="13"/>
  <c r="M47" i="13"/>
  <c r="G47" i="13"/>
  <c r="F47" i="13"/>
  <c r="E47" i="13"/>
  <c r="D47" i="13"/>
  <c r="K47" i="13" s="1"/>
  <c r="L47" i="13" s="1"/>
  <c r="C47" i="13"/>
  <c r="B47" i="13"/>
  <c r="M46" i="13"/>
  <c r="J46" i="13"/>
  <c r="G46" i="13"/>
  <c r="F46" i="13"/>
  <c r="E46" i="13"/>
  <c r="D46" i="13"/>
  <c r="K46" i="13" s="1"/>
  <c r="L46" i="13" s="1"/>
  <c r="C46" i="13"/>
  <c r="N46" i="13" s="1"/>
  <c r="B46" i="13"/>
  <c r="M45" i="13"/>
  <c r="G45" i="13"/>
  <c r="F45" i="13"/>
  <c r="E45" i="13"/>
  <c r="D45" i="13"/>
  <c r="C45" i="13"/>
  <c r="B45" i="13"/>
  <c r="N44" i="13"/>
  <c r="S44" i="13" s="1"/>
  <c r="M44" i="13"/>
  <c r="K44" i="13"/>
  <c r="L44" i="13" s="1"/>
  <c r="G44" i="13"/>
  <c r="F44" i="13"/>
  <c r="E44" i="13"/>
  <c r="D44" i="13"/>
  <c r="J44" i="13" s="1"/>
  <c r="C44" i="13"/>
  <c r="B44" i="13"/>
  <c r="M43" i="13"/>
  <c r="K43" i="13"/>
  <c r="L43" i="13" s="1"/>
  <c r="G43" i="13"/>
  <c r="F43" i="13"/>
  <c r="E43" i="13"/>
  <c r="D43" i="13"/>
  <c r="C43" i="13"/>
  <c r="B43" i="13"/>
  <c r="M42" i="13"/>
  <c r="G42" i="13"/>
  <c r="F42" i="13"/>
  <c r="E42" i="13"/>
  <c r="D42" i="13"/>
  <c r="C42" i="13"/>
  <c r="B42" i="13"/>
  <c r="M41" i="13"/>
  <c r="K41" i="13"/>
  <c r="L41" i="13" s="1"/>
  <c r="G41" i="13"/>
  <c r="F41" i="13"/>
  <c r="E41" i="13"/>
  <c r="D41" i="13"/>
  <c r="J41" i="13" s="1"/>
  <c r="C41" i="13"/>
  <c r="B41" i="13"/>
  <c r="M40" i="13"/>
  <c r="G40" i="13"/>
  <c r="F40" i="13"/>
  <c r="E40" i="13"/>
  <c r="D40" i="13"/>
  <c r="J40" i="13" s="1"/>
  <c r="C40" i="13"/>
  <c r="B40" i="13"/>
  <c r="M39" i="13"/>
  <c r="K39" i="13"/>
  <c r="L39" i="13" s="1"/>
  <c r="G39" i="13"/>
  <c r="F39" i="13"/>
  <c r="E39" i="13"/>
  <c r="D39" i="13"/>
  <c r="C39" i="13"/>
  <c r="B39" i="13"/>
  <c r="M38" i="13"/>
  <c r="J38" i="13"/>
  <c r="G38" i="13"/>
  <c r="F38" i="13"/>
  <c r="E38" i="13"/>
  <c r="D38" i="13"/>
  <c r="K38" i="13" s="1"/>
  <c r="L38" i="13" s="1"/>
  <c r="C38" i="13"/>
  <c r="B38" i="13"/>
  <c r="M37" i="13"/>
  <c r="K37" i="13"/>
  <c r="L37" i="13" s="1"/>
  <c r="G37" i="13"/>
  <c r="F37" i="13"/>
  <c r="E37" i="13"/>
  <c r="D37" i="13"/>
  <c r="J37" i="13" s="1"/>
  <c r="C37" i="13"/>
  <c r="B37" i="13"/>
  <c r="M36" i="13"/>
  <c r="K36" i="13"/>
  <c r="L36" i="13" s="1"/>
  <c r="G36" i="13"/>
  <c r="F36" i="13"/>
  <c r="E36" i="13"/>
  <c r="D36" i="13"/>
  <c r="J36" i="13" s="1"/>
  <c r="C36" i="13"/>
  <c r="H36" i="13" s="1"/>
  <c r="B36" i="13"/>
  <c r="M35" i="13"/>
  <c r="G35" i="13"/>
  <c r="K35" i="13" s="1"/>
  <c r="L35" i="13" s="1"/>
  <c r="F35" i="13"/>
  <c r="E35" i="13"/>
  <c r="D35" i="13"/>
  <c r="C35" i="13"/>
  <c r="B35" i="13"/>
  <c r="M34" i="13"/>
  <c r="G34" i="13"/>
  <c r="F34" i="13"/>
  <c r="E34" i="13"/>
  <c r="D34" i="13"/>
  <c r="K34" i="13" s="1"/>
  <c r="L34" i="13" s="1"/>
  <c r="C34" i="13"/>
  <c r="B34" i="13"/>
  <c r="M33" i="13"/>
  <c r="K33" i="13"/>
  <c r="L33" i="13" s="1"/>
  <c r="H33" i="13"/>
  <c r="G33" i="13"/>
  <c r="F33" i="13"/>
  <c r="E33" i="13"/>
  <c r="D33" i="13"/>
  <c r="J33" i="13" s="1"/>
  <c r="C33" i="13"/>
  <c r="B33" i="13"/>
  <c r="M32" i="13"/>
  <c r="G32" i="13"/>
  <c r="K32" i="13" s="1"/>
  <c r="L32" i="13" s="1"/>
  <c r="F32" i="13"/>
  <c r="E32" i="13"/>
  <c r="D32" i="13"/>
  <c r="J32" i="13" s="1"/>
  <c r="C32" i="13"/>
  <c r="B32" i="13"/>
  <c r="M31" i="13"/>
  <c r="G31" i="13"/>
  <c r="F31" i="13"/>
  <c r="E31" i="13"/>
  <c r="D31" i="13"/>
  <c r="C31" i="13"/>
  <c r="B31" i="13"/>
  <c r="M30" i="13"/>
  <c r="J30" i="13"/>
  <c r="G30" i="13"/>
  <c r="F30" i="13"/>
  <c r="E30" i="13"/>
  <c r="D30" i="13"/>
  <c r="C30" i="13"/>
  <c r="B30" i="13"/>
  <c r="M29" i="13"/>
  <c r="K29" i="13"/>
  <c r="L29" i="13" s="1"/>
  <c r="G29" i="13"/>
  <c r="F29" i="13"/>
  <c r="E29" i="13"/>
  <c r="D29" i="13"/>
  <c r="J29" i="13" s="1"/>
  <c r="C29" i="13"/>
  <c r="N29" i="13" s="1"/>
  <c r="S29" i="13" s="1"/>
  <c r="B29" i="13"/>
  <c r="M28" i="13"/>
  <c r="G28" i="13"/>
  <c r="F28" i="13"/>
  <c r="E28" i="13"/>
  <c r="D28" i="13"/>
  <c r="C28" i="13"/>
  <c r="B28" i="13"/>
  <c r="M27" i="13"/>
  <c r="G27" i="13"/>
  <c r="F27" i="13"/>
  <c r="E27" i="13"/>
  <c r="D27" i="13"/>
  <c r="C27" i="13"/>
  <c r="B27" i="13"/>
  <c r="M26" i="13"/>
  <c r="G26" i="13"/>
  <c r="F26" i="13"/>
  <c r="E26" i="13"/>
  <c r="D26" i="13"/>
  <c r="J26" i="13" s="1"/>
  <c r="C26" i="13"/>
  <c r="B26" i="13"/>
  <c r="M25" i="13"/>
  <c r="G25" i="13"/>
  <c r="K25" i="13" s="1"/>
  <c r="L25" i="13" s="1"/>
  <c r="F25" i="13"/>
  <c r="E25" i="13"/>
  <c r="D25" i="13"/>
  <c r="J25" i="13" s="1"/>
  <c r="C25" i="13"/>
  <c r="N25" i="13" s="1"/>
  <c r="B25" i="13"/>
  <c r="M24" i="13"/>
  <c r="G24" i="13"/>
  <c r="F24" i="13"/>
  <c r="E24" i="13"/>
  <c r="D24" i="13"/>
  <c r="J24" i="13" s="1"/>
  <c r="C24" i="13"/>
  <c r="H24" i="13" s="1"/>
  <c r="B24" i="13"/>
  <c r="M23" i="13"/>
  <c r="G23" i="13"/>
  <c r="F23" i="13"/>
  <c r="E23" i="13"/>
  <c r="D23" i="13"/>
  <c r="K23" i="13" s="1"/>
  <c r="L23" i="13" s="1"/>
  <c r="C23" i="13"/>
  <c r="B23" i="13"/>
  <c r="M22" i="13"/>
  <c r="G22" i="13"/>
  <c r="F22" i="13"/>
  <c r="E22" i="13"/>
  <c r="D22" i="13"/>
  <c r="C22" i="13"/>
  <c r="B22" i="13"/>
  <c r="M21" i="13"/>
  <c r="G21" i="13"/>
  <c r="F21" i="13"/>
  <c r="E21" i="13"/>
  <c r="D21" i="13"/>
  <c r="C21" i="13"/>
  <c r="B21" i="13"/>
  <c r="M20" i="13"/>
  <c r="H20" i="13"/>
  <c r="G20" i="13"/>
  <c r="K20" i="13" s="1"/>
  <c r="L20" i="13" s="1"/>
  <c r="F20" i="13"/>
  <c r="E20" i="13"/>
  <c r="D20" i="13"/>
  <c r="J20" i="13" s="1"/>
  <c r="C20" i="13"/>
  <c r="B20" i="13"/>
  <c r="M19" i="13"/>
  <c r="K19" i="13"/>
  <c r="L19" i="13" s="1"/>
  <c r="G19" i="13"/>
  <c r="F19" i="13"/>
  <c r="E19" i="13"/>
  <c r="D19" i="13"/>
  <c r="C19" i="13"/>
  <c r="B19" i="13"/>
  <c r="M18" i="13"/>
  <c r="J18" i="13"/>
  <c r="G18" i="13"/>
  <c r="F18" i="13"/>
  <c r="E18" i="13"/>
  <c r="D18" i="13"/>
  <c r="C18" i="13"/>
  <c r="B18" i="13"/>
  <c r="M17" i="13"/>
  <c r="G17" i="13"/>
  <c r="F17" i="13"/>
  <c r="E17" i="13"/>
  <c r="D17" i="13"/>
  <c r="C17" i="13"/>
  <c r="T17" i="13" s="1"/>
  <c r="B17" i="13"/>
  <c r="M16" i="13"/>
  <c r="G16" i="13"/>
  <c r="F16" i="13"/>
  <c r="E16" i="13"/>
  <c r="D16" i="13"/>
  <c r="J16" i="13" s="1"/>
  <c r="C16" i="13"/>
  <c r="B16" i="13"/>
  <c r="M15" i="13"/>
  <c r="G15" i="13"/>
  <c r="F15" i="13"/>
  <c r="E15" i="13"/>
  <c r="D15" i="13"/>
  <c r="C15" i="13"/>
  <c r="B15" i="13"/>
  <c r="M14" i="13"/>
  <c r="J14" i="13"/>
  <c r="G14" i="13"/>
  <c r="F14" i="13"/>
  <c r="E14" i="13"/>
  <c r="D14" i="13"/>
  <c r="C14" i="13"/>
  <c r="T14" i="13" s="1"/>
  <c r="B14" i="13"/>
  <c r="M13" i="13"/>
  <c r="G13" i="13"/>
  <c r="K13" i="13" s="1"/>
  <c r="L13" i="13" s="1"/>
  <c r="F13" i="13"/>
  <c r="E13" i="13"/>
  <c r="D13" i="13"/>
  <c r="C13" i="13"/>
  <c r="T13" i="13" s="1"/>
  <c r="B13" i="13"/>
  <c r="M12" i="13"/>
  <c r="G12" i="13"/>
  <c r="F12" i="13"/>
  <c r="E12" i="13"/>
  <c r="D12" i="13"/>
  <c r="J12" i="13" s="1"/>
  <c r="C12" i="13"/>
  <c r="B12" i="13"/>
  <c r="M11" i="13"/>
  <c r="G11" i="13"/>
  <c r="F11" i="13"/>
  <c r="E11" i="13"/>
  <c r="D11" i="13"/>
  <c r="C11" i="13"/>
  <c r="H11" i="13" s="1"/>
  <c r="B11" i="13"/>
  <c r="M10" i="13"/>
  <c r="K10" i="13"/>
  <c r="L10" i="13" s="1"/>
  <c r="J10" i="13"/>
  <c r="G10" i="13"/>
  <c r="F10" i="13"/>
  <c r="E10" i="13"/>
  <c r="D10" i="13"/>
  <c r="C10" i="13"/>
  <c r="N10" i="13" s="1"/>
  <c r="B10" i="13"/>
  <c r="M9" i="13"/>
  <c r="G9" i="13"/>
  <c r="F9" i="13"/>
  <c r="E9" i="13"/>
  <c r="D9" i="13"/>
  <c r="C9" i="13"/>
  <c r="B9" i="13"/>
  <c r="M8" i="13"/>
  <c r="G8" i="13"/>
  <c r="F8" i="13"/>
  <c r="E8" i="13"/>
  <c r="D8" i="13"/>
  <c r="J8" i="13" s="1"/>
  <c r="C8" i="13"/>
  <c r="B8" i="13"/>
  <c r="M7" i="13"/>
  <c r="G7" i="13"/>
  <c r="F7" i="13"/>
  <c r="E7" i="13"/>
  <c r="D7" i="13"/>
  <c r="C7" i="13"/>
  <c r="H7" i="13" s="1"/>
  <c r="B7" i="13"/>
  <c r="M6" i="13"/>
  <c r="G6" i="13"/>
  <c r="F6" i="13"/>
  <c r="E6" i="13"/>
  <c r="D6" i="13"/>
  <c r="C6" i="13"/>
  <c r="B6" i="13"/>
  <c r="M5" i="13"/>
  <c r="G5" i="13"/>
  <c r="K5" i="13" s="1"/>
  <c r="L5" i="13" s="1"/>
  <c r="F5" i="13"/>
  <c r="E5" i="13"/>
  <c r="D5" i="13"/>
  <c r="J5" i="13" s="1"/>
  <c r="C5" i="13"/>
  <c r="T5" i="13" s="1"/>
  <c r="B5" i="13"/>
  <c r="M4" i="13"/>
  <c r="G4" i="13"/>
  <c r="F4" i="13"/>
  <c r="E4" i="13"/>
  <c r="D4" i="13"/>
  <c r="J4" i="13" s="1"/>
  <c r="C4" i="13"/>
  <c r="B4" i="13"/>
  <c r="M3" i="13"/>
  <c r="G3" i="13"/>
  <c r="F3" i="13"/>
  <c r="E3" i="13"/>
  <c r="D3" i="13"/>
  <c r="C3" i="13"/>
  <c r="B3" i="13"/>
  <c r="M2" i="13"/>
  <c r="G2" i="13"/>
  <c r="F2" i="13"/>
  <c r="E2" i="13"/>
  <c r="D2" i="13"/>
  <c r="H2" i="13" s="1"/>
  <c r="C2" i="13"/>
  <c r="B2" i="13"/>
  <c r="F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77" i="12"/>
  <c r="F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77" i="11"/>
  <c r="F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77" i="10"/>
  <c r="F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77" i="9"/>
  <c r="F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77" i="8"/>
  <c r="F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77" i="7"/>
  <c r="F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77" i="6"/>
  <c r="F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77" i="5"/>
  <c r="F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77" i="4"/>
  <c r="F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77" i="3"/>
  <c r="F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77" i="2"/>
  <c r="F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77" i="1"/>
  <c r="J28" i="13" l="1"/>
  <c r="K28" i="13"/>
  <c r="L28" i="13" s="1"/>
  <c r="H250" i="13"/>
  <c r="K250" i="13"/>
  <c r="L250" i="13" s="1"/>
  <c r="J250" i="13"/>
  <c r="K82" i="13"/>
  <c r="L82" i="13" s="1"/>
  <c r="J82" i="13"/>
  <c r="K169" i="13"/>
  <c r="L169" i="13" s="1"/>
  <c r="J169" i="13"/>
  <c r="S204" i="13"/>
  <c r="R204" i="13"/>
  <c r="P204" i="13"/>
  <c r="K448" i="13"/>
  <c r="L448" i="13" s="1"/>
  <c r="J448" i="13"/>
  <c r="H448" i="13"/>
  <c r="T563" i="13"/>
  <c r="N563" i="13"/>
  <c r="Q563" i="13" s="1"/>
  <c r="K855" i="13"/>
  <c r="L855" i="13" s="1"/>
  <c r="J855" i="13"/>
  <c r="J3" i="13"/>
  <c r="K3" i="13"/>
  <c r="L3" i="13" s="1"/>
  <c r="J22" i="13"/>
  <c r="K22" i="13"/>
  <c r="L22" i="13" s="1"/>
  <c r="J49" i="13"/>
  <c r="K49" i="13"/>
  <c r="L49" i="13" s="1"/>
  <c r="T49" i="13"/>
  <c r="H98" i="13"/>
  <c r="T112" i="13"/>
  <c r="K113" i="13"/>
  <c r="L113" i="13" s="1"/>
  <c r="J113" i="13"/>
  <c r="K117" i="13"/>
  <c r="L117" i="13" s="1"/>
  <c r="J117" i="13"/>
  <c r="H117" i="13"/>
  <c r="K121" i="13"/>
  <c r="L121" i="13" s="1"/>
  <c r="J121" i="13"/>
  <c r="H121" i="13"/>
  <c r="J164" i="13"/>
  <c r="K164" i="13"/>
  <c r="L164" i="13" s="1"/>
  <c r="J168" i="13"/>
  <c r="K168" i="13"/>
  <c r="L168" i="13" s="1"/>
  <c r="H186" i="13"/>
  <c r="T186" i="13"/>
  <c r="N186" i="13"/>
  <c r="P186" i="13" s="1"/>
  <c r="O204" i="13"/>
  <c r="H238" i="13"/>
  <c r="K238" i="13"/>
  <c r="L238" i="13" s="1"/>
  <c r="J238" i="13"/>
  <c r="K240" i="13"/>
  <c r="L240" i="13" s="1"/>
  <c r="J240" i="13"/>
  <c r="H240" i="13"/>
  <c r="J243" i="13"/>
  <c r="H243" i="13"/>
  <c r="H312" i="13"/>
  <c r="K312" i="13"/>
  <c r="L312" i="13" s="1"/>
  <c r="K492" i="13"/>
  <c r="L492" i="13" s="1"/>
  <c r="J492" i="13"/>
  <c r="H492" i="13"/>
  <c r="K78" i="13"/>
  <c r="L78" i="13" s="1"/>
  <c r="J78" i="13"/>
  <c r="H78" i="13"/>
  <c r="N96" i="13"/>
  <c r="N104" i="13"/>
  <c r="O104" i="13" s="1"/>
  <c r="T111" i="13"/>
  <c r="N111" i="13"/>
  <c r="S111" i="13" s="1"/>
  <c r="N150" i="13"/>
  <c r="P150" i="13" s="1"/>
  <c r="K183" i="13"/>
  <c r="L183" i="13" s="1"/>
  <c r="J183" i="13"/>
  <c r="H183" i="13"/>
  <c r="T183" i="13"/>
  <c r="N224" i="13"/>
  <c r="N252" i="13"/>
  <c r="J340" i="13"/>
  <c r="H340" i="13"/>
  <c r="J472" i="13"/>
  <c r="H472" i="13"/>
  <c r="N487" i="13"/>
  <c r="S487" i="13" s="1"/>
  <c r="T487" i="13"/>
  <c r="T244" i="13"/>
  <c r="H244" i="13"/>
  <c r="J19" i="13"/>
  <c r="N19" i="13"/>
  <c r="R19" i="13" s="1"/>
  <c r="J21" i="13"/>
  <c r="H21" i="13"/>
  <c r="P10" i="13"/>
  <c r="Q10" i="13"/>
  <c r="H25" i="13"/>
  <c r="H28" i="13"/>
  <c r="N41" i="13"/>
  <c r="O41" i="13" s="1"/>
  <c r="H41" i="13"/>
  <c r="N45" i="13"/>
  <c r="T45" i="13"/>
  <c r="T110" i="13"/>
  <c r="N110" i="13"/>
  <c r="H125" i="13"/>
  <c r="K162" i="13"/>
  <c r="L162" i="13" s="1"/>
  <c r="J162" i="13"/>
  <c r="H162" i="13"/>
  <c r="K182" i="13"/>
  <c r="L182" i="13" s="1"/>
  <c r="J185" i="13"/>
  <c r="H185" i="13"/>
  <c r="H248" i="13"/>
  <c r="H309" i="13"/>
  <c r="K339" i="13"/>
  <c r="L339" i="13" s="1"/>
  <c r="J339" i="13"/>
  <c r="S555" i="13"/>
  <c r="Q555" i="13"/>
  <c r="N83" i="13"/>
  <c r="P83" i="13" s="1"/>
  <c r="K83" i="13"/>
  <c r="L83" i="13" s="1"/>
  <c r="R189" i="13"/>
  <c r="S189" i="13"/>
  <c r="O189" i="13"/>
  <c r="J2" i="13"/>
  <c r="J45" i="13"/>
  <c r="K45" i="13"/>
  <c r="L45" i="13" s="1"/>
  <c r="H82" i="13"/>
  <c r="T405" i="13"/>
  <c r="N405" i="13"/>
  <c r="K456" i="13"/>
  <c r="L456" i="13" s="1"/>
  <c r="J456" i="13"/>
  <c r="H456" i="13"/>
  <c r="H6" i="13"/>
  <c r="J6" i="13"/>
  <c r="R136" i="13"/>
  <c r="P136" i="13"/>
  <c r="K26" i="13"/>
  <c r="L26" i="13" s="1"/>
  <c r="H26" i="13"/>
  <c r="N9" i="13"/>
  <c r="H9" i="13"/>
  <c r="K42" i="13"/>
  <c r="L42" i="13" s="1"/>
  <c r="P75" i="13"/>
  <c r="O75" i="13"/>
  <c r="N94" i="13"/>
  <c r="H94" i="13"/>
  <c r="K161" i="13"/>
  <c r="L161" i="13" s="1"/>
  <c r="K2" i="13"/>
  <c r="L2" i="13" s="1"/>
  <c r="T8" i="13"/>
  <c r="H8" i="13"/>
  <c r="T25" i="13"/>
  <c r="H49" i="13"/>
  <c r="N51" i="13"/>
  <c r="P51" i="13" s="1"/>
  <c r="K51" i="13"/>
  <c r="L51" i="13" s="1"/>
  <c r="N80" i="13"/>
  <c r="J95" i="13"/>
  <c r="K95" i="13"/>
  <c r="L95" i="13" s="1"/>
  <c r="J97" i="13"/>
  <c r="K97" i="13"/>
  <c r="L97" i="13" s="1"/>
  <c r="H104" i="13"/>
  <c r="K104" i="13"/>
  <c r="L104" i="13" s="1"/>
  <c r="J104" i="13"/>
  <c r="K150" i="13"/>
  <c r="L150" i="13" s="1"/>
  <c r="J150" i="13"/>
  <c r="H150" i="13"/>
  <c r="T169" i="13"/>
  <c r="J224" i="13"/>
  <c r="H224" i="13"/>
  <c r="N230" i="13"/>
  <c r="T230" i="13"/>
  <c r="N244" i="13"/>
  <c r="J252" i="13"/>
  <c r="H252" i="13"/>
  <c r="H324" i="13"/>
  <c r="O377" i="13"/>
  <c r="S377" i="13"/>
  <c r="R377" i="13"/>
  <c r="Q377" i="13"/>
  <c r="K455" i="13"/>
  <c r="L455" i="13" s="1"/>
  <c r="J455" i="13"/>
  <c r="K92" i="13"/>
  <c r="L92" i="13" s="1"/>
  <c r="N92" i="13"/>
  <c r="K173" i="13"/>
  <c r="L173" i="13" s="1"/>
  <c r="J173" i="13"/>
  <c r="N91" i="13"/>
  <c r="P91" i="13" s="1"/>
  <c r="K91" i="13"/>
  <c r="L91" i="13" s="1"/>
  <c r="Q25" i="13"/>
  <c r="S25" i="13"/>
  <c r="T28" i="13"/>
  <c r="N28" i="13"/>
  <c r="T84" i="13"/>
  <c r="N84" i="13"/>
  <c r="J93" i="13"/>
  <c r="K93" i="13"/>
  <c r="L93" i="13" s="1"/>
  <c r="N190" i="13"/>
  <c r="R190" i="13" s="1"/>
  <c r="N238" i="13"/>
  <c r="N240" i="13"/>
  <c r="O240" i="13" s="1"/>
  <c r="J271" i="13"/>
  <c r="H271" i="13"/>
  <c r="H315" i="13"/>
  <c r="K315" i="13"/>
  <c r="L315" i="13" s="1"/>
  <c r="J315" i="13"/>
  <c r="S369" i="13"/>
  <c r="R369" i="13"/>
  <c r="K400" i="13"/>
  <c r="L400" i="13" s="1"/>
  <c r="J400" i="13"/>
  <c r="N449" i="13"/>
  <c r="N11" i="13"/>
  <c r="H18" i="13"/>
  <c r="J109" i="13"/>
  <c r="N124" i="13"/>
  <c r="H154" i="13"/>
  <c r="K160" i="13"/>
  <c r="L160" i="13" s="1"/>
  <c r="J161" i="13"/>
  <c r="N174" i="13"/>
  <c r="J182" i="13"/>
  <c r="H187" i="13"/>
  <c r="H230" i="13"/>
  <c r="T234" i="13"/>
  <c r="H239" i="13"/>
  <c r="H256" i="13"/>
  <c r="J267" i="13"/>
  <c r="T306" i="13"/>
  <c r="H307" i="13"/>
  <c r="N330" i="13"/>
  <c r="R332" i="13"/>
  <c r="S332" i="13"/>
  <c r="O332" i="13"/>
  <c r="S365" i="13"/>
  <c r="R365" i="13"/>
  <c r="Q365" i="13"/>
  <c r="P365" i="13"/>
  <c r="T377" i="13"/>
  <c r="K404" i="13"/>
  <c r="L404" i="13" s="1"/>
  <c r="J404" i="13"/>
  <c r="T409" i="13"/>
  <c r="N409" i="13"/>
  <c r="Q409" i="13" s="1"/>
  <c r="T411" i="13"/>
  <c r="N411" i="13"/>
  <c r="T559" i="13"/>
  <c r="H559" i="13"/>
  <c r="N559" i="13"/>
  <c r="N2" i="13"/>
  <c r="S2" i="13" s="1"/>
  <c r="N13" i="13"/>
  <c r="T16" i="13"/>
  <c r="K17" i="13"/>
  <c r="L17" i="13" s="1"/>
  <c r="T19" i="13"/>
  <c r="K30" i="13"/>
  <c r="L30" i="13" s="1"/>
  <c r="T31" i="13"/>
  <c r="N33" i="13"/>
  <c r="K86" i="13"/>
  <c r="L86" i="13" s="1"/>
  <c r="T87" i="13"/>
  <c r="T88" i="13"/>
  <c r="T100" i="13"/>
  <c r="N105" i="13"/>
  <c r="T108" i="13"/>
  <c r="K109" i="13"/>
  <c r="L109" i="13" s="1"/>
  <c r="K114" i="13"/>
  <c r="L114" i="13" s="1"/>
  <c r="H116" i="13"/>
  <c r="K118" i="13"/>
  <c r="L118" i="13" s="1"/>
  <c r="N119" i="13"/>
  <c r="Q119" i="13" s="1"/>
  <c r="K122" i="13"/>
  <c r="L122" i="13" s="1"/>
  <c r="N151" i="13"/>
  <c r="O151" i="13" s="1"/>
  <c r="T158" i="13"/>
  <c r="N158" i="13"/>
  <c r="P158" i="13" s="1"/>
  <c r="T170" i="13"/>
  <c r="N170" i="13"/>
  <c r="K174" i="13"/>
  <c r="L174" i="13" s="1"/>
  <c r="N178" i="13"/>
  <c r="O178" i="13" s="1"/>
  <c r="K185" i="13"/>
  <c r="L185" i="13" s="1"/>
  <c r="J187" i="13"/>
  <c r="O212" i="13"/>
  <c r="N225" i="13"/>
  <c r="H228" i="13"/>
  <c r="T229" i="13"/>
  <c r="H232" i="13"/>
  <c r="H234" i="13"/>
  <c r="H236" i="13"/>
  <c r="J239" i="13"/>
  <c r="N242" i="13"/>
  <c r="N253" i="13"/>
  <c r="T253" i="13"/>
  <c r="H254" i="13"/>
  <c r="K254" i="13"/>
  <c r="L254" i="13" s="1"/>
  <c r="J254" i="13"/>
  <c r="N262" i="13"/>
  <c r="S262" i="13" s="1"/>
  <c r="H311" i="13"/>
  <c r="H331" i="13"/>
  <c r="J331" i="13"/>
  <c r="K336" i="13"/>
  <c r="L336" i="13" s="1"/>
  <c r="J336" i="13"/>
  <c r="H336" i="13"/>
  <c r="K377" i="13"/>
  <c r="L377" i="13" s="1"/>
  <c r="J377" i="13"/>
  <c r="N391" i="13"/>
  <c r="N413" i="13"/>
  <c r="N415" i="13"/>
  <c r="T555" i="13"/>
  <c r="H555" i="13"/>
  <c r="T102" i="13"/>
  <c r="N166" i="13"/>
  <c r="R166" i="13" s="1"/>
  <c r="T179" i="13"/>
  <c r="H190" i="13"/>
  <c r="N192" i="13"/>
  <c r="K224" i="13"/>
  <c r="L224" i="13" s="1"/>
  <c r="T226" i="13"/>
  <c r="T235" i="13"/>
  <c r="N261" i="13"/>
  <c r="Q261" i="13" s="1"/>
  <c r="T261" i="13"/>
  <c r="H262" i="13"/>
  <c r="K262" i="13"/>
  <c r="L262" i="13" s="1"/>
  <c r="J262" i="13"/>
  <c r="K263" i="13"/>
  <c r="L263" i="13" s="1"/>
  <c r="H263" i="13"/>
  <c r="N272" i="13"/>
  <c r="P272" i="13" s="1"/>
  <c r="S316" i="13"/>
  <c r="N386" i="13"/>
  <c r="R386" i="13" s="1"/>
  <c r="T386" i="13"/>
  <c r="H387" i="13"/>
  <c r="K387" i="13"/>
  <c r="L387" i="13" s="1"/>
  <c r="J387" i="13"/>
  <c r="K408" i="13"/>
  <c r="L408" i="13" s="1"/>
  <c r="J408" i="13"/>
  <c r="N418" i="13"/>
  <c r="T418" i="13"/>
  <c r="H419" i="13"/>
  <c r="K419" i="13"/>
  <c r="L419" i="13" s="1"/>
  <c r="J419" i="13"/>
  <c r="N479" i="13"/>
  <c r="T479" i="13"/>
  <c r="K789" i="13"/>
  <c r="L789" i="13" s="1"/>
  <c r="J789" i="13"/>
  <c r="N6" i="13"/>
  <c r="P6" i="13" s="1"/>
  <c r="K14" i="13"/>
  <c r="L14" i="13" s="1"/>
  <c r="N15" i="13"/>
  <c r="K50" i="13"/>
  <c r="L50" i="13" s="1"/>
  <c r="T51" i="13"/>
  <c r="N78" i="13"/>
  <c r="K90" i="13"/>
  <c r="L90" i="13" s="1"/>
  <c r="T91" i="13"/>
  <c r="T92" i="13"/>
  <c r="K102" i="13"/>
  <c r="L102" i="13" s="1"/>
  <c r="T109" i="13"/>
  <c r="H115" i="13"/>
  <c r="N120" i="13"/>
  <c r="O120" i="13" s="1"/>
  <c r="P132" i="13"/>
  <c r="T154" i="13"/>
  <c r="N154" i="13"/>
  <c r="N160" i="13"/>
  <c r="S160" i="13" s="1"/>
  <c r="K166" i="13"/>
  <c r="L166" i="13" s="1"/>
  <c r="N182" i="13"/>
  <c r="T182" i="13"/>
  <c r="N184" i="13"/>
  <c r="T189" i="13"/>
  <c r="H195" i="13"/>
  <c r="T196" i="13"/>
  <c r="T198" i="13"/>
  <c r="S212" i="13"/>
  <c r="H226" i="13"/>
  <c r="K231" i="13"/>
  <c r="L231" i="13" s="1"/>
  <c r="N239" i="13"/>
  <c r="K244" i="13"/>
  <c r="L244" i="13" s="1"/>
  <c r="H246" i="13"/>
  <c r="N266" i="13"/>
  <c r="N267" i="13"/>
  <c r="R267" i="13" s="1"/>
  <c r="O280" i="13"/>
  <c r="S292" i="13"/>
  <c r="N305" i="13"/>
  <c r="K328" i="13"/>
  <c r="L328" i="13" s="1"/>
  <c r="J328" i="13"/>
  <c r="T385" i="13"/>
  <c r="N385" i="13"/>
  <c r="P385" i="13" s="1"/>
  <c r="N401" i="13"/>
  <c r="T478" i="13"/>
  <c r="H553" i="13"/>
  <c r="K553" i="13"/>
  <c r="L553" i="13" s="1"/>
  <c r="J553" i="13"/>
  <c r="K106" i="13"/>
  <c r="L106" i="13" s="1"/>
  <c r="K154" i="13"/>
  <c r="L154" i="13" s="1"/>
  <c r="H181" i="13"/>
  <c r="H182" i="13"/>
  <c r="K198" i="13"/>
  <c r="L198" i="13" s="1"/>
  <c r="N228" i="13"/>
  <c r="K266" i="13"/>
  <c r="L266" i="13" s="1"/>
  <c r="J266" i="13"/>
  <c r="N390" i="13"/>
  <c r="T390" i="13"/>
  <c r="H391" i="13"/>
  <c r="K391" i="13"/>
  <c r="L391" i="13" s="1"/>
  <c r="J391" i="13"/>
  <c r="P417" i="13"/>
  <c r="O417" i="13"/>
  <c r="O445" i="13"/>
  <c r="P445" i="13"/>
  <c r="K467" i="13"/>
  <c r="L467" i="13" s="1"/>
  <c r="J467" i="13"/>
  <c r="T467" i="13"/>
  <c r="K483" i="13"/>
  <c r="L483" i="13" s="1"/>
  <c r="N7" i="13"/>
  <c r="T9" i="13"/>
  <c r="K11" i="13"/>
  <c r="L11" i="13" s="1"/>
  <c r="H12" i="13"/>
  <c r="H13" i="13"/>
  <c r="K18" i="13"/>
  <c r="L18" i="13" s="1"/>
  <c r="H30" i="13"/>
  <c r="H32" i="13"/>
  <c r="N37" i="13"/>
  <c r="N38" i="13"/>
  <c r="R38" i="13" s="1"/>
  <c r="T39" i="13"/>
  <c r="T44" i="13"/>
  <c r="N49" i="13"/>
  <c r="N79" i="13"/>
  <c r="P79" i="13" s="1"/>
  <c r="K80" i="13"/>
  <c r="L80" i="13" s="1"/>
  <c r="N82" i="13"/>
  <c r="H86" i="13"/>
  <c r="K94" i="13"/>
  <c r="L94" i="13" s="1"/>
  <c r="N95" i="13"/>
  <c r="P95" i="13" s="1"/>
  <c r="J98" i="13"/>
  <c r="K99" i="13"/>
  <c r="L99" i="13" s="1"/>
  <c r="H114" i="13"/>
  <c r="T116" i="13"/>
  <c r="N117" i="13"/>
  <c r="J118" i="13"/>
  <c r="T121" i="13"/>
  <c r="K152" i="13"/>
  <c r="L152" i="13" s="1"/>
  <c r="T162" i="13"/>
  <c r="N162" i="13"/>
  <c r="O162" i="13" s="1"/>
  <c r="N168" i="13"/>
  <c r="N173" i="13"/>
  <c r="O173" i="13" s="1"/>
  <c r="H174" i="13"/>
  <c r="N180" i="13"/>
  <c r="N183" i="13"/>
  <c r="N185" i="13"/>
  <c r="P185" i="13" s="1"/>
  <c r="T185" i="13"/>
  <c r="N188" i="13"/>
  <c r="O188" i="13" s="1"/>
  <c r="K192" i="13"/>
  <c r="L192" i="13" s="1"/>
  <c r="K230" i="13"/>
  <c r="L230" i="13" s="1"/>
  <c r="N232" i="13"/>
  <c r="O232" i="13" s="1"/>
  <c r="J234" i="13"/>
  <c r="N236" i="13"/>
  <c r="T249" i="13"/>
  <c r="T250" i="13"/>
  <c r="H257" i="13"/>
  <c r="K304" i="13"/>
  <c r="L304" i="13" s="1"/>
  <c r="J304" i="13"/>
  <c r="H304" i="13"/>
  <c r="K316" i="13"/>
  <c r="L316" i="13" s="1"/>
  <c r="J316" i="13"/>
  <c r="H316" i="13"/>
  <c r="K331" i="13"/>
  <c r="L331" i="13" s="1"/>
  <c r="N340" i="13"/>
  <c r="O373" i="13"/>
  <c r="K384" i="13"/>
  <c r="L384" i="13" s="1"/>
  <c r="J384" i="13"/>
  <c r="P397" i="13"/>
  <c r="S397" i="13"/>
  <c r="O397" i="13"/>
  <c r="T449" i="13"/>
  <c r="N456" i="13"/>
  <c r="O461" i="13"/>
  <c r="R461" i="13"/>
  <c r="P461" i="13"/>
  <c r="T472" i="13"/>
  <c r="T493" i="13"/>
  <c r="N493" i="13"/>
  <c r="N462" i="13"/>
  <c r="Q462" i="13" s="1"/>
  <c r="H479" i="13"/>
  <c r="T494" i="13"/>
  <c r="H495" i="13"/>
  <c r="T553" i="13"/>
  <c r="K612" i="13"/>
  <c r="L612" i="13" s="1"/>
  <c r="J612" i="13"/>
  <c r="H612" i="13"/>
  <c r="T627" i="13"/>
  <c r="J698" i="13"/>
  <c r="K698" i="13"/>
  <c r="L698" i="13" s="1"/>
  <c r="H698" i="13"/>
  <c r="T705" i="13"/>
  <c r="N705" i="13"/>
  <c r="N831" i="13"/>
  <c r="K860" i="13"/>
  <c r="L860" i="13" s="1"/>
  <c r="J860" i="13"/>
  <c r="H860" i="13"/>
  <c r="O884" i="13"/>
  <c r="S884" i="13"/>
  <c r="N618" i="13"/>
  <c r="H618" i="13"/>
  <c r="T618" i="13"/>
  <c r="S627" i="13"/>
  <c r="P627" i="13"/>
  <c r="J686" i="13"/>
  <c r="K686" i="13"/>
  <c r="L686" i="13" s="1"/>
  <c r="H686" i="13"/>
  <c r="P761" i="13"/>
  <c r="S761" i="13"/>
  <c r="T770" i="13"/>
  <c r="H770" i="13"/>
  <c r="N770" i="13"/>
  <c r="N268" i="13"/>
  <c r="H301" i="13"/>
  <c r="N312" i="13"/>
  <c r="S312" i="13" s="1"/>
  <c r="N324" i="13"/>
  <c r="R324" i="13" s="1"/>
  <c r="N325" i="13"/>
  <c r="T341" i="13"/>
  <c r="N343" i="13"/>
  <c r="J347" i="13"/>
  <c r="T375" i="13"/>
  <c r="J379" i="13"/>
  <c r="J395" i="13"/>
  <c r="J399" i="13"/>
  <c r="H411" i="13"/>
  <c r="H415" i="13"/>
  <c r="J417" i="13"/>
  <c r="H463" i="13"/>
  <c r="J465" i="13"/>
  <c r="N473" i="13"/>
  <c r="H482" i="13"/>
  <c r="J483" i="13"/>
  <c r="J485" i="13"/>
  <c r="J491" i="13"/>
  <c r="H520" i="13"/>
  <c r="N617" i="13"/>
  <c r="P617" i="13" s="1"/>
  <c r="T617" i="13"/>
  <c r="K678" i="13"/>
  <c r="L678" i="13" s="1"/>
  <c r="J678" i="13"/>
  <c r="H678" i="13"/>
  <c r="N703" i="13"/>
  <c r="R703" i="13" s="1"/>
  <c r="H703" i="13"/>
  <c r="H253" i="13"/>
  <c r="T258" i="13"/>
  <c r="N264" i="13"/>
  <c r="O264" i="13" s="1"/>
  <c r="T270" i="13"/>
  <c r="K298" i="13"/>
  <c r="L298" i="13" s="1"/>
  <c r="O300" i="13"/>
  <c r="K311" i="13"/>
  <c r="L311" i="13" s="1"/>
  <c r="T314" i="13"/>
  <c r="K343" i="13"/>
  <c r="L343" i="13" s="1"/>
  <c r="T346" i="13"/>
  <c r="H377" i="13"/>
  <c r="N383" i="13"/>
  <c r="H390" i="13"/>
  <c r="K392" i="13"/>
  <c r="L392" i="13" s="1"/>
  <c r="O393" i="13"/>
  <c r="N402" i="13"/>
  <c r="N407" i="13"/>
  <c r="K420" i="13"/>
  <c r="L420" i="13" s="1"/>
  <c r="T421" i="13"/>
  <c r="O421" i="13"/>
  <c r="N469" i="13"/>
  <c r="Q469" i="13" s="1"/>
  <c r="T475" i="13"/>
  <c r="K493" i="13"/>
  <c r="L493" i="13" s="1"/>
  <c r="P527" i="13"/>
  <c r="S527" i="13"/>
  <c r="Q527" i="13"/>
  <c r="N531" i="13"/>
  <c r="S531" i="13" s="1"/>
  <c r="H549" i="13"/>
  <c r="J549" i="13"/>
  <c r="K550" i="13"/>
  <c r="L550" i="13" s="1"/>
  <c r="K599" i="13"/>
  <c r="L599" i="13" s="1"/>
  <c r="J599" i="13"/>
  <c r="H599" i="13"/>
  <c r="K782" i="13"/>
  <c r="L782" i="13" s="1"/>
  <c r="J782" i="13"/>
  <c r="T248" i="13"/>
  <c r="N248" i="13"/>
  <c r="P248" i="13" s="1"/>
  <c r="K256" i="13"/>
  <c r="L256" i="13" s="1"/>
  <c r="T260" i="13"/>
  <c r="N260" i="13"/>
  <c r="R285" i="13"/>
  <c r="K320" i="13"/>
  <c r="L320" i="13" s="1"/>
  <c r="N326" i="13"/>
  <c r="N327" i="13"/>
  <c r="K340" i="13"/>
  <c r="L340" i="13" s="1"/>
  <c r="H383" i="13"/>
  <c r="H386" i="13"/>
  <c r="K388" i="13"/>
  <c r="L388" i="13" s="1"/>
  <c r="T389" i="13"/>
  <c r="O389" i="13"/>
  <c r="H403" i="13"/>
  <c r="N403" i="13"/>
  <c r="H407" i="13"/>
  <c r="P421" i="13"/>
  <c r="S447" i="13"/>
  <c r="N452" i="13"/>
  <c r="P452" i="13" s="1"/>
  <c r="T458" i="13"/>
  <c r="T474" i="13"/>
  <c r="H475" i="13"/>
  <c r="J479" i="13"/>
  <c r="J487" i="13"/>
  <c r="K488" i="13"/>
  <c r="L488" i="13" s="1"/>
  <c r="T489" i="13"/>
  <c r="J495" i="13"/>
  <c r="N524" i="13"/>
  <c r="Q524" i="13" s="1"/>
  <c r="H524" i="13"/>
  <c r="T535" i="13"/>
  <c r="N535" i="13"/>
  <c r="H538" i="13"/>
  <c r="T538" i="13"/>
  <c r="J702" i="13"/>
  <c r="K702" i="13"/>
  <c r="L702" i="13" s="1"/>
  <c r="H702" i="13"/>
  <c r="K761" i="13"/>
  <c r="L761" i="13" s="1"/>
  <c r="J761" i="13"/>
  <c r="H761" i="13"/>
  <c r="K252" i="13"/>
  <c r="L252" i="13" s="1"/>
  <c r="N265" i="13"/>
  <c r="N271" i="13"/>
  <c r="T271" i="13"/>
  <c r="T301" i="13"/>
  <c r="N302" i="13"/>
  <c r="S302" i="13" s="1"/>
  <c r="N304" i="13"/>
  <c r="K308" i="13"/>
  <c r="L308" i="13" s="1"/>
  <c r="H321" i="13"/>
  <c r="K327" i="13"/>
  <c r="L327" i="13" s="1"/>
  <c r="N328" i="13"/>
  <c r="Q328" i="13" s="1"/>
  <c r="N335" i="13"/>
  <c r="N336" i="13"/>
  <c r="T376" i="13"/>
  <c r="N378" i="13"/>
  <c r="S389" i="13"/>
  <c r="N394" i="13"/>
  <c r="S394" i="13" s="1"/>
  <c r="N398" i="13"/>
  <c r="K416" i="13"/>
  <c r="L416" i="13" s="1"/>
  <c r="T417" i="13"/>
  <c r="H447" i="13"/>
  <c r="T447" i="13"/>
  <c r="K452" i="13"/>
  <c r="L452" i="13" s="1"/>
  <c r="T453" i="13"/>
  <c r="N460" i="13"/>
  <c r="P460" i="13" s="1"/>
  <c r="T461" i="13"/>
  <c r="T465" i="13"/>
  <c r="N465" i="13"/>
  <c r="T470" i="13"/>
  <c r="N476" i="13"/>
  <c r="T477" i="13"/>
  <c r="K479" i="13"/>
  <c r="L479" i="13" s="1"/>
  <c r="N482" i="13"/>
  <c r="S482" i="13" s="1"/>
  <c r="T485" i="13"/>
  <c r="N485" i="13"/>
  <c r="O485" i="13" s="1"/>
  <c r="K495" i="13"/>
  <c r="L495" i="13" s="1"/>
  <c r="T526" i="13"/>
  <c r="T528" i="13"/>
  <c r="K529" i="13"/>
  <c r="L529" i="13" s="1"/>
  <c r="J529" i="13"/>
  <c r="T534" i="13"/>
  <c r="N536" i="13"/>
  <c r="Q536" i="13" s="1"/>
  <c r="T536" i="13"/>
  <c r="T539" i="13"/>
  <c r="N539" i="13"/>
  <c r="N614" i="13"/>
  <c r="J615" i="13"/>
  <c r="H615" i="13"/>
  <c r="J760" i="13"/>
  <c r="K760" i="13"/>
  <c r="L760" i="13" s="1"/>
  <c r="N776" i="13"/>
  <c r="T776" i="13"/>
  <c r="K780" i="13"/>
  <c r="L780" i="13" s="1"/>
  <c r="J780" i="13"/>
  <c r="T790" i="13"/>
  <c r="N790" i="13"/>
  <c r="T818" i="13"/>
  <c r="N818" i="13"/>
  <c r="H339" i="13"/>
  <c r="H347" i="13"/>
  <c r="H379" i="13"/>
  <c r="N379" i="13"/>
  <c r="H395" i="13"/>
  <c r="N395" i="13"/>
  <c r="H399" i="13"/>
  <c r="T399" i="13"/>
  <c r="K412" i="13"/>
  <c r="L412" i="13" s="1"/>
  <c r="T413" i="13"/>
  <c r="H414" i="13"/>
  <c r="R432" i="13"/>
  <c r="N454" i="13"/>
  <c r="N467" i="13"/>
  <c r="R467" i="13" s="1"/>
  <c r="H468" i="13"/>
  <c r="H473" i="13"/>
  <c r="K476" i="13"/>
  <c r="L476" i="13" s="1"/>
  <c r="N478" i="13"/>
  <c r="N484" i="13"/>
  <c r="R484" i="13" s="1"/>
  <c r="H491" i="13"/>
  <c r="N492" i="13"/>
  <c r="Q492" i="13" s="1"/>
  <c r="N520" i="13"/>
  <c r="T521" i="13"/>
  <c r="N521" i="13"/>
  <c r="T522" i="13"/>
  <c r="K523" i="13"/>
  <c r="L523" i="13" s="1"/>
  <c r="J523" i="13"/>
  <c r="H526" i="13"/>
  <c r="H534" i="13"/>
  <c r="J534" i="13"/>
  <c r="S608" i="13"/>
  <c r="Q608" i="13"/>
  <c r="T686" i="13"/>
  <c r="N525" i="13"/>
  <c r="S525" i="13" s="1"/>
  <c r="K543" i="13"/>
  <c r="L543" i="13" s="1"/>
  <c r="J550" i="13"/>
  <c r="N554" i="13"/>
  <c r="O554" i="13" s="1"/>
  <c r="T554" i="13"/>
  <c r="T560" i="13"/>
  <c r="K562" i="13"/>
  <c r="L562" i="13" s="1"/>
  <c r="H598" i="13"/>
  <c r="T608" i="13"/>
  <c r="T609" i="13"/>
  <c r="T616" i="13"/>
  <c r="T621" i="13"/>
  <c r="H626" i="13"/>
  <c r="N629" i="13"/>
  <c r="R629" i="13" s="1"/>
  <c r="T632" i="13"/>
  <c r="K634" i="13"/>
  <c r="L634" i="13" s="1"/>
  <c r="K670" i="13"/>
  <c r="L670" i="13" s="1"/>
  <c r="K687" i="13"/>
  <c r="L687" i="13" s="1"/>
  <c r="K703" i="13"/>
  <c r="L703" i="13" s="1"/>
  <c r="N706" i="13"/>
  <c r="S706" i="13" s="1"/>
  <c r="H707" i="13"/>
  <c r="J715" i="13"/>
  <c r="N742" i="13"/>
  <c r="Q742" i="13" s="1"/>
  <c r="T743" i="13"/>
  <c r="T745" i="13"/>
  <c r="N752" i="13"/>
  <c r="S752" i="13" s="1"/>
  <c r="T753" i="13"/>
  <c r="K758" i="13"/>
  <c r="L758" i="13" s="1"/>
  <c r="K765" i="13"/>
  <c r="L765" i="13" s="1"/>
  <c r="T767" i="13"/>
  <c r="K769" i="13"/>
  <c r="L769" i="13" s="1"/>
  <c r="H773" i="13"/>
  <c r="H774" i="13"/>
  <c r="H816" i="13"/>
  <c r="N819" i="13"/>
  <c r="N820" i="13"/>
  <c r="R820" i="13" s="1"/>
  <c r="N821" i="13"/>
  <c r="R821" i="13" s="1"/>
  <c r="T821" i="13"/>
  <c r="T832" i="13"/>
  <c r="R837" i="13"/>
  <c r="T838" i="13"/>
  <c r="N850" i="13"/>
  <c r="N856" i="13"/>
  <c r="T861" i="13"/>
  <c r="N861" i="13"/>
  <c r="T532" i="13"/>
  <c r="N548" i="13"/>
  <c r="Q548" i="13" s="1"/>
  <c r="K551" i="13"/>
  <c r="L551" i="13" s="1"/>
  <c r="T564" i="13"/>
  <c r="N565" i="13"/>
  <c r="N567" i="13"/>
  <c r="J598" i="13"/>
  <c r="T600" i="13"/>
  <c r="N600" i="13"/>
  <c r="H620" i="13"/>
  <c r="N624" i="13"/>
  <c r="S624" i="13" s="1"/>
  <c r="J626" i="13"/>
  <c r="T628" i="13"/>
  <c r="T633" i="13"/>
  <c r="K635" i="13"/>
  <c r="L635" i="13" s="1"/>
  <c r="T669" i="13"/>
  <c r="T670" i="13"/>
  <c r="K671" i="13"/>
  <c r="L671" i="13" s="1"/>
  <c r="H674" i="13"/>
  <c r="N679" i="13"/>
  <c r="Q679" i="13" s="1"/>
  <c r="T679" i="13"/>
  <c r="K683" i="13"/>
  <c r="L683" i="13" s="1"/>
  <c r="N687" i="13"/>
  <c r="P687" i="13" s="1"/>
  <c r="H694" i="13"/>
  <c r="K699" i="13"/>
  <c r="L699" i="13" s="1"/>
  <c r="T706" i="13"/>
  <c r="H709" i="13"/>
  <c r="N745" i="13"/>
  <c r="N750" i="13"/>
  <c r="O750" i="13" s="1"/>
  <c r="T751" i="13"/>
  <c r="N753" i="13"/>
  <c r="N764" i="13"/>
  <c r="S764" i="13" s="1"/>
  <c r="N765" i="13"/>
  <c r="O765" i="13" s="1"/>
  <c r="T777" i="13"/>
  <c r="T784" i="13"/>
  <c r="R822" i="13"/>
  <c r="T837" i="13"/>
  <c r="T843" i="13"/>
  <c r="T847" i="13"/>
  <c r="T849" i="13"/>
  <c r="T561" i="13"/>
  <c r="T569" i="13"/>
  <c r="T610" i="13"/>
  <c r="K615" i="13"/>
  <c r="L615" i="13" s="1"/>
  <c r="K631" i="13"/>
  <c r="L631" i="13" s="1"/>
  <c r="N634" i="13"/>
  <c r="Q634" i="13" s="1"/>
  <c r="K639" i="13"/>
  <c r="L639" i="13" s="1"/>
  <c r="N670" i="13"/>
  <c r="S670" i="13" s="1"/>
  <c r="T765" i="13"/>
  <c r="H782" i="13"/>
  <c r="T822" i="13"/>
  <c r="K831" i="13"/>
  <c r="L831" i="13" s="1"/>
  <c r="N857" i="13"/>
  <c r="T527" i="13"/>
  <c r="H531" i="13"/>
  <c r="N550" i="13"/>
  <c r="O550" i="13" s="1"/>
  <c r="T550" i="13"/>
  <c r="K559" i="13"/>
  <c r="L559" i="13" s="1"/>
  <c r="N595" i="13"/>
  <c r="P595" i="13" s="1"/>
  <c r="N597" i="13"/>
  <c r="N598" i="13"/>
  <c r="T604" i="13"/>
  <c r="T606" i="13"/>
  <c r="H610" i="13"/>
  <c r="K624" i="13"/>
  <c r="L624" i="13" s="1"/>
  <c r="K627" i="13"/>
  <c r="L627" i="13" s="1"/>
  <c r="N630" i="13"/>
  <c r="K675" i="13"/>
  <c r="L675" i="13" s="1"/>
  <c r="T680" i="13"/>
  <c r="T681" i="13"/>
  <c r="N682" i="13"/>
  <c r="N774" i="13"/>
  <c r="H777" i="13"/>
  <c r="P778" i="13"/>
  <c r="T786" i="13"/>
  <c r="N786" i="13"/>
  <c r="N787" i="13"/>
  <c r="K790" i="13"/>
  <c r="L790" i="13" s="1"/>
  <c r="K817" i="13"/>
  <c r="L817" i="13" s="1"/>
  <c r="K818" i="13"/>
  <c r="L818" i="13" s="1"/>
  <c r="T824" i="13"/>
  <c r="T834" i="13"/>
  <c r="T839" i="13"/>
  <c r="K857" i="13"/>
  <c r="L857" i="13" s="1"/>
  <c r="P872" i="13"/>
  <c r="P876" i="13"/>
  <c r="T543" i="13"/>
  <c r="N543" i="13"/>
  <c r="N547" i="13"/>
  <c r="N562" i="13"/>
  <c r="T601" i="13"/>
  <c r="K604" i="13"/>
  <c r="L604" i="13" s="1"/>
  <c r="P607" i="13"/>
  <c r="N611" i="13"/>
  <c r="R611" i="13" s="1"/>
  <c r="T611" i="13"/>
  <c r="N619" i="13"/>
  <c r="N620" i="13"/>
  <c r="K707" i="13"/>
  <c r="L707" i="13" s="1"/>
  <c r="H758" i="13"/>
  <c r="K772" i="13"/>
  <c r="L772" i="13" s="1"/>
  <c r="K773" i="13"/>
  <c r="L773" i="13" s="1"/>
  <c r="J776" i="13"/>
  <c r="Q778" i="13"/>
  <c r="J816" i="13"/>
  <c r="K821" i="13"/>
  <c r="L821" i="13" s="1"/>
  <c r="T823" i="13"/>
  <c r="K835" i="13"/>
  <c r="L835" i="13" s="1"/>
  <c r="T859" i="13"/>
  <c r="H865" i="13"/>
  <c r="H548" i="13"/>
  <c r="N551" i="13"/>
  <c r="S551" i="13" s="1"/>
  <c r="H557" i="13"/>
  <c r="T558" i="13"/>
  <c r="R607" i="13"/>
  <c r="N674" i="13"/>
  <c r="K679" i="13"/>
  <c r="L679" i="13" s="1"/>
  <c r="N683" i="13"/>
  <c r="T685" i="13"/>
  <c r="N688" i="13"/>
  <c r="P688" i="13" s="1"/>
  <c r="N696" i="13"/>
  <c r="O696" i="13" s="1"/>
  <c r="T697" i="13"/>
  <c r="J699" i="13"/>
  <c r="J703" i="13"/>
  <c r="H706" i="13"/>
  <c r="H742" i="13"/>
  <c r="H745" i="13"/>
  <c r="N749" i="13"/>
  <c r="H753" i="13"/>
  <c r="N757" i="13"/>
  <c r="P757" i="13" s="1"/>
  <c r="N766" i="13"/>
  <c r="J770" i="13"/>
  <c r="S778" i="13"/>
  <c r="J820" i="13"/>
  <c r="T825" i="13"/>
  <c r="T827" i="13"/>
  <c r="N827" i="13"/>
  <c r="S827" i="13" s="1"/>
  <c r="K837" i="13"/>
  <c r="L837" i="13" s="1"/>
  <c r="N840" i="13"/>
  <c r="T853" i="13"/>
  <c r="N853" i="13"/>
  <c r="P853" i="13" s="1"/>
  <c r="J856" i="13"/>
  <c r="H861" i="13"/>
  <c r="T864" i="13"/>
  <c r="J865" i="13"/>
  <c r="H521" i="13"/>
  <c r="H523" i="13"/>
  <c r="N528" i="13"/>
  <c r="T529" i="13"/>
  <c r="H536" i="13"/>
  <c r="H537" i="13"/>
  <c r="N540" i="13"/>
  <c r="H545" i="13"/>
  <c r="N546" i="13"/>
  <c r="O546" i="13" s="1"/>
  <c r="J565" i="13"/>
  <c r="N599" i="13"/>
  <c r="Q599" i="13" s="1"/>
  <c r="T607" i="13"/>
  <c r="N615" i="13"/>
  <c r="O615" i="13" s="1"/>
  <c r="T615" i="13"/>
  <c r="N631" i="13"/>
  <c r="T631" i="13"/>
  <c r="T636" i="13"/>
  <c r="T641" i="13"/>
  <c r="N642" i="13"/>
  <c r="T678" i="13"/>
  <c r="N686" i="13"/>
  <c r="N698" i="13"/>
  <c r="O698" i="13" s="1"/>
  <c r="T698" i="13"/>
  <c r="N702" i="13"/>
  <c r="S702" i="13" s="1"/>
  <c r="K706" i="13"/>
  <c r="L706" i="13" s="1"/>
  <c r="K711" i="13"/>
  <c r="L711" i="13" s="1"/>
  <c r="K746" i="13"/>
  <c r="L746" i="13" s="1"/>
  <c r="H750" i="13"/>
  <c r="K754" i="13"/>
  <c r="L754" i="13" s="1"/>
  <c r="N760" i="13"/>
  <c r="T761" i="13"/>
  <c r="K764" i="13"/>
  <c r="L764" i="13" s="1"/>
  <c r="K777" i="13"/>
  <c r="L777" i="13" s="1"/>
  <c r="T782" i="13"/>
  <c r="N782" i="13"/>
  <c r="T788" i="13"/>
  <c r="T819" i="13"/>
  <c r="T831" i="13"/>
  <c r="H832" i="13"/>
  <c r="J837" i="13"/>
  <c r="J841" i="13"/>
  <c r="H843" i="13"/>
  <c r="J849" i="13"/>
  <c r="K853" i="13"/>
  <c r="L853" i="13" s="1"/>
  <c r="N855" i="13"/>
  <c r="T855" i="13"/>
  <c r="N860" i="13"/>
  <c r="J861" i="13"/>
  <c r="R132" i="13"/>
  <c r="Q184" i="13"/>
  <c r="Q186" i="13"/>
  <c r="Q208" i="13"/>
  <c r="O216" i="13"/>
  <c r="P220" i="13"/>
  <c r="O272" i="13"/>
  <c r="O292" i="13"/>
  <c r="P300" i="13"/>
  <c r="Q340" i="13"/>
  <c r="P348" i="13"/>
  <c r="P356" i="13"/>
  <c r="R364" i="13"/>
  <c r="S376" i="13"/>
  <c r="S381" i="13"/>
  <c r="S431" i="13"/>
  <c r="S461" i="13"/>
  <c r="P477" i="13"/>
  <c r="S535" i="13"/>
  <c r="Q595" i="13"/>
  <c r="R599" i="13"/>
  <c r="R608" i="13"/>
  <c r="R186" i="13"/>
  <c r="R208" i="13"/>
  <c r="P216" i="13"/>
  <c r="R220" i="13"/>
  <c r="P292" i="13"/>
  <c r="R300" i="13"/>
  <c r="O308" i="13"/>
  <c r="O324" i="13"/>
  <c r="Q356" i="13"/>
  <c r="S364" i="13"/>
  <c r="R375" i="13"/>
  <c r="Q558" i="13"/>
  <c r="R595" i="13"/>
  <c r="S599" i="13"/>
  <c r="Q607" i="13"/>
  <c r="Q615" i="13"/>
  <c r="Q627" i="13"/>
  <c r="Q687" i="13"/>
  <c r="O724" i="13"/>
  <c r="Q729" i="13"/>
  <c r="P766" i="13"/>
  <c r="S770" i="13"/>
  <c r="Q773" i="13"/>
  <c r="O853" i="13"/>
  <c r="O885" i="13"/>
  <c r="O55" i="13"/>
  <c r="O109" i="13"/>
  <c r="P120" i="13"/>
  <c r="P128" i="13"/>
  <c r="P140" i="13"/>
  <c r="P169" i="13"/>
  <c r="S186" i="13"/>
  <c r="S208" i="13"/>
  <c r="R216" i="13"/>
  <c r="S220" i="13"/>
  <c r="Q292" i="13"/>
  <c r="S300" i="13"/>
  <c r="P308" i="13"/>
  <c r="O316" i="13"/>
  <c r="P324" i="13"/>
  <c r="Q352" i="13"/>
  <c r="Q424" i="13"/>
  <c r="R539" i="13"/>
  <c r="R547" i="13"/>
  <c r="S595" i="13"/>
  <c r="R627" i="13"/>
  <c r="Q631" i="13"/>
  <c r="S687" i="13"/>
  <c r="Q706" i="13"/>
  <c r="S729" i="13"/>
  <c r="Q757" i="13"/>
  <c r="Q766" i="13"/>
  <c r="S773" i="13"/>
  <c r="Q823" i="13"/>
  <c r="R831" i="13"/>
  <c r="P885" i="13"/>
  <c r="O25" i="13"/>
  <c r="Q140" i="13"/>
  <c r="Q204" i="13"/>
  <c r="R212" i="13"/>
  <c r="S216" i="13"/>
  <c r="Q285" i="13"/>
  <c r="Q308" i="13"/>
  <c r="P316" i="13"/>
  <c r="Q324" i="13"/>
  <c r="Q336" i="13"/>
  <c r="S352" i="13"/>
  <c r="P484" i="13"/>
  <c r="S539" i="13"/>
  <c r="P562" i="13"/>
  <c r="S607" i="13"/>
  <c r="S617" i="13"/>
  <c r="R631" i="13"/>
  <c r="Q635" i="13"/>
  <c r="R766" i="13"/>
  <c r="R823" i="13"/>
  <c r="O840" i="13"/>
  <c r="Q885" i="13"/>
  <c r="O63" i="13"/>
  <c r="P275" i="13"/>
  <c r="Q320" i="13"/>
  <c r="O479" i="13"/>
  <c r="R546" i="13"/>
  <c r="S611" i="13"/>
  <c r="Q688" i="13"/>
  <c r="S823" i="13"/>
  <c r="Q837" i="13"/>
  <c r="P840" i="13"/>
  <c r="P884" i="13"/>
  <c r="R885" i="13"/>
  <c r="O51" i="13"/>
  <c r="P244" i="13"/>
  <c r="Q275" i="13"/>
  <c r="S320" i="13"/>
  <c r="Q440" i="13"/>
  <c r="Q570" i="13"/>
  <c r="O679" i="13"/>
  <c r="R688" i="13"/>
  <c r="O716" i="13"/>
  <c r="R244" i="13"/>
  <c r="P332" i="13"/>
  <c r="O340" i="13"/>
  <c r="P364" i="13"/>
  <c r="Q376" i="13"/>
  <c r="O381" i="13"/>
  <c r="O385" i="13"/>
  <c r="Q461" i="13"/>
  <c r="R527" i="13"/>
  <c r="P535" i="13"/>
  <c r="O595" i="13"/>
  <c r="P608" i="13"/>
  <c r="S688" i="13"/>
  <c r="Q761" i="13"/>
  <c r="S837" i="13"/>
  <c r="O59" i="13"/>
  <c r="O186" i="13"/>
  <c r="O356" i="13"/>
  <c r="Q364" i="13"/>
  <c r="R376" i="13"/>
  <c r="P11" i="13"/>
  <c r="O11" i="13"/>
  <c r="S11" i="13"/>
  <c r="R11" i="13"/>
  <c r="Q11" i="13"/>
  <c r="S76" i="13"/>
  <c r="R76" i="13"/>
  <c r="Q76" i="13"/>
  <c r="P76" i="13"/>
  <c r="O76" i="13"/>
  <c r="P13" i="13"/>
  <c r="O13" i="13"/>
  <c r="S13" i="13"/>
  <c r="R13" i="13"/>
  <c r="Q13" i="13"/>
  <c r="S15" i="13"/>
  <c r="R15" i="13"/>
  <c r="Q15" i="13"/>
  <c r="P15" i="13"/>
  <c r="O15" i="13"/>
  <c r="R7" i="13"/>
  <c r="Q7" i="13"/>
  <c r="P7" i="13"/>
  <c r="O7" i="13"/>
  <c r="S7" i="13"/>
  <c r="P9" i="13"/>
  <c r="R9" i="13"/>
  <c r="Q9" i="13"/>
  <c r="O9" i="13"/>
  <c r="S9" i="13"/>
  <c r="T3" i="13"/>
  <c r="K6" i="13"/>
  <c r="L6" i="13" s="1"/>
  <c r="T6" i="13"/>
  <c r="J7" i="13"/>
  <c r="K8" i="13"/>
  <c r="L8" i="13" s="1"/>
  <c r="J9" i="13"/>
  <c r="H10" i="13"/>
  <c r="R10" i="13"/>
  <c r="N17" i="13"/>
  <c r="O19" i="13"/>
  <c r="K21" i="13"/>
  <c r="L21" i="13" s="1"/>
  <c r="N22" i="13"/>
  <c r="K24" i="13"/>
  <c r="L24" i="13" s="1"/>
  <c r="T27" i="13"/>
  <c r="O29" i="13"/>
  <c r="R33" i="13"/>
  <c r="P33" i="13"/>
  <c r="Q38" i="13"/>
  <c r="N42" i="13"/>
  <c r="Q44" i="13"/>
  <c r="H45" i="13"/>
  <c r="T48" i="13"/>
  <c r="N48" i="13"/>
  <c r="K52" i="13"/>
  <c r="L52" i="13" s="1"/>
  <c r="J52" i="13"/>
  <c r="K60" i="13"/>
  <c r="L60" i="13" s="1"/>
  <c r="J60" i="13"/>
  <c r="P66" i="13"/>
  <c r="O66" i="13"/>
  <c r="S66" i="13"/>
  <c r="Q66" i="13"/>
  <c r="O71" i="13"/>
  <c r="Q94" i="13"/>
  <c r="P94" i="13"/>
  <c r="O94" i="13"/>
  <c r="S94" i="13"/>
  <c r="R94" i="13"/>
  <c r="S121" i="13"/>
  <c r="R121" i="13"/>
  <c r="Q121" i="13"/>
  <c r="P121" i="13"/>
  <c r="O121" i="13"/>
  <c r="O2" i="13"/>
  <c r="N3" i="13"/>
  <c r="N4" i="13"/>
  <c r="K7" i="13"/>
  <c r="L7" i="13" s="1"/>
  <c r="K9" i="13"/>
  <c r="L9" i="13" s="1"/>
  <c r="S10" i="13"/>
  <c r="P19" i="13"/>
  <c r="N27" i="13"/>
  <c r="J27" i="13"/>
  <c r="H27" i="13"/>
  <c r="Q29" i="13"/>
  <c r="R37" i="13"/>
  <c r="P37" i="13"/>
  <c r="P46" i="13"/>
  <c r="S46" i="13"/>
  <c r="O46" i="13"/>
  <c r="P50" i="13"/>
  <c r="O50" i="13"/>
  <c r="S50" i="13"/>
  <c r="Q50" i="13"/>
  <c r="H53" i="13"/>
  <c r="N53" i="13"/>
  <c r="R55" i="13"/>
  <c r="Q55" i="13"/>
  <c r="S55" i="13"/>
  <c r="P58" i="13"/>
  <c r="O58" i="13"/>
  <c r="S58" i="13"/>
  <c r="Q58" i="13"/>
  <c r="H61" i="13"/>
  <c r="N61" i="13"/>
  <c r="R63" i="13"/>
  <c r="Q63" i="13"/>
  <c r="S63" i="13"/>
  <c r="S72" i="13"/>
  <c r="R72" i="13"/>
  <c r="Q72" i="13"/>
  <c r="P72" i="13"/>
  <c r="O72" i="13"/>
  <c r="Q82" i="13"/>
  <c r="P82" i="13"/>
  <c r="O82" i="13"/>
  <c r="S82" i="13"/>
  <c r="R82" i="13"/>
  <c r="O87" i="13"/>
  <c r="S87" i="13"/>
  <c r="R87" i="13"/>
  <c r="Q87" i="13"/>
  <c r="H89" i="13"/>
  <c r="N89" i="13"/>
  <c r="T89" i="13"/>
  <c r="S96" i="13"/>
  <c r="R96" i="13"/>
  <c r="Q96" i="13"/>
  <c r="P96" i="13"/>
  <c r="O96" i="13"/>
  <c r="Q105" i="13"/>
  <c r="P105" i="13"/>
  <c r="O105" i="13"/>
  <c r="S105" i="13"/>
  <c r="S110" i="13"/>
  <c r="R110" i="13"/>
  <c r="Q110" i="13"/>
  <c r="P110" i="13"/>
  <c r="O110" i="13"/>
  <c r="Q111" i="13"/>
  <c r="O116" i="13"/>
  <c r="R116" i="13"/>
  <c r="Q116" i="13"/>
  <c r="P116" i="13"/>
  <c r="S116" i="13"/>
  <c r="S126" i="13"/>
  <c r="Q126" i="13"/>
  <c r="P126" i="13"/>
  <c r="O126" i="13"/>
  <c r="N131" i="13"/>
  <c r="T131" i="13"/>
  <c r="J176" i="13"/>
  <c r="H176" i="13"/>
  <c r="N176" i="13"/>
  <c r="K176" i="13"/>
  <c r="L176" i="13" s="1"/>
  <c r="P2" i="13"/>
  <c r="N5" i="13"/>
  <c r="T7" i="13"/>
  <c r="T10" i="13"/>
  <c r="J11" i="13"/>
  <c r="K12" i="13"/>
  <c r="L12" i="13" s="1"/>
  <c r="T12" i="13"/>
  <c r="J13" i="13"/>
  <c r="H14" i="13"/>
  <c r="Q19" i="13"/>
  <c r="N21" i="13"/>
  <c r="T24" i="13"/>
  <c r="N24" i="13"/>
  <c r="N31" i="13"/>
  <c r="J31" i="13"/>
  <c r="H31" i="13"/>
  <c r="T35" i="13"/>
  <c r="O37" i="13"/>
  <c r="Q46" i="13"/>
  <c r="R50" i="13"/>
  <c r="S56" i="13"/>
  <c r="R56" i="13"/>
  <c r="P56" i="13"/>
  <c r="O56" i="13"/>
  <c r="R58" i="13"/>
  <c r="S64" i="13"/>
  <c r="R64" i="13"/>
  <c r="P64" i="13"/>
  <c r="O64" i="13"/>
  <c r="S68" i="13"/>
  <c r="R68" i="13"/>
  <c r="Q68" i="13"/>
  <c r="P68" i="13"/>
  <c r="O68" i="13"/>
  <c r="S75" i="13"/>
  <c r="R75" i="13"/>
  <c r="Q75" i="13"/>
  <c r="T76" i="13"/>
  <c r="H77" i="13"/>
  <c r="N77" i="13"/>
  <c r="T77" i="13"/>
  <c r="S84" i="13"/>
  <c r="R84" i="13"/>
  <c r="Q84" i="13"/>
  <c r="P84" i="13"/>
  <c r="O84" i="13"/>
  <c r="O95" i="13"/>
  <c r="S95" i="13"/>
  <c r="R95" i="13"/>
  <c r="Q95" i="13"/>
  <c r="S102" i="13"/>
  <c r="R102" i="13"/>
  <c r="Q102" i="13"/>
  <c r="P102" i="13"/>
  <c r="O102" i="13"/>
  <c r="R105" i="13"/>
  <c r="H113" i="13"/>
  <c r="N113" i="13"/>
  <c r="T122" i="13"/>
  <c r="H122" i="13"/>
  <c r="N122" i="13"/>
  <c r="T123" i="13"/>
  <c r="N123" i="13"/>
  <c r="O124" i="13"/>
  <c r="S124" i="13"/>
  <c r="R124" i="13"/>
  <c r="Q124" i="13"/>
  <c r="P124" i="13"/>
  <c r="Q152" i="13"/>
  <c r="P152" i="13"/>
  <c r="O152" i="13"/>
  <c r="S152" i="13"/>
  <c r="R152" i="13"/>
  <c r="N163" i="13"/>
  <c r="T163" i="13"/>
  <c r="Q180" i="13"/>
  <c r="P180" i="13"/>
  <c r="O180" i="13"/>
  <c r="S180" i="13"/>
  <c r="R180" i="13"/>
  <c r="G890" i="13"/>
  <c r="Q2" i="13"/>
  <c r="N8" i="13"/>
  <c r="H15" i="13"/>
  <c r="H16" i="13"/>
  <c r="H17" i="13"/>
  <c r="S19" i="13"/>
  <c r="H23" i="13"/>
  <c r="R28" i="13"/>
  <c r="P28" i="13"/>
  <c r="O28" i="13"/>
  <c r="T29" i="13"/>
  <c r="H34" i="13"/>
  <c r="N35" i="13"/>
  <c r="J35" i="13"/>
  <c r="H35" i="13"/>
  <c r="Q37" i="13"/>
  <c r="H40" i="13"/>
  <c r="R45" i="13"/>
  <c r="P45" i="13"/>
  <c r="R46" i="13"/>
  <c r="S71" i="13"/>
  <c r="R71" i="13"/>
  <c r="Q71" i="13"/>
  <c r="H73" i="13"/>
  <c r="N73" i="13"/>
  <c r="K76" i="13"/>
  <c r="L76" i="13" s="1"/>
  <c r="J76" i="13"/>
  <c r="H76" i="13"/>
  <c r="Q90" i="13"/>
  <c r="P90" i="13"/>
  <c r="O90" i="13"/>
  <c r="S90" i="13"/>
  <c r="R90" i="13"/>
  <c r="H97" i="13"/>
  <c r="N97" i="13"/>
  <c r="T97" i="13"/>
  <c r="P117" i="13"/>
  <c r="O117" i="13"/>
  <c r="S117" i="13"/>
  <c r="R117" i="13"/>
  <c r="R2" i="13"/>
  <c r="T11" i="13"/>
  <c r="J15" i="13"/>
  <c r="K16" i="13"/>
  <c r="L16" i="13" s="1"/>
  <c r="J17" i="13"/>
  <c r="H19" i="13"/>
  <c r="N26" i="13"/>
  <c r="Q28" i="13"/>
  <c r="H29" i="13"/>
  <c r="T32" i="13"/>
  <c r="N32" i="13"/>
  <c r="T33" i="13"/>
  <c r="J34" i="13"/>
  <c r="S37" i="13"/>
  <c r="H38" i="13"/>
  <c r="N39" i="13"/>
  <c r="J39" i="13"/>
  <c r="H39" i="13"/>
  <c r="K40" i="13"/>
  <c r="L40" i="13" s="1"/>
  <c r="Q41" i="13"/>
  <c r="T43" i="13"/>
  <c r="H44" i="13"/>
  <c r="O45" i="13"/>
  <c r="R49" i="13"/>
  <c r="Q49" i="13"/>
  <c r="P49" i="13"/>
  <c r="H52" i="13"/>
  <c r="K56" i="13"/>
  <c r="L56" i="13" s="1"/>
  <c r="J56" i="13"/>
  <c r="H60" i="13"/>
  <c r="K64" i="13"/>
  <c r="L64" i="13" s="1"/>
  <c r="J64" i="13"/>
  <c r="S67" i="13"/>
  <c r="R67" i="13"/>
  <c r="Q67" i="13"/>
  <c r="T68" i="13"/>
  <c r="H69" i="13"/>
  <c r="N69" i="13"/>
  <c r="K72" i="13"/>
  <c r="L72" i="13" s="1"/>
  <c r="J72" i="13"/>
  <c r="H72" i="13"/>
  <c r="T73" i="13"/>
  <c r="Q78" i="13"/>
  <c r="P78" i="13"/>
  <c r="O78" i="13"/>
  <c r="S78" i="13"/>
  <c r="R78" i="13"/>
  <c r="O83" i="13"/>
  <c r="S83" i="13"/>
  <c r="R83" i="13"/>
  <c r="Q83" i="13"/>
  <c r="H85" i="13"/>
  <c r="N85" i="13"/>
  <c r="T85" i="13"/>
  <c r="S92" i="13"/>
  <c r="R92" i="13"/>
  <c r="Q92" i="13"/>
  <c r="P92" i="13"/>
  <c r="O92" i="13"/>
  <c r="Q103" i="13"/>
  <c r="S103" i="13"/>
  <c r="R103" i="13"/>
  <c r="P103" i="13"/>
  <c r="O103" i="13"/>
  <c r="K110" i="13"/>
  <c r="L110" i="13" s="1"/>
  <c r="J110" i="13"/>
  <c r="H110" i="13"/>
  <c r="H111" i="13"/>
  <c r="K111" i="13"/>
  <c r="L111" i="13" s="1"/>
  <c r="J111" i="13"/>
  <c r="K112" i="13"/>
  <c r="L112" i="13" s="1"/>
  <c r="J112" i="13"/>
  <c r="H112" i="13"/>
  <c r="T142" i="13"/>
  <c r="N142" i="13"/>
  <c r="H3" i="13"/>
  <c r="H4" i="13"/>
  <c r="H5" i="13"/>
  <c r="O10" i="13"/>
  <c r="N12" i="13"/>
  <c r="N14" i="13"/>
  <c r="K15" i="13"/>
  <c r="L15" i="13" s="1"/>
  <c r="T20" i="13"/>
  <c r="N20" i="13"/>
  <c r="H22" i="13"/>
  <c r="K27" i="13"/>
  <c r="L27" i="13" s="1"/>
  <c r="S28" i="13"/>
  <c r="N30" i="13"/>
  <c r="T36" i="13"/>
  <c r="N36" i="13"/>
  <c r="T37" i="13"/>
  <c r="H42" i="13"/>
  <c r="N43" i="13"/>
  <c r="J43" i="13"/>
  <c r="H43" i="13"/>
  <c r="Q45" i="13"/>
  <c r="T47" i="13"/>
  <c r="H48" i="13"/>
  <c r="R51" i="13"/>
  <c r="Q51" i="13"/>
  <c r="S51" i="13"/>
  <c r="N54" i="13"/>
  <c r="H57" i="13"/>
  <c r="N57" i="13"/>
  <c r="R59" i="13"/>
  <c r="Q59" i="13"/>
  <c r="S59" i="13"/>
  <c r="N62" i="13"/>
  <c r="H65" i="13"/>
  <c r="N65" i="13"/>
  <c r="K68" i="13"/>
  <c r="L68" i="13" s="1"/>
  <c r="J68" i="13"/>
  <c r="H68" i="13"/>
  <c r="T69" i="13"/>
  <c r="S80" i="13"/>
  <c r="R80" i="13"/>
  <c r="Q80" i="13"/>
  <c r="P80" i="13"/>
  <c r="O80" i="13"/>
  <c r="Q98" i="13"/>
  <c r="P98" i="13"/>
  <c r="O98" i="13"/>
  <c r="S98" i="13"/>
  <c r="R98" i="13"/>
  <c r="O108" i="13"/>
  <c r="P108" i="13"/>
  <c r="S108" i="13"/>
  <c r="R108" i="13"/>
  <c r="Q117" i="13"/>
  <c r="N134" i="13"/>
  <c r="N161" i="13"/>
  <c r="H161" i="13"/>
  <c r="T161" i="13"/>
  <c r="T2" i="13"/>
  <c r="K4" i="13"/>
  <c r="L4" i="13" s="1"/>
  <c r="T4" i="13"/>
  <c r="T15" i="13"/>
  <c r="T21" i="13"/>
  <c r="T23" i="13"/>
  <c r="R25" i="13"/>
  <c r="P25" i="13"/>
  <c r="K31" i="13"/>
  <c r="L31" i="13" s="1"/>
  <c r="N34" i="13"/>
  <c r="H37" i="13"/>
  <c r="T40" i="13"/>
  <c r="N40" i="13"/>
  <c r="T41" i="13"/>
  <c r="J42" i="13"/>
  <c r="S45" i="13"/>
  <c r="H46" i="13"/>
  <c r="N47" i="13"/>
  <c r="J47" i="13"/>
  <c r="H47" i="13"/>
  <c r="K48" i="13"/>
  <c r="L48" i="13" s="1"/>
  <c r="S52" i="13"/>
  <c r="R52" i="13"/>
  <c r="P52" i="13"/>
  <c r="O52" i="13"/>
  <c r="S60" i="13"/>
  <c r="R60" i="13"/>
  <c r="P60" i="13"/>
  <c r="O60" i="13"/>
  <c r="P74" i="13"/>
  <c r="O74" i="13"/>
  <c r="S74" i="13"/>
  <c r="Q74" i="13"/>
  <c r="Q86" i="13"/>
  <c r="P86" i="13"/>
  <c r="O86" i="13"/>
  <c r="S86" i="13"/>
  <c r="R86" i="13"/>
  <c r="O91" i="13"/>
  <c r="S91" i="13"/>
  <c r="R91" i="13"/>
  <c r="Q91" i="13"/>
  <c r="H93" i="13"/>
  <c r="N93" i="13"/>
  <c r="T93" i="13"/>
  <c r="O100" i="13"/>
  <c r="S100" i="13"/>
  <c r="R100" i="13"/>
  <c r="Q100" i="13"/>
  <c r="P100" i="13"/>
  <c r="S125" i="13"/>
  <c r="R125" i="13"/>
  <c r="Q125" i="13"/>
  <c r="P125" i="13"/>
  <c r="O125" i="13"/>
  <c r="Q196" i="13"/>
  <c r="P196" i="13"/>
  <c r="O196" i="13"/>
  <c r="R196" i="13"/>
  <c r="S196" i="13"/>
  <c r="N16" i="13"/>
  <c r="N18" i="13"/>
  <c r="T18" i="13"/>
  <c r="N23" i="13"/>
  <c r="J23" i="13"/>
  <c r="R29" i="13"/>
  <c r="P29" i="13"/>
  <c r="P38" i="13"/>
  <c r="S38" i="13"/>
  <c r="O38" i="13"/>
  <c r="R44" i="13"/>
  <c r="P44" i="13"/>
  <c r="O44" i="13"/>
  <c r="P70" i="13"/>
  <c r="O70" i="13"/>
  <c r="S70" i="13"/>
  <c r="Q70" i="13"/>
  <c r="O79" i="13"/>
  <c r="S79" i="13"/>
  <c r="R79" i="13"/>
  <c r="Q79" i="13"/>
  <c r="H81" i="13"/>
  <c r="N81" i="13"/>
  <c r="T81" i="13"/>
  <c r="S88" i="13"/>
  <c r="R88" i="13"/>
  <c r="Q88" i="13"/>
  <c r="P88" i="13"/>
  <c r="O88" i="13"/>
  <c r="O99" i="13"/>
  <c r="S99" i="13"/>
  <c r="R99" i="13"/>
  <c r="Q99" i="13"/>
  <c r="S118" i="13"/>
  <c r="O118" i="13"/>
  <c r="R118" i="13"/>
  <c r="Q118" i="13"/>
  <c r="P118" i="13"/>
  <c r="N139" i="13"/>
  <c r="T139" i="13"/>
  <c r="N149" i="13"/>
  <c r="H149" i="13"/>
  <c r="T149" i="13"/>
  <c r="H51" i="13"/>
  <c r="H55" i="13"/>
  <c r="H59" i="13"/>
  <c r="H63" i="13"/>
  <c r="H67" i="13"/>
  <c r="H71" i="13"/>
  <c r="H75" i="13"/>
  <c r="H79" i="13"/>
  <c r="H83" i="13"/>
  <c r="H87" i="13"/>
  <c r="H91" i="13"/>
  <c r="H95" i="13"/>
  <c r="H99" i="13"/>
  <c r="N101" i="13"/>
  <c r="H106" i="13"/>
  <c r="J107" i="13"/>
  <c r="H108" i="13"/>
  <c r="P109" i="13"/>
  <c r="N112" i="13"/>
  <c r="K116" i="13"/>
  <c r="L116" i="13" s="1"/>
  <c r="Q120" i="13"/>
  <c r="H123" i="13"/>
  <c r="T126" i="13"/>
  <c r="H131" i="13"/>
  <c r="K134" i="13"/>
  <c r="L134" i="13" s="1"/>
  <c r="H134" i="13"/>
  <c r="H139" i="13"/>
  <c r="K142" i="13"/>
  <c r="L142" i="13" s="1"/>
  <c r="H142" i="13"/>
  <c r="S146" i="13"/>
  <c r="Q146" i="13"/>
  <c r="R146" i="13"/>
  <c r="T155" i="13"/>
  <c r="S158" i="13"/>
  <c r="Q158" i="13"/>
  <c r="R158" i="13"/>
  <c r="Q164" i="13"/>
  <c r="P164" i="13"/>
  <c r="O164" i="13"/>
  <c r="S164" i="13"/>
  <c r="R164" i="13"/>
  <c r="T164" i="13"/>
  <c r="Q178" i="13"/>
  <c r="J180" i="13"/>
  <c r="Q202" i="13"/>
  <c r="P202" i="13"/>
  <c r="R202" i="13"/>
  <c r="O202" i="13"/>
  <c r="S202" i="13"/>
  <c r="T22" i="13"/>
  <c r="T26" i="13"/>
  <c r="T30" i="13"/>
  <c r="T34" i="13"/>
  <c r="T38" i="13"/>
  <c r="T42" i="13"/>
  <c r="T46" i="13"/>
  <c r="T50" i="13"/>
  <c r="J51" i="13"/>
  <c r="T54" i="13"/>
  <c r="J55" i="13"/>
  <c r="T58" i="13"/>
  <c r="J59" i="13"/>
  <c r="T62" i="13"/>
  <c r="J63" i="13"/>
  <c r="T66" i="13"/>
  <c r="J67" i="13"/>
  <c r="T70" i="13"/>
  <c r="J71" i="13"/>
  <c r="T74" i="13"/>
  <c r="J75" i="13"/>
  <c r="T78" i="13"/>
  <c r="J79" i="13"/>
  <c r="T82" i="13"/>
  <c r="J83" i="13"/>
  <c r="T86" i="13"/>
  <c r="J87" i="13"/>
  <c r="T90" i="13"/>
  <c r="J91" i="13"/>
  <c r="T94" i="13"/>
  <c r="T98" i="13"/>
  <c r="H103" i="13"/>
  <c r="T105" i="13"/>
  <c r="J106" i="13"/>
  <c r="T106" i="13"/>
  <c r="K107" i="13"/>
  <c r="L107" i="13" s="1"/>
  <c r="H109" i="13"/>
  <c r="Q109" i="13"/>
  <c r="H118" i="13"/>
  <c r="H120" i="13"/>
  <c r="R120" i="13"/>
  <c r="S128" i="13"/>
  <c r="O128" i="13"/>
  <c r="T129" i="13"/>
  <c r="S136" i="13"/>
  <c r="O136" i="13"/>
  <c r="T137" i="13"/>
  <c r="T143" i="13"/>
  <c r="O146" i="13"/>
  <c r="N153" i="13"/>
  <c r="H153" i="13"/>
  <c r="S155" i="13"/>
  <c r="R155" i="13"/>
  <c r="Q155" i="13"/>
  <c r="P155" i="13"/>
  <c r="O158" i="13"/>
  <c r="S217" i="13"/>
  <c r="R217" i="13"/>
  <c r="O217" i="13"/>
  <c r="Q217" i="13"/>
  <c r="P217" i="13"/>
  <c r="H80" i="13"/>
  <c r="H84" i="13"/>
  <c r="H88" i="13"/>
  <c r="H92" i="13"/>
  <c r="H96" i="13"/>
  <c r="H100" i="13"/>
  <c r="R109" i="13"/>
  <c r="N114" i="13"/>
  <c r="N115" i="13"/>
  <c r="T117" i="13"/>
  <c r="T118" i="13"/>
  <c r="T119" i="13"/>
  <c r="S120" i="13"/>
  <c r="Q127" i="13"/>
  <c r="O127" i="13"/>
  <c r="H133" i="13"/>
  <c r="N133" i="13"/>
  <c r="H141" i="13"/>
  <c r="N141" i="13"/>
  <c r="S143" i="13"/>
  <c r="R143" i="13"/>
  <c r="Q143" i="13"/>
  <c r="P143" i="13"/>
  <c r="P146" i="13"/>
  <c r="S150" i="13"/>
  <c r="Q150" i="13"/>
  <c r="R150" i="13"/>
  <c r="Q156" i="13"/>
  <c r="P156" i="13"/>
  <c r="O156" i="13"/>
  <c r="S156" i="13"/>
  <c r="R156" i="13"/>
  <c r="T156" i="13"/>
  <c r="N165" i="13"/>
  <c r="H165" i="13"/>
  <c r="T167" i="13"/>
  <c r="N167" i="13"/>
  <c r="Q168" i="13"/>
  <c r="P168" i="13"/>
  <c r="O168" i="13"/>
  <c r="S168" i="13"/>
  <c r="R168" i="13"/>
  <c r="T168" i="13"/>
  <c r="T201" i="13"/>
  <c r="N201" i="13"/>
  <c r="J80" i="13"/>
  <c r="J84" i="13"/>
  <c r="J88" i="13"/>
  <c r="J92" i="13"/>
  <c r="T95" i="13"/>
  <c r="J96" i="13"/>
  <c r="T99" i="13"/>
  <c r="J100" i="13"/>
  <c r="H101" i="13"/>
  <c r="P104" i="13"/>
  <c r="H124" i="13"/>
  <c r="H127" i="13"/>
  <c r="P127" i="13"/>
  <c r="Q128" i="13"/>
  <c r="N130" i="13"/>
  <c r="Q135" i="13"/>
  <c r="O135" i="13"/>
  <c r="Q136" i="13"/>
  <c r="N138" i="13"/>
  <c r="Q144" i="13"/>
  <c r="P144" i="13"/>
  <c r="O144" i="13"/>
  <c r="S144" i="13"/>
  <c r="R144" i="13"/>
  <c r="T144" i="13"/>
  <c r="T147" i="13"/>
  <c r="O150" i="13"/>
  <c r="T153" i="13"/>
  <c r="T159" i="13"/>
  <c r="S162" i="13"/>
  <c r="Q162" i="13"/>
  <c r="R162" i="13"/>
  <c r="S241" i="13"/>
  <c r="R241" i="13"/>
  <c r="O241" i="13"/>
  <c r="Q241" i="13"/>
  <c r="P241" i="13"/>
  <c r="K100" i="13"/>
  <c r="L100" i="13" s="1"/>
  <c r="Q104" i="13"/>
  <c r="N106" i="13"/>
  <c r="H107" i="13"/>
  <c r="N107" i="13"/>
  <c r="K130" i="13"/>
  <c r="L130" i="13" s="1"/>
  <c r="H130" i="13"/>
  <c r="H135" i="13"/>
  <c r="K138" i="13"/>
  <c r="L138" i="13" s="1"/>
  <c r="H138" i="13"/>
  <c r="S147" i="13"/>
  <c r="R147" i="13"/>
  <c r="Q147" i="13"/>
  <c r="P147" i="13"/>
  <c r="N157" i="13"/>
  <c r="H157" i="13"/>
  <c r="S159" i="13"/>
  <c r="R159" i="13"/>
  <c r="Q159" i="13"/>
  <c r="P159" i="13"/>
  <c r="T171" i="13"/>
  <c r="N171" i="13"/>
  <c r="Q172" i="13"/>
  <c r="P172" i="13"/>
  <c r="O172" i="13"/>
  <c r="S172" i="13"/>
  <c r="R172" i="13"/>
  <c r="T172" i="13"/>
  <c r="K180" i="13"/>
  <c r="L180" i="13" s="1"/>
  <c r="H180" i="13"/>
  <c r="R181" i="13"/>
  <c r="Q181" i="13"/>
  <c r="P181" i="13"/>
  <c r="O181" i="13"/>
  <c r="S181" i="13"/>
  <c r="S192" i="13"/>
  <c r="R192" i="13"/>
  <c r="Q192" i="13"/>
  <c r="P192" i="13"/>
  <c r="O192" i="13"/>
  <c r="Q198" i="13"/>
  <c r="P198" i="13"/>
  <c r="S198" i="13"/>
  <c r="R198" i="13"/>
  <c r="O198" i="13"/>
  <c r="H102" i="13"/>
  <c r="J103" i="13"/>
  <c r="R104" i="13"/>
  <c r="H119" i="13"/>
  <c r="J122" i="13"/>
  <c r="K123" i="13"/>
  <c r="L123" i="13" s="1"/>
  <c r="S127" i="13"/>
  <c r="S132" i="13"/>
  <c r="O132" i="13"/>
  <c r="T133" i="13"/>
  <c r="R135" i="13"/>
  <c r="S140" i="13"/>
  <c r="O140" i="13"/>
  <c r="T141" i="13"/>
  <c r="N145" i="13"/>
  <c r="H145" i="13"/>
  <c r="Q148" i="13"/>
  <c r="P148" i="13"/>
  <c r="O148" i="13"/>
  <c r="S148" i="13"/>
  <c r="R148" i="13"/>
  <c r="T148" i="13"/>
  <c r="T151" i="13"/>
  <c r="S154" i="13"/>
  <c r="Q154" i="13"/>
  <c r="R154" i="13"/>
  <c r="O160" i="13"/>
  <c r="T160" i="13"/>
  <c r="P162" i="13"/>
  <c r="N194" i="13"/>
  <c r="S104" i="13"/>
  <c r="K126" i="13"/>
  <c r="L126" i="13" s="1"/>
  <c r="H126" i="13"/>
  <c r="N129" i="13"/>
  <c r="N137" i="13"/>
  <c r="S151" i="13"/>
  <c r="R151" i="13"/>
  <c r="Q151" i="13"/>
  <c r="P151" i="13"/>
  <c r="T157" i="13"/>
  <c r="N175" i="13"/>
  <c r="T175" i="13"/>
  <c r="T176" i="13"/>
  <c r="J181" i="13"/>
  <c r="K181" i="13"/>
  <c r="L181" i="13" s="1"/>
  <c r="T181" i="13"/>
  <c r="P182" i="13"/>
  <c r="Q182" i="13"/>
  <c r="O182" i="13"/>
  <c r="S182" i="13"/>
  <c r="R182" i="13"/>
  <c r="S188" i="13"/>
  <c r="Q188" i="13"/>
  <c r="P188" i="13"/>
  <c r="R188" i="13"/>
  <c r="R193" i="13"/>
  <c r="S193" i="13"/>
  <c r="Q193" i="13"/>
  <c r="P193" i="13"/>
  <c r="O193" i="13"/>
  <c r="J194" i="13"/>
  <c r="H194" i="13"/>
  <c r="T194" i="13"/>
  <c r="K194" i="13"/>
  <c r="L194" i="13" s="1"/>
  <c r="L246" i="13"/>
  <c r="T246" i="13"/>
  <c r="N246" i="13"/>
  <c r="S225" i="13"/>
  <c r="R225" i="13"/>
  <c r="O225" i="13"/>
  <c r="P225" i="13"/>
  <c r="Q225" i="13"/>
  <c r="K233" i="13"/>
  <c r="L233" i="13" s="1"/>
  <c r="J233" i="13"/>
  <c r="H233" i="13"/>
  <c r="N233" i="13"/>
  <c r="R169" i="13"/>
  <c r="R170" i="13"/>
  <c r="R174" i="13"/>
  <c r="T177" i="13"/>
  <c r="K190" i="13"/>
  <c r="L190" i="13" s="1"/>
  <c r="J190" i="13"/>
  <c r="Q190" i="13"/>
  <c r="N195" i="13"/>
  <c r="J199" i="13"/>
  <c r="H199" i="13"/>
  <c r="H202" i="13"/>
  <c r="K202" i="13"/>
  <c r="L202" i="13" s="1"/>
  <c r="J202" i="13"/>
  <c r="T210" i="13"/>
  <c r="H212" i="13"/>
  <c r="K212" i="13"/>
  <c r="L212" i="13" s="1"/>
  <c r="Q218" i="13"/>
  <c r="P218" i="13"/>
  <c r="S218" i="13"/>
  <c r="R218" i="13"/>
  <c r="O218" i="13"/>
  <c r="H220" i="13"/>
  <c r="K220" i="13"/>
  <c r="L220" i="13" s="1"/>
  <c r="Q224" i="13"/>
  <c r="S224" i="13"/>
  <c r="N229" i="13"/>
  <c r="K251" i="13"/>
  <c r="L251" i="13" s="1"/>
  <c r="J251" i="13"/>
  <c r="H251" i="13"/>
  <c r="P256" i="13"/>
  <c r="N259" i="13"/>
  <c r="T259" i="13"/>
  <c r="Q262" i="13"/>
  <c r="P262" i="13"/>
  <c r="R262" i="13"/>
  <c r="O262" i="13"/>
  <c r="S281" i="13"/>
  <c r="Q281" i="13"/>
  <c r="R281" i="13"/>
  <c r="P281" i="13"/>
  <c r="O281" i="13"/>
  <c r="T287" i="13"/>
  <c r="N287" i="13"/>
  <c r="S333" i="13"/>
  <c r="R333" i="13"/>
  <c r="P333" i="13"/>
  <c r="Q333" i="13"/>
  <c r="O333" i="13"/>
  <c r="T342" i="13"/>
  <c r="H169" i="13"/>
  <c r="S169" i="13"/>
  <c r="H173" i="13"/>
  <c r="J177" i="13"/>
  <c r="K177" i="13"/>
  <c r="L177" i="13" s="1"/>
  <c r="H177" i="13"/>
  <c r="R185" i="13"/>
  <c r="O185" i="13"/>
  <c r="T193" i="13"/>
  <c r="H210" i="13"/>
  <c r="K210" i="13"/>
  <c r="L210" i="13" s="1"/>
  <c r="J210" i="13"/>
  <c r="S213" i="13"/>
  <c r="R213" i="13"/>
  <c r="O213" i="13"/>
  <c r="Q213" i="13"/>
  <c r="P213" i="13"/>
  <c r="S221" i="13"/>
  <c r="R221" i="13"/>
  <c r="O221" i="13"/>
  <c r="Q221" i="13"/>
  <c r="P221" i="13"/>
  <c r="K229" i="13"/>
  <c r="L229" i="13" s="1"/>
  <c r="J229" i="13"/>
  <c r="H229" i="13"/>
  <c r="Q232" i="13"/>
  <c r="S232" i="13"/>
  <c r="R232" i="13"/>
  <c r="P232" i="13"/>
  <c r="T237" i="13"/>
  <c r="T241" i="13"/>
  <c r="K259" i="13"/>
  <c r="L259" i="13" s="1"/>
  <c r="H259" i="13"/>
  <c r="P307" i="13"/>
  <c r="O307" i="13"/>
  <c r="S307" i="13"/>
  <c r="Q307" i="13"/>
  <c r="R307" i="13"/>
  <c r="J310" i="13"/>
  <c r="H310" i="13"/>
  <c r="K310" i="13"/>
  <c r="L310" i="13" s="1"/>
  <c r="S349" i="13"/>
  <c r="R349" i="13"/>
  <c r="P349" i="13"/>
  <c r="Q349" i="13"/>
  <c r="O349" i="13"/>
  <c r="H188" i="13"/>
  <c r="J193" i="13"/>
  <c r="K193" i="13"/>
  <c r="L193" i="13" s="1"/>
  <c r="H193" i="13"/>
  <c r="H196" i="13"/>
  <c r="S197" i="13"/>
  <c r="R197" i="13"/>
  <c r="Q197" i="13"/>
  <c r="P197" i="13"/>
  <c r="O197" i="13"/>
  <c r="S200" i="13"/>
  <c r="R200" i="13"/>
  <c r="Q200" i="13"/>
  <c r="P200" i="13"/>
  <c r="N211" i="13"/>
  <c r="T211" i="13"/>
  <c r="N219" i="13"/>
  <c r="T219" i="13"/>
  <c r="N227" i="13"/>
  <c r="T227" i="13"/>
  <c r="Q230" i="13"/>
  <c r="P230" i="13"/>
  <c r="R230" i="13"/>
  <c r="O230" i="13"/>
  <c r="K237" i="13"/>
  <c r="L237" i="13" s="1"/>
  <c r="J237" i="13"/>
  <c r="H237" i="13"/>
  <c r="K241" i="13"/>
  <c r="L241" i="13" s="1"/>
  <c r="J241" i="13"/>
  <c r="H241" i="13"/>
  <c r="K247" i="13"/>
  <c r="L247" i="13" s="1"/>
  <c r="J247" i="13"/>
  <c r="H247" i="13"/>
  <c r="T247" i="13"/>
  <c r="Q254" i="13"/>
  <c r="P254" i="13"/>
  <c r="S254" i="13"/>
  <c r="R254" i="13"/>
  <c r="O254" i="13"/>
  <c r="Q260" i="13"/>
  <c r="S260" i="13"/>
  <c r="R260" i="13"/>
  <c r="S265" i="13"/>
  <c r="R265" i="13"/>
  <c r="O265" i="13"/>
  <c r="Q268" i="13"/>
  <c r="S268" i="13"/>
  <c r="R268" i="13"/>
  <c r="P268" i="13"/>
  <c r="H274" i="13"/>
  <c r="N274" i="13"/>
  <c r="S277" i="13"/>
  <c r="R277" i="13"/>
  <c r="Q277" i="13"/>
  <c r="O277" i="13"/>
  <c r="N283" i="13"/>
  <c r="H283" i="13"/>
  <c r="T283" i="13"/>
  <c r="J286" i="13"/>
  <c r="H286" i="13"/>
  <c r="K286" i="13"/>
  <c r="L286" i="13" s="1"/>
  <c r="S301" i="13"/>
  <c r="R301" i="13"/>
  <c r="P301" i="13"/>
  <c r="Q301" i="13"/>
  <c r="O301" i="13"/>
  <c r="S321" i="13"/>
  <c r="R321" i="13"/>
  <c r="P321" i="13"/>
  <c r="O321" i="13"/>
  <c r="Q321" i="13"/>
  <c r="R342" i="13"/>
  <c r="Q342" i="13"/>
  <c r="P342" i="13"/>
  <c r="O342" i="13"/>
  <c r="S342" i="13"/>
  <c r="K143" i="13"/>
  <c r="L143" i="13" s="1"/>
  <c r="J143" i="13"/>
  <c r="H143" i="13"/>
  <c r="K147" i="13"/>
  <c r="L147" i="13" s="1"/>
  <c r="J147" i="13"/>
  <c r="H147" i="13"/>
  <c r="K151" i="13"/>
  <c r="L151" i="13" s="1"/>
  <c r="J151" i="13"/>
  <c r="H151" i="13"/>
  <c r="K155" i="13"/>
  <c r="L155" i="13" s="1"/>
  <c r="J155" i="13"/>
  <c r="H155" i="13"/>
  <c r="K159" i="13"/>
  <c r="L159" i="13" s="1"/>
  <c r="J159" i="13"/>
  <c r="H159" i="13"/>
  <c r="K163" i="13"/>
  <c r="L163" i="13" s="1"/>
  <c r="J163" i="13"/>
  <c r="H163" i="13"/>
  <c r="K167" i="13"/>
  <c r="L167" i="13" s="1"/>
  <c r="J167" i="13"/>
  <c r="H167" i="13"/>
  <c r="K171" i="13"/>
  <c r="L171" i="13" s="1"/>
  <c r="J171" i="13"/>
  <c r="H171" i="13"/>
  <c r="K175" i="13"/>
  <c r="L175" i="13" s="1"/>
  <c r="J175" i="13"/>
  <c r="H175" i="13"/>
  <c r="Q185" i="13"/>
  <c r="J189" i="13"/>
  <c r="K189" i="13"/>
  <c r="L189" i="13" s="1"/>
  <c r="P189" i="13"/>
  <c r="N191" i="13"/>
  <c r="T191" i="13"/>
  <c r="T195" i="13"/>
  <c r="J196" i="13"/>
  <c r="T197" i="13"/>
  <c r="O200" i="13"/>
  <c r="K203" i="13"/>
  <c r="L203" i="13" s="1"/>
  <c r="O207" i="13"/>
  <c r="R207" i="13"/>
  <c r="Q207" i="13"/>
  <c r="P207" i="13"/>
  <c r="H209" i="13"/>
  <c r="K211" i="13"/>
  <c r="L211" i="13" s="1"/>
  <c r="J211" i="13"/>
  <c r="H211" i="13"/>
  <c r="K219" i="13"/>
  <c r="L219" i="13" s="1"/>
  <c r="J219" i="13"/>
  <c r="H219" i="13"/>
  <c r="R224" i="13"/>
  <c r="K227" i="13"/>
  <c r="L227" i="13" s="1"/>
  <c r="H227" i="13"/>
  <c r="S230" i="13"/>
  <c r="Q242" i="13"/>
  <c r="P242" i="13"/>
  <c r="N245" i="13"/>
  <c r="S257" i="13"/>
  <c r="R257" i="13"/>
  <c r="O257" i="13"/>
  <c r="P257" i="13"/>
  <c r="O260" i="13"/>
  <c r="K265" i="13"/>
  <c r="L265" i="13" s="1"/>
  <c r="J265" i="13"/>
  <c r="H265" i="13"/>
  <c r="O268" i="13"/>
  <c r="K277" i="13"/>
  <c r="L277" i="13" s="1"/>
  <c r="J277" i="13"/>
  <c r="H277" i="13"/>
  <c r="Q278" i="13"/>
  <c r="P278" i="13"/>
  <c r="O278" i="13"/>
  <c r="S278" i="13"/>
  <c r="R278" i="13"/>
  <c r="N290" i="13"/>
  <c r="T290" i="13"/>
  <c r="J178" i="13"/>
  <c r="H178" i="13"/>
  <c r="T180" i="13"/>
  <c r="P183" i="13"/>
  <c r="O183" i="13"/>
  <c r="P184" i="13"/>
  <c r="S185" i="13"/>
  <c r="Q189" i="13"/>
  <c r="K191" i="13"/>
  <c r="L191" i="13" s="1"/>
  <c r="J191" i="13"/>
  <c r="H191" i="13"/>
  <c r="K196" i="13"/>
  <c r="L196" i="13" s="1"/>
  <c r="S205" i="13"/>
  <c r="R205" i="13"/>
  <c r="O205" i="13"/>
  <c r="Q205" i="13"/>
  <c r="Q214" i="13"/>
  <c r="P214" i="13"/>
  <c r="S214" i="13"/>
  <c r="R214" i="13"/>
  <c r="O214" i="13"/>
  <c r="H216" i="13"/>
  <c r="K216" i="13"/>
  <c r="L216" i="13" s="1"/>
  <c r="Q222" i="13"/>
  <c r="P222" i="13"/>
  <c r="S222" i="13"/>
  <c r="R222" i="13"/>
  <c r="O222" i="13"/>
  <c r="Q228" i="13"/>
  <c r="S228" i="13"/>
  <c r="R228" i="13"/>
  <c r="O242" i="13"/>
  <c r="N250" i="13"/>
  <c r="N255" i="13"/>
  <c r="T255" i="13"/>
  <c r="P260" i="13"/>
  <c r="P261" i="13"/>
  <c r="N263" i="13"/>
  <c r="T263" i="13"/>
  <c r="Q266" i="13"/>
  <c r="P266" i="13"/>
  <c r="R266" i="13"/>
  <c r="O266" i="13"/>
  <c r="S266" i="13"/>
  <c r="S272" i="13"/>
  <c r="Q272" i="13"/>
  <c r="R272" i="13"/>
  <c r="S362" i="13"/>
  <c r="R362" i="13"/>
  <c r="P362" i="13"/>
  <c r="Q362" i="13"/>
  <c r="O362" i="13"/>
  <c r="K255" i="13"/>
  <c r="L255" i="13" s="1"/>
  <c r="J255" i="13"/>
  <c r="H255" i="13"/>
  <c r="Q258" i="13"/>
  <c r="P258" i="13"/>
  <c r="S258" i="13"/>
  <c r="R258" i="13"/>
  <c r="O258" i="13"/>
  <c r="J259" i="13"/>
  <c r="N269" i="13"/>
  <c r="K276" i="13"/>
  <c r="L276" i="13" s="1"/>
  <c r="H276" i="13"/>
  <c r="N279" i="13"/>
  <c r="H279" i="13"/>
  <c r="T279" i="13"/>
  <c r="N299" i="13"/>
  <c r="H299" i="13"/>
  <c r="T299" i="13"/>
  <c r="K188" i="13"/>
  <c r="L188" i="13" s="1"/>
  <c r="J188" i="13"/>
  <c r="P190" i="13"/>
  <c r="S190" i="13"/>
  <c r="H198" i="13"/>
  <c r="J198" i="13"/>
  <c r="K201" i="13"/>
  <c r="L201" i="13" s="1"/>
  <c r="J201" i="13"/>
  <c r="H201" i="13"/>
  <c r="N209" i="13"/>
  <c r="N215" i="13"/>
  <c r="T215" i="13"/>
  <c r="N223" i="13"/>
  <c r="T223" i="13"/>
  <c r="N231" i="13"/>
  <c r="T231" i="13"/>
  <c r="Q256" i="13"/>
  <c r="S256" i="13"/>
  <c r="S261" i="13"/>
  <c r="R261" i="13"/>
  <c r="O261" i="13"/>
  <c r="K269" i="13"/>
  <c r="L269" i="13" s="1"/>
  <c r="J269" i="13"/>
  <c r="H269" i="13"/>
  <c r="K293" i="13"/>
  <c r="L293" i="13" s="1"/>
  <c r="N293" i="13"/>
  <c r="J293" i="13"/>
  <c r="H293" i="13"/>
  <c r="N334" i="13"/>
  <c r="T334" i="13"/>
  <c r="H144" i="13"/>
  <c r="H148" i="13"/>
  <c r="H152" i="13"/>
  <c r="H156" i="13"/>
  <c r="H160" i="13"/>
  <c r="H164" i="13"/>
  <c r="H168" i="13"/>
  <c r="Q169" i="13"/>
  <c r="Q170" i="13"/>
  <c r="H172" i="13"/>
  <c r="Q174" i="13"/>
  <c r="N177" i="13"/>
  <c r="N179" i="13"/>
  <c r="R183" i="13"/>
  <c r="S184" i="13"/>
  <c r="T190" i="13"/>
  <c r="O190" i="13"/>
  <c r="J192" i="13"/>
  <c r="H192" i="13"/>
  <c r="H197" i="13"/>
  <c r="N199" i="13"/>
  <c r="T199" i="13"/>
  <c r="T202" i="13"/>
  <c r="Q206" i="13"/>
  <c r="P206" i="13"/>
  <c r="R206" i="13"/>
  <c r="O206" i="13"/>
  <c r="N210" i="13"/>
  <c r="K215" i="13"/>
  <c r="L215" i="13" s="1"/>
  <c r="J215" i="13"/>
  <c r="H215" i="13"/>
  <c r="K223" i="13"/>
  <c r="L223" i="13" s="1"/>
  <c r="J223" i="13"/>
  <c r="H223" i="13"/>
  <c r="Q226" i="13"/>
  <c r="P226" i="13"/>
  <c r="S226" i="13"/>
  <c r="R226" i="13"/>
  <c r="O226" i="13"/>
  <c r="Q234" i="13"/>
  <c r="P234" i="13"/>
  <c r="O234" i="13"/>
  <c r="R234" i="13"/>
  <c r="Q236" i="13"/>
  <c r="S236" i="13"/>
  <c r="R236" i="13"/>
  <c r="P236" i="13"/>
  <c r="O236" i="13"/>
  <c r="N237" i="13"/>
  <c r="N251" i="13"/>
  <c r="T251" i="13"/>
  <c r="S253" i="13"/>
  <c r="R253" i="13"/>
  <c r="O253" i="13"/>
  <c r="Q253" i="13"/>
  <c r="P253" i="13"/>
  <c r="O256" i="13"/>
  <c r="K261" i="13"/>
  <c r="L261" i="13" s="1"/>
  <c r="J261" i="13"/>
  <c r="H261" i="13"/>
  <c r="Q264" i="13"/>
  <c r="S264" i="13"/>
  <c r="R264" i="13"/>
  <c r="P264" i="13"/>
  <c r="Q270" i="13"/>
  <c r="P270" i="13"/>
  <c r="R270" i="13"/>
  <c r="O270" i="13"/>
  <c r="S270" i="13"/>
  <c r="K303" i="13"/>
  <c r="L303" i="13" s="1"/>
  <c r="J303" i="13"/>
  <c r="H303" i="13"/>
  <c r="P311" i="13"/>
  <c r="O311" i="13"/>
  <c r="S311" i="13"/>
  <c r="R311" i="13"/>
  <c r="Q311" i="13"/>
  <c r="K337" i="13"/>
  <c r="L337" i="13" s="1"/>
  <c r="J337" i="13"/>
  <c r="K345" i="13"/>
  <c r="L345" i="13" s="1"/>
  <c r="J345" i="13"/>
  <c r="N345" i="13"/>
  <c r="R346" i="13"/>
  <c r="Q346" i="13"/>
  <c r="P346" i="13"/>
  <c r="S346" i="13"/>
  <c r="O346" i="13"/>
  <c r="K351" i="13"/>
  <c r="L351" i="13" s="1"/>
  <c r="J351" i="13"/>
  <c r="H351" i="13"/>
  <c r="K373" i="13"/>
  <c r="L373" i="13" s="1"/>
  <c r="H373" i="13"/>
  <c r="K374" i="13"/>
  <c r="L374" i="13" s="1"/>
  <c r="J374" i="13"/>
  <c r="H374" i="13"/>
  <c r="N392" i="13"/>
  <c r="T392" i="13"/>
  <c r="H401" i="13"/>
  <c r="K401" i="13"/>
  <c r="L401" i="13" s="1"/>
  <c r="H405" i="13"/>
  <c r="K405" i="13"/>
  <c r="L405" i="13" s="1"/>
  <c r="S406" i="13"/>
  <c r="R406" i="13"/>
  <c r="O406" i="13"/>
  <c r="P406" i="13"/>
  <c r="Q406" i="13"/>
  <c r="N807" i="13"/>
  <c r="T807" i="13"/>
  <c r="H829" i="13"/>
  <c r="K829" i="13"/>
  <c r="L829" i="13" s="1"/>
  <c r="T829" i="13"/>
  <c r="J829" i="13"/>
  <c r="N829" i="13"/>
  <c r="S378" i="13"/>
  <c r="R378" i="13"/>
  <c r="P378" i="13"/>
  <c r="O378" i="13"/>
  <c r="Q378" i="13"/>
  <c r="S410" i="13"/>
  <c r="R410" i="13"/>
  <c r="O410" i="13"/>
  <c r="P410" i="13"/>
  <c r="Q410" i="13"/>
  <c r="S425" i="13"/>
  <c r="R425" i="13"/>
  <c r="Q425" i="13"/>
  <c r="O425" i="13"/>
  <c r="P425" i="13"/>
  <c r="S441" i="13"/>
  <c r="R441" i="13"/>
  <c r="Q441" i="13"/>
  <c r="O441" i="13"/>
  <c r="O476" i="13"/>
  <c r="S476" i="13"/>
  <c r="R476" i="13"/>
  <c r="Q476" i="13"/>
  <c r="P476" i="13"/>
  <c r="N490" i="13"/>
  <c r="T490" i="13"/>
  <c r="K568" i="13"/>
  <c r="L568" i="13" s="1"/>
  <c r="J568" i="13"/>
  <c r="H568" i="13"/>
  <c r="T568" i="13"/>
  <c r="K672" i="13"/>
  <c r="L672" i="13" s="1"/>
  <c r="H672" i="13"/>
  <c r="N672" i="13"/>
  <c r="J672" i="13"/>
  <c r="S771" i="13"/>
  <c r="R771" i="13"/>
  <c r="Q771" i="13"/>
  <c r="P771" i="13"/>
  <c r="O771" i="13"/>
  <c r="J287" i="13"/>
  <c r="H287" i="13"/>
  <c r="J290" i="13"/>
  <c r="H290" i="13"/>
  <c r="K290" i="13"/>
  <c r="L290" i="13" s="1"/>
  <c r="R294" i="13"/>
  <c r="Q294" i="13"/>
  <c r="P294" i="13"/>
  <c r="O294" i="13"/>
  <c r="S304" i="13"/>
  <c r="R304" i="13"/>
  <c r="Q304" i="13"/>
  <c r="O304" i="13"/>
  <c r="R312" i="13"/>
  <c r="K317" i="13"/>
  <c r="L317" i="13" s="1"/>
  <c r="J317" i="13"/>
  <c r="H317" i="13"/>
  <c r="S325" i="13"/>
  <c r="R325" i="13"/>
  <c r="P325" i="13"/>
  <c r="Q325" i="13"/>
  <c r="O325" i="13"/>
  <c r="P335" i="13"/>
  <c r="O335" i="13"/>
  <c r="S335" i="13"/>
  <c r="P339" i="13"/>
  <c r="O339" i="13"/>
  <c r="S339" i="13"/>
  <c r="Q339" i="13"/>
  <c r="R339" i="13"/>
  <c r="J342" i="13"/>
  <c r="H342" i="13"/>
  <c r="K342" i="13"/>
  <c r="L342" i="13" s="1"/>
  <c r="K364" i="13"/>
  <c r="L364" i="13" s="1"/>
  <c r="H364" i="13"/>
  <c r="H381" i="13"/>
  <c r="K381" i="13"/>
  <c r="L381" i="13" s="1"/>
  <c r="S382" i="13"/>
  <c r="R382" i="13"/>
  <c r="O382" i="13"/>
  <c r="P382" i="13"/>
  <c r="Q382" i="13"/>
  <c r="N400" i="13"/>
  <c r="T400" i="13"/>
  <c r="H409" i="13"/>
  <c r="K409" i="13"/>
  <c r="L409" i="13" s="1"/>
  <c r="H413" i="13"/>
  <c r="K413" i="13"/>
  <c r="L413" i="13" s="1"/>
  <c r="S414" i="13"/>
  <c r="R414" i="13"/>
  <c r="O414" i="13"/>
  <c r="P414" i="13"/>
  <c r="Q414" i="13"/>
  <c r="H422" i="13"/>
  <c r="N435" i="13"/>
  <c r="T435" i="13"/>
  <c r="P441" i="13"/>
  <c r="T486" i="13"/>
  <c r="N486" i="13"/>
  <c r="J203" i="13"/>
  <c r="T203" i="13"/>
  <c r="K209" i="13"/>
  <c r="L209" i="13" s="1"/>
  <c r="J209" i="13"/>
  <c r="O235" i="13"/>
  <c r="S235" i="13"/>
  <c r="K245" i="13"/>
  <c r="L245" i="13" s="1"/>
  <c r="J245" i="13"/>
  <c r="N249" i="13"/>
  <c r="H258" i="13"/>
  <c r="O271" i="13"/>
  <c r="S271" i="13"/>
  <c r="S276" i="13"/>
  <c r="Q276" i="13"/>
  <c r="K280" i="13"/>
  <c r="L280" i="13" s="1"/>
  <c r="H280" i="13"/>
  <c r="H284" i="13"/>
  <c r="N288" i="13"/>
  <c r="H288" i="13"/>
  <c r="S297" i="13"/>
  <c r="R297" i="13"/>
  <c r="Q297" i="13"/>
  <c r="O297" i="13"/>
  <c r="P304" i="13"/>
  <c r="S305" i="13"/>
  <c r="R305" i="13"/>
  <c r="Q305" i="13"/>
  <c r="N318" i="13"/>
  <c r="T318" i="13"/>
  <c r="H320" i="13"/>
  <c r="K321" i="13"/>
  <c r="L321" i="13" s="1"/>
  <c r="J321" i="13"/>
  <c r="K329" i="13"/>
  <c r="L329" i="13" s="1"/>
  <c r="J329" i="13"/>
  <c r="N329" i="13"/>
  <c r="R330" i="13"/>
  <c r="Q330" i="13"/>
  <c r="P330" i="13"/>
  <c r="S330" i="13"/>
  <c r="O330" i="13"/>
  <c r="K335" i="13"/>
  <c r="L335" i="13" s="1"/>
  <c r="J335" i="13"/>
  <c r="H335" i="13"/>
  <c r="P343" i="13"/>
  <c r="O343" i="13"/>
  <c r="S343" i="13"/>
  <c r="R343" i="13"/>
  <c r="Q343" i="13"/>
  <c r="S353" i="13"/>
  <c r="R353" i="13"/>
  <c r="P353" i="13"/>
  <c r="O353" i="13"/>
  <c r="S386" i="13"/>
  <c r="S418" i="13"/>
  <c r="R418" i="13"/>
  <c r="O418" i="13"/>
  <c r="P418" i="13"/>
  <c r="Q418" i="13"/>
  <c r="S429" i="13"/>
  <c r="R429" i="13"/>
  <c r="Q429" i="13"/>
  <c r="O436" i="13"/>
  <c r="S436" i="13"/>
  <c r="R436" i="13"/>
  <c r="Q436" i="13"/>
  <c r="K187" i="13"/>
  <c r="L187" i="13" s="1"/>
  <c r="O208" i="13"/>
  <c r="K235" i="13"/>
  <c r="L235" i="13" s="1"/>
  <c r="P235" i="13"/>
  <c r="O239" i="13"/>
  <c r="S239" i="13"/>
  <c r="K249" i="13"/>
  <c r="L249" i="13" s="1"/>
  <c r="J249" i="13"/>
  <c r="K267" i="13"/>
  <c r="L267" i="13" s="1"/>
  <c r="K271" i="13"/>
  <c r="L271" i="13" s="1"/>
  <c r="P271" i="13"/>
  <c r="S273" i="13"/>
  <c r="R273" i="13"/>
  <c r="Q273" i="13"/>
  <c r="O273" i="13"/>
  <c r="O276" i="13"/>
  <c r="H278" i="13"/>
  <c r="K281" i="13"/>
  <c r="L281" i="13" s="1"/>
  <c r="J281" i="13"/>
  <c r="H281" i="13"/>
  <c r="P291" i="13"/>
  <c r="O291" i="13"/>
  <c r="S291" i="13"/>
  <c r="P297" i="13"/>
  <c r="O305" i="13"/>
  <c r="R326" i="13"/>
  <c r="Q326" i="13"/>
  <c r="P326" i="13"/>
  <c r="T326" i="13"/>
  <c r="H337" i="13"/>
  <c r="R344" i="13"/>
  <c r="S344" i="13"/>
  <c r="P344" i="13"/>
  <c r="O344" i="13"/>
  <c r="H345" i="13"/>
  <c r="K349" i="13"/>
  <c r="L349" i="13" s="1"/>
  <c r="J349" i="13"/>
  <c r="H349" i="13"/>
  <c r="Q353" i="13"/>
  <c r="S357" i="13"/>
  <c r="R357" i="13"/>
  <c r="P357" i="13"/>
  <c r="Q357" i="13"/>
  <c r="O357" i="13"/>
  <c r="T371" i="13"/>
  <c r="N371" i="13"/>
  <c r="H385" i="13"/>
  <c r="K385" i="13"/>
  <c r="L385" i="13" s="1"/>
  <c r="H389" i="13"/>
  <c r="K389" i="13"/>
  <c r="L389" i="13" s="1"/>
  <c r="S390" i="13"/>
  <c r="R390" i="13"/>
  <c r="O390" i="13"/>
  <c r="P390" i="13"/>
  <c r="Q390" i="13"/>
  <c r="N408" i="13"/>
  <c r="T408" i="13"/>
  <c r="H417" i="13"/>
  <c r="K417" i="13"/>
  <c r="L417" i="13" s="1"/>
  <c r="H421" i="13"/>
  <c r="K421" i="13"/>
  <c r="L421" i="13" s="1"/>
  <c r="S422" i="13"/>
  <c r="R422" i="13"/>
  <c r="Q422" i="13"/>
  <c r="O422" i="13"/>
  <c r="P422" i="13"/>
  <c r="O429" i="13"/>
  <c r="S437" i="13"/>
  <c r="R437" i="13"/>
  <c r="Q437" i="13"/>
  <c r="P437" i="13"/>
  <c r="O437" i="13"/>
  <c r="T438" i="13"/>
  <c r="N443" i="13"/>
  <c r="T443" i="13"/>
  <c r="S450" i="13"/>
  <c r="R450" i="13"/>
  <c r="Q450" i="13"/>
  <c r="P450" i="13"/>
  <c r="O450" i="13"/>
  <c r="J605" i="13"/>
  <c r="H605" i="13"/>
  <c r="K605" i="13"/>
  <c r="L605" i="13" s="1"/>
  <c r="T605" i="13"/>
  <c r="S616" i="13"/>
  <c r="R616" i="13"/>
  <c r="Q616" i="13"/>
  <c r="P616" i="13"/>
  <c r="O616" i="13"/>
  <c r="N639" i="13"/>
  <c r="H639" i="13"/>
  <c r="T639" i="13"/>
  <c r="N187" i="13"/>
  <c r="N203" i="13"/>
  <c r="K213" i="13"/>
  <c r="L213" i="13" s="1"/>
  <c r="J213" i="13"/>
  <c r="K217" i="13"/>
  <c r="L217" i="13" s="1"/>
  <c r="J217" i="13"/>
  <c r="K221" i="13"/>
  <c r="L221" i="13" s="1"/>
  <c r="J221" i="13"/>
  <c r="Q235" i="13"/>
  <c r="K239" i="13"/>
  <c r="L239" i="13" s="1"/>
  <c r="P239" i="13"/>
  <c r="N243" i="13"/>
  <c r="O244" i="13"/>
  <c r="K253" i="13"/>
  <c r="L253" i="13" s="1"/>
  <c r="J253" i="13"/>
  <c r="H266" i="13"/>
  <c r="Q267" i="13"/>
  <c r="H270" i="13"/>
  <c r="Q271" i="13"/>
  <c r="K272" i="13"/>
  <c r="L272" i="13" s="1"/>
  <c r="H272" i="13"/>
  <c r="P273" i="13"/>
  <c r="P276" i="13"/>
  <c r="T288" i="13"/>
  <c r="Q291" i="13"/>
  <c r="K292" i="13"/>
  <c r="L292" i="13" s="1"/>
  <c r="H292" i="13"/>
  <c r="P295" i="13"/>
  <c r="O295" i="13"/>
  <c r="R295" i="13"/>
  <c r="Q295" i="13"/>
  <c r="S295" i="13"/>
  <c r="K297" i="13"/>
  <c r="L297" i="13" s="1"/>
  <c r="J297" i="13"/>
  <c r="R302" i="13"/>
  <c r="Q302" i="13"/>
  <c r="P302" i="13"/>
  <c r="O302" i="13"/>
  <c r="T305" i="13"/>
  <c r="P305" i="13"/>
  <c r="S309" i="13"/>
  <c r="R309" i="13"/>
  <c r="P309" i="13"/>
  <c r="Q309" i="13"/>
  <c r="O309" i="13"/>
  <c r="N319" i="13"/>
  <c r="P323" i="13"/>
  <c r="O323" i="13"/>
  <c r="S323" i="13"/>
  <c r="Q323" i="13"/>
  <c r="R323" i="13"/>
  <c r="J326" i="13"/>
  <c r="H326" i="13"/>
  <c r="K326" i="13"/>
  <c r="L326" i="13" s="1"/>
  <c r="Q344" i="13"/>
  <c r="N350" i="13"/>
  <c r="T350" i="13"/>
  <c r="K353" i="13"/>
  <c r="L353" i="13" s="1"/>
  <c r="J353" i="13"/>
  <c r="N374" i="13"/>
  <c r="Q394" i="13"/>
  <c r="P429" i="13"/>
  <c r="S453" i="13"/>
  <c r="R453" i="13"/>
  <c r="Q453" i="13"/>
  <c r="P453" i="13"/>
  <c r="O453" i="13"/>
  <c r="N464" i="13"/>
  <c r="T464" i="13"/>
  <c r="H477" i="13"/>
  <c r="K477" i="13"/>
  <c r="L477" i="13" s="1"/>
  <c r="N483" i="13"/>
  <c r="T483" i="13"/>
  <c r="S497" i="13"/>
  <c r="R497" i="13"/>
  <c r="Q497" i="13"/>
  <c r="P497" i="13"/>
  <c r="O497" i="13"/>
  <c r="N514" i="13"/>
  <c r="T514" i="13"/>
  <c r="Q525" i="13"/>
  <c r="P525" i="13"/>
  <c r="O525" i="13"/>
  <c r="R525" i="13"/>
  <c r="T188" i="13"/>
  <c r="K205" i="13"/>
  <c r="L205" i="13" s="1"/>
  <c r="J205" i="13"/>
  <c r="K225" i="13"/>
  <c r="L225" i="13" s="1"/>
  <c r="J225" i="13"/>
  <c r="R235" i="13"/>
  <c r="Q238" i="13"/>
  <c r="P238" i="13"/>
  <c r="K243" i="13"/>
  <c r="L243" i="13" s="1"/>
  <c r="N247" i="13"/>
  <c r="K257" i="13"/>
  <c r="L257" i="13" s="1"/>
  <c r="J257" i="13"/>
  <c r="R271" i="13"/>
  <c r="K273" i="13"/>
  <c r="L273" i="13" s="1"/>
  <c r="J273" i="13"/>
  <c r="H273" i="13"/>
  <c r="T273" i="13"/>
  <c r="O275" i="13"/>
  <c r="S275" i="13"/>
  <c r="R276" i="13"/>
  <c r="S280" i="13"/>
  <c r="Q280" i="13"/>
  <c r="R282" i="13"/>
  <c r="Q282" i="13"/>
  <c r="O282" i="13"/>
  <c r="S282" i="13"/>
  <c r="N284" i="13"/>
  <c r="T284" i="13"/>
  <c r="K287" i="13"/>
  <c r="L287" i="13" s="1"/>
  <c r="S289" i="13"/>
  <c r="R289" i="13"/>
  <c r="Q289" i="13"/>
  <c r="O289" i="13"/>
  <c r="R291" i="13"/>
  <c r="N298" i="13"/>
  <c r="K305" i="13"/>
  <c r="L305" i="13" s="1"/>
  <c r="J305" i="13"/>
  <c r="H305" i="13"/>
  <c r="K313" i="13"/>
  <c r="L313" i="13" s="1"/>
  <c r="J313" i="13"/>
  <c r="N313" i="13"/>
  <c r="R314" i="13"/>
  <c r="Q314" i="13"/>
  <c r="P314" i="13"/>
  <c r="S314" i="13"/>
  <c r="O314" i="13"/>
  <c r="K319" i="13"/>
  <c r="L319" i="13" s="1"/>
  <c r="J319" i="13"/>
  <c r="H319" i="13"/>
  <c r="P327" i="13"/>
  <c r="O327" i="13"/>
  <c r="S327" i="13"/>
  <c r="R327" i="13"/>
  <c r="Q327" i="13"/>
  <c r="T333" i="13"/>
  <c r="N337" i="13"/>
  <c r="N358" i="13"/>
  <c r="Q363" i="13"/>
  <c r="P363" i="13"/>
  <c r="S363" i="13"/>
  <c r="R363" i="13"/>
  <c r="J368" i="13"/>
  <c r="H368" i="13"/>
  <c r="T368" i="13"/>
  <c r="N384" i="13"/>
  <c r="T384" i="13"/>
  <c r="H393" i="13"/>
  <c r="K393" i="13"/>
  <c r="L393" i="13" s="1"/>
  <c r="H397" i="13"/>
  <c r="K397" i="13"/>
  <c r="L397" i="13" s="1"/>
  <c r="S398" i="13"/>
  <c r="R398" i="13"/>
  <c r="O398" i="13"/>
  <c r="P398" i="13"/>
  <c r="Q398" i="13"/>
  <c r="H406" i="13"/>
  <c r="N416" i="13"/>
  <c r="T416" i="13"/>
  <c r="S438" i="13"/>
  <c r="R438" i="13"/>
  <c r="Q438" i="13"/>
  <c r="P438" i="13"/>
  <c r="O438" i="13"/>
  <c r="N439" i="13"/>
  <c r="T439" i="13"/>
  <c r="N459" i="13"/>
  <c r="T459" i="13"/>
  <c r="K275" i="13"/>
  <c r="L275" i="13" s="1"/>
  <c r="T286" i="13"/>
  <c r="J298" i="13"/>
  <c r="H298" i="13"/>
  <c r="T298" i="13"/>
  <c r="R306" i="13"/>
  <c r="Q306" i="13"/>
  <c r="P306" i="13"/>
  <c r="S306" i="13"/>
  <c r="O306" i="13"/>
  <c r="N310" i="13"/>
  <c r="T310" i="13"/>
  <c r="N317" i="13"/>
  <c r="R328" i="13"/>
  <c r="S328" i="13"/>
  <c r="P328" i="13"/>
  <c r="O328" i="13"/>
  <c r="K333" i="13"/>
  <c r="L333" i="13" s="1"/>
  <c r="J333" i="13"/>
  <c r="H333" i="13"/>
  <c r="S341" i="13"/>
  <c r="R341" i="13"/>
  <c r="P341" i="13"/>
  <c r="Q341" i="13"/>
  <c r="O341" i="13"/>
  <c r="N351" i="13"/>
  <c r="P355" i="13"/>
  <c r="O355" i="13"/>
  <c r="S355" i="13"/>
  <c r="Q355" i="13"/>
  <c r="R355" i="13"/>
  <c r="J358" i="13"/>
  <c r="H358" i="13"/>
  <c r="K358" i="13"/>
  <c r="L358" i="13" s="1"/>
  <c r="K365" i="13"/>
  <c r="L365" i="13" s="1"/>
  <c r="H365" i="13"/>
  <c r="T374" i="13"/>
  <c r="S402" i="13"/>
  <c r="R402" i="13"/>
  <c r="O402" i="13"/>
  <c r="P402" i="13"/>
  <c r="Q402" i="13"/>
  <c r="N430" i="13"/>
  <c r="T430" i="13"/>
  <c r="S454" i="13"/>
  <c r="R454" i="13"/>
  <c r="Q454" i="13"/>
  <c r="P454" i="13"/>
  <c r="O454" i="13"/>
  <c r="N455" i="13"/>
  <c r="T455" i="13"/>
  <c r="N286" i="13"/>
  <c r="N296" i="13"/>
  <c r="T296" i="13"/>
  <c r="T297" i="13"/>
  <c r="K301" i="13"/>
  <c r="L301" i="13" s="1"/>
  <c r="J301" i="13"/>
  <c r="N303" i="13"/>
  <c r="S308" i="13"/>
  <c r="J314" i="13"/>
  <c r="H314" i="13"/>
  <c r="T321" i="13"/>
  <c r="S324" i="13"/>
  <c r="J330" i="13"/>
  <c r="H330" i="13"/>
  <c r="T337" i="13"/>
  <c r="S340" i="13"/>
  <c r="J346" i="13"/>
  <c r="H346" i="13"/>
  <c r="T353" i="13"/>
  <c r="S356" i="13"/>
  <c r="T359" i="13"/>
  <c r="N359" i="13"/>
  <c r="K362" i="13"/>
  <c r="L362" i="13" s="1"/>
  <c r="J362" i="13"/>
  <c r="H362" i="13"/>
  <c r="S366" i="13"/>
  <c r="R366" i="13"/>
  <c r="O366" i="13"/>
  <c r="Q366" i="13"/>
  <c r="K370" i="13"/>
  <c r="L370" i="13" s="1"/>
  <c r="J370" i="13"/>
  <c r="Q379" i="13"/>
  <c r="P379" i="13"/>
  <c r="S379" i="13"/>
  <c r="R379" i="13"/>
  <c r="O379" i="13"/>
  <c r="Q385" i="13"/>
  <c r="R385" i="13"/>
  <c r="Q387" i="13"/>
  <c r="P387" i="13"/>
  <c r="S387" i="13"/>
  <c r="R387" i="13"/>
  <c r="O387" i="13"/>
  <c r="Q393" i="13"/>
  <c r="R393" i="13"/>
  <c r="Q395" i="13"/>
  <c r="P395" i="13"/>
  <c r="S395" i="13"/>
  <c r="R395" i="13"/>
  <c r="O395" i="13"/>
  <c r="Q403" i="13"/>
  <c r="P403" i="13"/>
  <c r="S403" i="13"/>
  <c r="R403" i="13"/>
  <c r="O403" i="13"/>
  <c r="Q411" i="13"/>
  <c r="P411" i="13"/>
  <c r="S411" i="13"/>
  <c r="R411" i="13"/>
  <c r="O411" i="13"/>
  <c r="Q417" i="13"/>
  <c r="R417" i="13"/>
  <c r="Q419" i="13"/>
  <c r="P419" i="13"/>
  <c r="S419" i="13"/>
  <c r="R419" i="13"/>
  <c r="O419" i="13"/>
  <c r="S446" i="13"/>
  <c r="R446" i="13"/>
  <c r="Q446" i="13"/>
  <c r="P446" i="13"/>
  <c r="O446" i="13"/>
  <c r="K454" i="13"/>
  <c r="L454" i="13" s="1"/>
  <c r="J454" i="13"/>
  <c r="H454" i="13"/>
  <c r="H459" i="13"/>
  <c r="N470" i="13"/>
  <c r="S478" i="13"/>
  <c r="R478" i="13"/>
  <c r="P478" i="13"/>
  <c r="O478" i="13"/>
  <c r="Q478" i="13"/>
  <c r="K486" i="13"/>
  <c r="L486" i="13" s="1"/>
  <c r="J486" i="13"/>
  <c r="H486" i="13"/>
  <c r="S493" i="13"/>
  <c r="R493" i="13"/>
  <c r="Q493" i="13"/>
  <c r="P493" i="13"/>
  <c r="O493" i="13"/>
  <c r="K514" i="13"/>
  <c r="L514" i="13" s="1"/>
  <c r="J514" i="13"/>
  <c r="H514" i="13"/>
  <c r="K567" i="13"/>
  <c r="L567" i="13" s="1"/>
  <c r="H567" i="13"/>
  <c r="J318" i="13"/>
  <c r="H318" i="13"/>
  <c r="J334" i="13"/>
  <c r="H334" i="13"/>
  <c r="J350" i="13"/>
  <c r="H350" i="13"/>
  <c r="N360" i="13"/>
  <c r="T360" i="13"/>
  <c r="H363" i="13"/>
  <c r="K363" i="13"/>
  <c r="L363" i="13" s="1"/>
  <c r="H371" i="13"/>
  <c r="K371" i="13"/>
  <c r="L371" i="13" s="1"/>
  <c r="J371" i="13"/>
  <c r="N423" i="13"/>
  <c r="T423" i="13"/>
  <c r="N427" i="13"/>
  <c r="T427" i="13"/>
  <c r="S434" i="13"/>
  <c r="R434" i="13"/>
  <c r="Q434" i="13"/>
  <c r="P434" i="13"/>
  <c r="O434" i="13"/>
  <c r="K438" i="13"/>
  <c r="L438" i="13" s="1"/>
  <c r="J438" i="13"/>
  <c r="H438" i="13"/>
  <c r="H443" i="13"/>
  <c r="K453" i="13"/>
  <c r="L453" i="13" s="1"/>
  <c r="H453" i="13"/>
  <c r="T466" i="13"/>
  <c r="N466" i="13"/>
  <c r="Q511" i="13"/>
  <c r="P511" i="13"/>
  <c r="O511" i="13"/>
  <c r="S511" i="13"/>
  <c r="R511" i="13"/>
  <c r="K547" i="13"/>
  <c r="L547" i="13" s="1"/>
  <c r="H547" i="13"/>
  <c r="N552" i="13"/>
  <c r="T552" i="13"/>
  <c r="K556" i="13"/>
  <c r="L556" i="13" s="1"/>
  <c r="J556" i="13"/>
  <c r="H556" i="13"/>
  <c r="K285" i="13"/>
  <c r="L285" i="13" s="1"/>
  <c r="O285" i="13"/>
  <c r="J294" i="13"/>
  <c r="H294" i="13"/>
  <c r="J306" i="13"/>
  <c r="H306" i="13"/>
  <c r="K309" i="13"/>
  <c r="L309" i="13" s="1"/>
  <c r="J309" i="13"/>
  <c r="N315" i="13"/>
  <c r="Q316" i="13"/>
  <c r="O320" i="13"/>
  <c r="N322" i="13"/>
  <c r="K325" i="13"/>
  <c r="L325" i="13" s="1"/>
  <c r="J325" i="13"/>
  <c r="N331" i="13"/>
  <c r="Q332" i="13"/>
  <c r="O336" i="13"/>
  <c r="N338" i="13"/>
  <c r="K341" i="13"/>
  <c r="L341" i="13" s="1"/>
  <c r="J341" i="13"/>
  <c r="N347" i="13"/>
  <c r="Q348" i="13"/>
  <c r="O352" i="13"/>
  <c r="N354" i="13"/>
  <c r="K357" i="13"/>
  <c r="L357" i="13" s="1"/>
  <c r="J357" i="13"/>
  <c r="J360" i="13"/>
  <c r="H360" i="13"/>
  <c r="T363" i="13"/>
  <c r="Q367" i="13"/>
  <c r="P367" i="13"/>
  <c r="R367" i="13"/>
  <c r="O367" i="13"/>
  <c r="S367" i="13"/>
  <c r="Q369" i="13"/>
  <c r="P369" i="13"/>
  <c r="O369" i="13"/>
  <c r="N372" i="13"/>
  <c r="T372" i="13"/>
  <c r="Q375" i="13"/>
  <c r="P375" i="13"/>
  <c r="O375" i="13"/>
  <c r="N380" i="13"/>
  <c r="T380" i="13"/>
  <c r="S385" i="13"/>
  <c r="N388" i="13"/>
  <c r="T388" i="13"/>
  <c r="S393" i="13"/>
  <c r="N396" i="13"/>
  <c r="T396" i="13"/>
  <c r="H402" i="13"/>
  <c r="N404" i="13"/>
  <c r="T404" i="13"/>
  <c r="H410" i="13"/>
  <c r="N412" i="13"/>
  <c r="T412" i="13"/>
  <c r="S417" i="13"/>
  <c r="H418" i="13"/>
  <c r="N420" i="13"/>
  <c r="T420" i="13"/>
  <c r="H427" i="13"/>
  <c r="N451" i="13"/>
  <c r="T451" i="13"/>
  <c r="K466" i="13"/>
  <c r="L466" i="13" s="1"/>
  <c r="J466" i="13"/>
  <c r="H466" i="13"/>
  <c r="O484" i="13"/>
  <c r="S484" i="13"/>
  <c r="Q484" i="13"/>
  <c r="O496" i="13"/>
  <c r="S496" i="13"/>
  <c r="R496" i="13"/>
  <c r="P496" i="13"/>
  <c r="J282" i="13"/>
  <c r="H282" i="13"/>
  <c r="P285" i="13"/>
  <c r="H289" i="13"/>
  <c r="T293" i="13"/>
  <c r="J302" i="13"/>
  <c r="H302" i="13"/>
  <c r="T313" i="13"/>
  <c r="P320" i="13"/>
  <c r="J322" i="13"/>
  <c r="H322" i="13"/>
  <c r="T329" i="13"/>
  <c r="P336" i="13"/>
  <c r="J338" i="13"/>
  <c r="H338" i="13"/>
  <c r="T345" i="13"/>
  <c r="P352" i="13"/>
  <c r="J354" i="13"/>
  <c r="H354" i="13"/>
  <c r="S361" i="13"/>
  <c r="R361" i="13"/>
  <c r="Q361" i="13"/>
  <c r="O361" i="13"/>
  <c r="H370" i="13"/>
  <c r="K372" i="13"/>
  <c r="L372" i="13" s="1"/>
  <c r="J372" i="13"/>
  <c r="H372" i="13"/>
  <c r="S373" i="13"/>
  <c r="R373" i="13"/>
  <c r="P373" i="13"/>
  <c r="Q381" i="13"/>
  <c r="R381" i="13"/>
  <c r="Q383" i="13"/>
  <c r="P383" i="13"/>
  <c r="S383" i="13"/>
  <c r="R383" i="13"/>
  <c r="O383" i="13"/>
  <c r="Q389" i="13"/>
  <c r="R389" i="13"/>
  <c r="Q391" i="13"/>
  <c r="P391" i="13"/>
  <c r="S391" i="13"/>
  <c r="R391" i="13"/>
  <c r="O391" i="13"/>
  <c r="Q397" i="13"/>
  <c r="R397" i="13"/>
  <c r="Q399" i="13"/>
  <c r="P399" i="13"/>
  <c r="S399" i="13"/>
  <c r="R399" i="13"/>
  <c r="O399" i="13"/>
  <c r="Q405" i="13"/>
  <c r="R405" i="13"/>
  <c r="Q407" i="13"/>
  <c r="P407" i="13"/>
  <c r="S407" i="13"/>
  <c r="R407" i="13"/>
  <c r="O407" i="13"/>
  <c r="Q413" i="13"/>
  <c r="R413" i="13"/>
  <c r="Q415" i="13"/>
  <c r="P415" i="13"/>
  <c r="S415" i="13"/>
  <c r="R415" i="13"/>
  <c r="O415" i="13"/>
  <c r="Q421" i="13"/>
  <c r="R421" i="13"/>
  <c r="K437" i="13"/>
  <c r="L437" i="13" s="1"/>
  <c r="H437" i="13"/>
  <c r="S445" i="13"/>
  <c r="R445" i="13"/>
  <c r="Q445" i="13"/>
  <c r="O452" i="13"/>
  <c r="S452" i="13"/>
  <c r="R452" i="13"/>
  <c r="Q452" i="13"/>
  <c r="S457" i="13"/>
  <c r="R457" i="13"/>
  <c r="Q457" i="13"/>
  <c r="O457" i="13"/>
  <c r="K474" i="13"/>
  <c r="L474" i="13" s="1"/>
  <c r="J474" i="13"/>
  <c r="H474" i="13"/>
  <c r="N474" i="13"/>
  <c r="Q496" i="13"/>
  <c r="K510" i="13"/>
  <c r="L510" i="13" s="1"/>
  <c r="J510" i="13"/>
  <c r="H510" i="13"/>
  <c r="T307" i="13"/>
  <c r="T311" i="13"/>
  <c r="T315" i="13"/>
  <c r="T319" i="13"/>
  <c r="T323" i="13"/>
  <c r="T327" i="13"/>
  <c r="T331" i="13"/>
  <c r="T335" i="13"/>
  <c r="T339" i="13"/>
  <c r="T343" i="13"/>
  <c r="T347" i="13"/>
  <c r="T351" i="13"/>
  <c r="T355" i="13"/>
  <c r="H359" i="13"/>
  <c r="N368" i="13"/>
  <c r="N370" i="13"/>
  <c r="H423" i="13"/>
  <c r="O432" i="13"/>
  <c r="S432" i="13"/>
  <c r="P432" i="13"/>
  <c r="K433" i="13"/>
  <c r="L433" i="13" s="1"/>
  <c r="H433" i="13"/>
  <c r="K434" i="13"/>
  <c r="L434" i="13" s="1"/>
  <c r="J434" i="13"/>
  <c r="H434" i="13"/>
  <c r="H439" i="13"/>
  <c r="O448" i="13"/>
  <c r="S448" i="13"/>
  <c r="P448" i="13"/>
  <c r="K449" i="13"/>
  <c r="L449" i="13" s="1"/>
  <c r="H449" i="13"/>
  <c r="K450" i="13"/>
  <c r="L450" i="13" s="1"/>
  <c r="J450" i="13"/>
  <c r="H450" i="13"/>
  <c r="H455" i="13"/>
  <c r="Q467" i="13"/>
  <c r="P467" i="13"/>
  <c r="O467" i="13"/>
  <c r="O504" i="13"/>
  <c r="S504" i="13"/>
  <c r="R504" i="13"/>
  <c r="Q504" i="13"/>
  <c r="N510" i="13"/>
  <c r="T510" i="13"/>
  <c r="N556" i="13"/>
  <c r="T556" i="13"/>
  <c r="S560" i="13"/>
  <c r="R560" i="13"/>
  <c r="Q560" i="13"/>
  <c r="P560" i="13"/>
  <c r="O560" i="13"/>
  <c r="S564" i="13"/>
  <c r="R564" i="13"/>
  <c r="Q564" i="13"/>
  <c r="P564" i="13"/>
  <c r="O564" i="13"/>
  <c r="K596" i="13"/>
  <c r="L596" i="13" s="1"/>
  <c r="N596" i="13"/>
  <c r="J596" i="13"/>
  <c r="H596" i="13"/>
  <c r="T300" i="13"/>
  <c r="T304" i="13"/>
  <c r="T308" i="13"/>
  <c r="T312" i="13"/>
  <c r="T316" i="13"/>
  <c r="T320" i="13"/>
  <c r="T324" i="13"/>
  <c r="T328" i="13"/>
  <c r="T332" i="13"/>
  <c r="T336" i="13"/>
  <c r="T340" i="13"/>
  <c r="T344" i="13"/>
  <c r="T348" i="13"/>
  <c r="T352" i="13"/>
  <c r="T356" i="13"/>
  <c r="H367" i="13"/>
  <c r="S426" i="13"/>
  <c r="R426" i="13"/>
  <c r="Q426" i="13"/>
  <c r="P426" i="13"/>
  <c r="O426" i="13"/>
  <c r="O428" i="13"/>
  <c r="S428" i="13"/>
  <c r="P428" i="13"/>
  <c r="K429" i="13"/>
  <c r="L429" i="13" s="1"/>
  <c r="H429" i="13"/>
  <c r="K430" i="13"/>
  <c r="L430" i="13" s="1"/>
  <c r="J430" i="13"/>
  <c r="H430" i="13"/>
  <c r="H435" i="13"/>
  <c r="S442" i="13"/>
  <c r="R442" i="13"/>
  <c r="Q442" i="13"/>
  <c r="P442" i="13"/>
  <c r="O442" i="13"/>
  <c r="O444" i="13"/>
  <c r="S444" i="13"/>
  <c r="P444" i="13"/>
  <c r="K445" i="13"/>
  <c r="L445" i="13" s="1"/>
  <c r="H445" i="13"/>
  <c r="K446" i="13"/>
  <c r="L446" i="13" s="1"/>
  <c r="J446" i="13"/>
  <c r="H446" i="13"/>
  <c r="R448" i="13"/>
  <c r="H451" i="13"/>
  <c r="S458" i="13"/>
  <c r="R458" i="13"/>
  <c r="Q458" i="13"/>
  <c r="P458" i="13"/>
  <c r="O458" i="13"/>
  <c r="H464" i="13"/>
  <c r="S467" i="13"/>
  <c r="K470" i="13"/>
  <c r="L470" i="13" s="1"/>
  <c r="J470" i="13"/>
  <c r="H470" i="13"/>
  <c r="Q473" i="13"/>
  <c r="S473" i="13"/>
  <c r="R473" i="13"/>
  <c r="P473" i="13"/>
  <c r="O473" i="13"/>
  <c r="K484" i="13"/>
  <c r="L484" i="13" s="1"/>
  <c r="J484" i="13"/>
  <c r="H484" i="13"/>
  <c r="O500" i="13"/>
  <c r="S500" i="13"/>
  <c r="R500" i="13"/>
  <c r="Q500" i="13"/>
  <c r="Q507" i="13"/>
  <c r="P507" i="13"/>
  <c r="O507" i="13"/>
  <c r="R507" i="13"/>
  <c r="S518" i="13"/>
  <c r="R518" i="13"/>
  <c r="Q518" i="13"/>
  <c r="P518" i="13"/>
  <c r="O518" i="13"/>
  <c r="S521" i="13"/>
  <c r="R521" i="13"/>
  <c r="Q521" i="13"/>
  <c r="P521" i="13"/>
  <c r="K544" i="13"/>
  <c r="L544" i="13" s="1"/>
  <c r="J544" i="13"/>
  <c r="H544" i="13"/>
  <c r="N544" i="13"/>
  <c r="S548" i="13"/>
  <c r="R548" i="13"/>
  <c r="P548" i="13"/>
  <c r="O548" i="13"/>
  <c r="K552" i="13"/>
  <c r="L552" i="13" s="1"/>
  <c r="J552" i="13"/>
  <c r="H552" i="13"/>
  <c r="Q581" i="13"/>
  <c r="P581" i="13"/>
  <c r="O581" i="13"/>
  <c r="S581" i="13"/>
  <c r="R581" i="13"/>
  <c r="K619" i="13"/>
  <c r="L619" i="13" s="1"/>
  <c r="H619" i="13"/>
  <c r="K378" i="13"/>
  <c r="L378" i="13" s="1"/>
  <c r="J378" i="13"/>
  <c r="K428" i="13"/>
  <c r="L428" i="13" s="1"/>
  <c r="Q428" i="13"/>
  <c r="Q431" i="13"/>
  <c r="P431" i="13"/>
  <c r="O431" i="13"/>
  <c r="S433" i="13"/>
  <c r="R433" i="13"/>
  <c r="Q433" i="13"/>
  <c r="K444" i="13"/>
  <c r="L444" i="13" s="1"/>
  <c r="Q444" i="13"/>
  <c r="Q447" i="13"/>
  <c r="P447" i="13"/>
  <c r="O447" i="13"/>
  <c r="S449" i="13"/>
  <c r="R449" i="13"/>
  <c r="Q449" i="13"/>
  <c r="K460" i="13"/>
  <c r="L460" i="13" s="1"/>
  <c r="H461" i="13"/>
  <c r="Q471" i="13"/>
  <c r="P471" i="13"/>
  <c r="O471" i="13"/>
  <c r="S507" i="13"/>
  <c r="O521" i="13"/>
  <c r="N530" i="13"/>
  <c r="T530" i="13"/>
  <c r="S532" i="13"/>
  <c r="R532" i="13"/>
  <c r="Q532" i="13"/>
  <c r="P532" i="13"/>
  <c r="O532" i="13"/>
  <c r="Q533" i="13"/>
  <c r="P533" i="13"/>
  <c r="S533" i="13"/>
  <c r="R533" i="13"/>
  <c r="O533" i="13"/>
  <c r="N580" i="13"/>
  <c r="T580" i="13"/>
  <c r="K586" i="13"/>
  <c r="L586" i="13" s="1"/>
  <c r="H586" i="13"/>
  <c r="J359" i="13"/>
  <c r="K366" i="13"/>
  <c r="L366" i="13" s="1"/>
  <c r="J366" i="13"/>
  <c r="H375" i="13"/>
  <c r="P376" i="13"/>
  <c r="H380" i="13"/>
  <c r="K382" i="13"/>
  <c r="L382" i="13" s="1"/>
  <c r="J382" i="13"/>
  <c r="H384" i="13"/>
  <c r="K386" i="13"/>
  <c r="L386" i="13" s="1"/>
  <c r="J386" i="13"/>
  <c r="H388" i="13"/>
  <c r="K390" i="13"/>
  <c r="L390" i="13" s="1"/>
  <c r="J390" i="13"/>
  <c r="H392" i="13"/>
  <c r="K394" i="13"/>
  <c r="L394" i="13" s="1"/>
  <c r="J394" i="13"/>
  <c r="H396" i="13"/>
  <c r="K398" i="13"/>
  <c r="L398" i="13" s="1"/>
  <c r="J398" i="13"/>
  <c r="H400" i="13"/>
  <c r="K402" i="13"/>
  <c r="L402" i="13" s="1"/>
  <c r="J402" i="13"/>
  <c r="H404" i="13"/>
  <c r="K406" i="13"/>
  <c r="L406" i="13" s="1"/>
  <c r="J406" i="13"/>
  <c r="H408" i="13"/>
  <c r="K410" i="13"/>
  <c r="L410" i="13" s="1"/>
  <c r="J410" i="13"/>
  <c r="H412" i="13"/>
  <c r="K414" i="13"/>
  <c r="L414" i="13" s="1"/>
  <c r="J414" i="13"/>
  <c r="H416" i="13"/>
  <c r="K418" i="13"/>
  <c r="L418" i="13" s="1"/>
  <c r="J418" i="13"/>
  <c r="H420" i="13"/>
  <c r="K422" i="13"/>
  <c r="L422" i="13" s="1"/>
  <c r="J422" i="13"/>
  <c r="O424" i="13"/>
  <c r="S424" i="13"/>
  <c r="P424" i="13"/>
  <c r="K425" i="13"/>
  <c r="L425" i="13" s="1"/>
  <c r="H425" i="13"/>
  <c r="K426" i="13"/>
  <c r="L426" i="13" s="1"/>
  <c r="J426" i="13"/>
  <c r="H426" i="13"/>
  <c r="R428" i="13"/>
  <c r="O440" i="13"/>
  <c r="S440" i="13"/>
  <c r="P440" i="13"/>
  <c r="K441" i="13"/>
  <c r="L441" i="13" s="1"/>
  <c r="H441" i="13"/>
  <c r="K442" i="13"/>
  <c r="L442" i="13" s="1"/>
  <c r="J442" i="13"/>
  <c r="H442" i="13"/>
  <c r="R444" i="13"/>
  <c r="O456" i="13"/>
  <c r="S456" i="13"/>
  <c r="P456" i="13"/>
  <c r="K457" i="13"/>
  <c r="L457" i="13" s="1"/>
  <c r="H457" i="13"/>
  <c r="K458" i="13"/>
  <c r="L458" i="13" s="1"/>
  <c r="J458" i="13"/>
  <c r="H458" i="13"/>
  <c r="S462" i="13"/>
  <c r="R462" i="13"/>
  <c r="P462" i="13"/>
  <c r="O462" i="13"/>
  <c r="Q465" i="13"/>
  <c r="S465" i="13"/>
  <c r="R465" i="13"/>
  <c r="P465" i="13"/>
  <c r="O465" i="13"/>
  <c r="R471" i="13"/>
  <c r="R481" i="13"/>
  <c r="Q481" i="13"/>
  <c r="S481" i="13"/>
  <c r="P481" i="13"/>
  <c r="K506" i="13"/>
  <c r="L506" i="13" s="1"/>
  <c r="J506" i="13"/>
  <c r="H506" i="13"/>
  <c r="T506" i="13"/>
  <c r="K580" i="13"/>
  <c r="L580" i="13" s="1"/>
  <c r="J580" i="13"/>
  <c r="H580" i="13"/>
  <c r="T460" i="13"/>
  <c r="H483" i="13"/>
  <c r="N488" i="13"/>
  <c r="K489" i="13"/>
  <c r="L489" i="13" s="1"/>
  <c r="H489" i="13"/>
  <c r="K490" i="13"/>
  <c r="L490" i="13" s="1"/>
  <c r="J490" i="13"/>
  <c r="H490" i="13"/>
  <c r="S501" i="13"/>
  <c r="R501" i="13"/>
  <c r="Q501" i="13"/>
  <c r="P501" i="13"/>
  <c r="O508" i="13"/>
  <c r="S508" i="13"/>
  <c r="R508" i="13"/>
  <c r="P508" i="13"/>
  <c r="K518" i="13"/>
  <c r="L518" i="13" s="1"/>
  <c r="J518" i="13"/>
  <c r="H518" i="13"/>
  <c r="N522" i="13"/>
  <c r="P536" i="13"/>
  <c r="K560" i="13"/>
  <c r="L560" i="13" s="1"/>
  <c r="J560" i="13"/>
  <c r="H560" i="13"/>
  <c r="Q577" i="13"/>
  <c r="P577" i="13"/>
  <c r="O577" i="13"/>
  <c r="R577" i="13"/>
  <c r="T584" i="13"/>
  <c r="S591" i="13"/>
  <c r="R591" i="13"/>
  <c r="Q591" i="13"/>
  <c r="P591" i="13"/>
  <c r="P634" i="13"/>
  <c r="O634" i="13"/>
  <c r="S634" i="13"/>
  <c r="R634" i="13"/>
  <c r="J637" i="13"/>
  <c r="H637" i="13"/>
  <c r="N637" i="13"/>
  <c r="K637" i="13"/>
  <c r="L637" i="13" s="1"/>
  <c r="J661" i="13"/>
  <c r="H661" i="13"/>
  <c r="N661" i="13"/>
  <c r="K661" i="13"/>
  <c r="L661" i="13" s="1"/>
  <c r="T424" i="13"/>
  <c r="T428" i="13"/>
  <c r="T432" i="13"/>
  <c r="T436" i="13"/>
  <c r="T440" i="13"/>
  <c r="T444" i="13"/>
  <c r="T448" i="13"/>
  <c r="T452" i="13"/>
  <c r="T456" i="13"/>
  <c r="N463" i="13"/>
  <c r="N468" i="13"/>
  <c r="N472" i="13"/>
  <c r="Q475" i="13"/>
  <c r="P475" i="13"/>
  <c r="K478" i="13"/>
  <c r="L478" i="13" s="1"/>
  <c r="J478" i="13"/>
  <c r="R485" i="13"/>
  <c r="Q485" i="13"/>
  <c r="N491" i="13"/>
  <c r="T491" i="13"/>
  <c r="N494" i="13"/>
  <c r="T498" i="13"/>
  <c r="S505" i="13"/>
  <c r="R505" i="13"/>
  <c r="Q505" i="13"/>
  <c r="P505" i="13"/>
  <c r="O512" i="13"/>
  <c r="S512" i="13"/>
  <c r="R512" i="13"/>
  <c r="P512" i="13"/>
  <c r="K522" i="13"/>
  <c r="L522" i="13" s="1"/>
  <c r="J522" i="13"/>
  <c r="H522" i="13"/>
  <c r="S540" i="13"/>
  <c r="R540" i="13"/>
  <c r="Q540" i="13"/>
  <c r="P540" i="13"/>
  <c r="O540" i="13"/>
  <c r="T576" i="13"/>
  <c r="K468" i="13"/>
  <c r="L468" i="13" s="1"/>
  <c r="K472" i="13"/>
  <c r="L472" i="13" s="1"/>
  <c r="O480" i="13"/>
  <c r="S480" i="13"/>
  <c r="P480" i="13"/>
  <c r="Q487" i="13"/>
  <c r="P487" i="13"/>
  <c r="K494" i="13"/>
  <c r="L494" i="13" s="1"/>
  <c r="J494" i="13"/>
  <c r="H494" i="13"/>
  <c r="Q495" i="13"/>
  <c r="P495" i="13"/>
  <c r="O495" i="13"/>
  <c r="R495" i="13"/>
  <c r="S498" i="13"/>
  <c r="R498" i="13"/>
  <c r="Q498" i="13"/>
  <c r="P498" i="13"/>
  <c r="O498" i="13"/>
  <c r="S509" i="13"/>
  <c r="R509" i="13"/>
  <c r="Q509" i="13"/>
  <c r="P509" i="13"/>
  <c r="K512" i="13"/>
  <c r="L512" i="13" s="1"/>
  <c r="O516" i="13"/>
  <c r="S516" i="13"/>
  <c r="R516" i="13"/>
  <c r="P516" i="13"/>
  <c r="H533" i="13"/>
  <c r="K533" i="13"/>
  <c r="L533" i="13" s="1"/>
  <c r="T533" i="13"/>
  <c r="J533" i="13"/>
  <c r="S536" i="13"/>
  <c r="R536" i="13"/>
  <c r="O536" i="13"/>
  <c r="T541" i="13"/>
  <c r="N541" i="13"/>
  <c r="N542" i="13"/>
  <c r="T542" i="13"/>
  <c r="S543" i="13"/>
  <c r="R543" i="13"/>
  <c r="Q543" i="13"/>
  <c r="P543" i="13"/>
  <c r="O543" i="13"/>
  <c r="O566" i="13"/>
  <c r="S566" i="13"/>
  <c r="R566" i="13"/>
  <c r="Q566" i="13"/>
  <c r="K576" i="13"/>
  <c r="L576" i="13" s="1"/>
  <c r="J576" i="13"/>
  <c r="H576" i="13"/>
  <c r="S584" i="13"/>
  <c r="R584" i="13"/>
  <c r="Q584" i="13"/>
  <c r="P584" i="13"/>
  <c r="O584" i="13"/>
  <c r="R625" i="13"/>
  <c r="Q625" i="13"/>
  <c r="S625" i="13"/>
  <c r="P625" i="13"/>
  <c r="K462" i="13"/>
  <c r="L462" i="13" s="1"/>
  <c r="J462" i="13"/>
  <c r="H467" i="13"/>
  <c r="H471" i="13"/>
  <c r="R475" i="13"/>
  <c r="R477" i="13"/>
  <c r="Q477" i="13"/>
  <c r="K480" i="13"/>
  <c r="L480" i="13" s="1"/>
  <c r="Q480" i="13"/>
  <c r="P485" i="13"/>
  <c r="H487" i="13"/>
  <c r="O487" i="13"/>
  <c r="S489" i="13"/>
  <c r="R489" i="13"/>
  <c r="Q489" i="13"/>
  <c r="S495" i="13"/>
  <c r="K498" i="13"/>
  <c r="L498" i="13" s="1"/>
  <c r="J498" i="13"/>
  <c r="H498" i="13"/>
  <c r="Q499" i="13"/>
  <c r="P499" i="13"/>
  <c r="O499" i="13"/>
  <c r="R499" i="13"/>
  <c r="S502" i="13"/>
  <c r="R502" i="13"/>
  <c r="Q502" i="13"/>
  <c r="P502" i="13"/>
  <c r="O502" i="13"/>
  <c r="O509" i="13"/>
  <c r="S513" i="13"/>
  <c r="R513" i="13"/>
  <c r="Q513" i="13"/>
  <c r="P513" i="13"/>
  <c r="K516" i="13"/>
  <c r="L516" i="13" s="1"/>
  <c r="Q516" i="13"/>
  <c r="O520" i="13"/>
  <c r="S520" i="13"/>
  <c r="R520" i="13"/>
  <c r="P520" i="13"/>
  <c r="K526" i="13"/>
  <c r="L526" i="13" s="1"/>
  <c r="H527" i="13"/>
  <c r="S528" i="13"/>
  <c r="R528" i="13"/>
  <c r="Q528" i="13"/>
  <c r="P528" i="13"/>
  <c r="O528" i="13"/>
  <c r="K542" i="13"/>
  <c r="L542" i="13" s="1"/>
  <c r="J542" i="13"/>
  <c r="H542" i="13"/>
  <c r="K563" i="13"/>
  <c r="L563" i="13" s="1"/>
  <c r="H563" i="13"/>
  <c r="R597" i="13"/>
  <c r="Q597" i="13"/>
  <c r="P597" i="13"/>
  <c r="O597" i="13"/>
  <c r="S597" i="13"/>
  <c r="O625" i="13"/>
  <c r="S475" i="13"/>
  <c r="H476" i="13"/>
  <c r="O477" i="13"/>
  <c r="Q479" i="13"/>
  <c r="P479" i="13"/>
  <c r="R480" i="13"/>
  <c r="K481" i="13"/>
  <c r="L481" i="13" s="1"/>
  <c r="K482" i="13"/>
  <c r="L482" i="13" s="1"/>
  <c r="J482" i="13"/>
  <c r="S485" i="13"/>
  <c r="R487" i="13"/>
  <c r="O489" i="13"/>
  <c r="O492" i="13"/>
  <c r="S492" i="13"/>
  <c r="R492" i="13"/>
  <c r="P492" i="13"/>
  <c r="S499" i="13"/>
  <c r="K502" i="13"/>
  <c r="L502" i="13" s="1"/>
  <c r="J502" i="13"/>
  <c r="H502" i="13"/>
  <c r="Q503" i="13"/>
  <c r="P503" i="13"/>
  <c r="O503" i="13"/>
  <c r="R503" i="13"/>
  <c r="N506" i="13"/>
  <c r="O513" i="13"/>
  <c r="S517" i="13"/>
  <c r="R517" i="13"/>
  <c r="Q517" i="13"/>
  <c r="P517" i="13"/>
  <c r="K520" i="13"/>
  <c r="L520" i="13" s="1"/>
  <c r="Q520" i="13"/>
  <c r="S524" i="13"/>
  <c r="O524" i="13"/>
  <c r="R524" i="13"/>
  <c r="P524" i="13"/>
  <c r="T544" i="13"/>
  <c r="K546" i="13"/>
  <c r="L546" i="13" s="1"/>
  <c r="H546" i="13"/>
  <c r="N568" i="13"/>
  <c r="P606" i="13"/>
  <c r="O606" i="13"/>
  <c r="S606" i="13"/>
  <c r="R606" i="13"/>
  <c r="K607" i="13"/>
  <c r="L607" i="13" s="1"/>
  <c r="H607" i="13"/>
  <c r="P682" i="13"/>
  <c r="O682" i="13"/>
  <c r="R682" i="13"/>
  <c r="S682" i="13"/>
  <c r="Q682" i="13"/>
  <c r="T495" i="13"/>
  <c r="T499" i="13"/>
  <c r="T503" i="13"/>
  <c r="T507" i="13"/>
  <c r="T511" i="13"/>
  <c r="T515" i="13"/>
  <c r="T519" i="13"/>
  <c r="T523" i="13"/>
  <c r="K532" i="13"/>
  <c r="L532" i="13" s="1"/>
  <c r="J532" i="13"/>
  <c r="H541" i="13"/>
  <c r="K557" i="13"/>
  <c r="L557" i="13" s="1"/>
  <c r="S559" i="13"/>
  <c r="R559" i="13"/>
  <c r="Q561" i="13"/>
  <c r="P561" i="13"/>
  <c r="O561" i="13"/>
  <c r="Q569" i="13"/>
  <c r="P569" i="13"/>
  <c r="O569" i="13"/>
  <c r="S571" i="13"/>
  <c r="R571" i="13"/>
  <c r="Q571" i="13"/>
  <c r="O574" i="13"/>
  <c r="S574" i="13"/>
  <c r="R574" i="13"/>
  <c r="P574" i="13"/>
  <c r="K584" i="13"/>
  <c r="L584" i="13" s="1"/>
  <c r="J584" i="13"/>
  <c r="H584" i="13"/>
  <c r="Q585" i="13"/>
  <c r="P585" i="13"/>
  <c r="O585" i="13"/>
  <c r="R585" i="13"/>
  <c r="S588" i="13"/>
  <c r="R588" i="13"/>
  <c r="Q588" i="13"/>
  <c r="P588" i="13"/>
  <c r="O588" i="13"/>
  <c r="P598" i="13"/>
  <c r="O598" i="13"/>
  <c r="R598" i="13"/>
  <c r="Q598" i="13"/>
  <c r="T625" i="13"/>
  <c r="K640" i="13"/>
  <c r="L640" i="13" s="1"/>
  <c r="H640" i="13"/>
  <c r="N640" i="13"/>
  <c r="J640" i="13"/>
  <c r="P650" i="13"/>
  <c r="O650" i="13"/>
  <c r="R650" i="13"/>
  <c r="S650" i="13"/>
  <c r="N675" i="13"/>
  <c r="H675" i="13"/>
  <c r="T675" i="13"/>
  <c r="H493" i="13"/>
  <c r="H497" i="13"/>
  <c r="T524" i="13"/>
  <c r="H529" i="13"/>
  <c r="N529" i="13"/>
  <c r="O531" i="13"/>
  <c r="H535" i="13"/>
  <c r="N538" i="13"/>
  <c r="J545" i="13"/>
  <c r="T546" i="13"/>
  <c r="O551" i="13"/>
  <c r="O555" i="13"/>
  <c r="O559" i="13"/>
  <c r="H561" i="13"/>
  <c r="R561" i="13"/>
  <c r="S562" i="13"/>
  <c r="K564" i="13"/>
  <c r="L564" i="13" s="1"/>
  <c r="J564" i="13"/>
  <c r="H564" i="13"/>
  <c r="H569" i="13"/>
  <c r="R569" i="13"/>
  <c r="O571" i="13"/>
  <c r="Q574" i="13"/>
  <c r="O578" i="13"/>
  <c r="S578" i="13"/>
  <c r="R578" i="13"/>
  <c r="P578" i="13"/>
  <c r="S585" i="13"/>
  <c r="K588" i="13"/>
  <c r="L588" i="13" s="1"/>
  <c r="J588" i="13"/>
  <c r="H588" i="13"/>
  <c r="Q589" i="13"/>
  <c r="P589" i="13"/>
  <c r="O589" i="13"/>
  <c r="R589" i="13"/>
  <c r="N592" i="13"/>
  <c r="S598" i="13"/>
  <c r="N613" i="13"/>
  <c r="P614" i="13"/>
  <c r="O614" i="13"/>
  <c r="S614" i="13"/>
  <c r="R614" i="13"/>
  <c r="Q614" i="13"/>
  <c r="J625" i="13"/>
  <c r="H625" i="13"/>
  <c r="K625" i="13"/>
  <c r="L625" i="13" s="1"/>
  <c r="P629" i="13"/>
  <c r="Q650" i="13"/>
  <c r="R708" i="13"/>
  <c r="Q708" i="13"/>
  <c r="O708" i="13"/>
  <c r="S708" i="13"/>
  <c r="H714" i="13"/>
  <c r="N714" i="13"/>
  <c r="T714" i="13"/>
  <c r="T476" i="13"/>
  <c r="T480" i="13"/>
  <c r="T484" i="13"/>
  <c r="T488" i="13"/>
  <c r="T492" i="13"/>
  <c r="T496" i="13"/>
  <c r="T500" i="13"/>
  <c r="T504" i="13"/>
  <c r="T508" i="13"/>
  <c r="T512" i="13"/>
  <c r="N515" i="13"/>
  <c r="T516" i="13"/>
  <c r="N519" i="13"/>
  <c r="T520" i="13"/>
  <c r="N523" i="13"/>
  <c r="N526" i="13"/>
  <c r="P531" i="13"/>
  <c r="K540" i="13"/>
  <c r="L540" i="13" s="1"/>
  <c r="J540" i="13"/>
  <c r="N549" i="13"/>
  <c r="P550" i="13"/>
  <c r="P551" i="13"/>
  <c r="P554" i="13"/>
  <c r="P555" i="13"/>
  <c r="P558" i="13"/>
  <c r="Q565" i="13"/>
  <c r="P565" i="13"/>
  <c r="O565" i="13"/>
  <c r="S567" i="13"/>
  <c r="R567" i="13"/>
  <c r="Q567" i="13"/>
  <c r="S575" i="13"/>
  <c r="R575" i="13"/>
  <c r="Q575" i="13"/>
  <c r="P575" i="13"/>
  <c r="O582" i="13"/>
  <c r="S582" i="13"/>
  <c r="R582" i="13"/>
  <c r="P582" i="13"/>
  <c r="K592" i="13"/>
  <c r="L592" i="13" s="1"/>
  <c r="J592" i="13"/>
  <c r="H592" i="13"/>
  <c r="Q593" i="13"/>
  <c r="P593" i="13"/>
  <c r="O593" i="13"/>
  <c r="R593" i="13"/>
  <c r="P626" i="13"/>
  <c r="O626" i="13"/>
  <c r="S626" i="13"/>
  <c r="R626" i="13"/>
  <c r="N643" i="13"/>
  <c r="H643" i="13"/>
  <c r="T643" i="13"/>
  <c r="J677" i="13"/>
  <c r="H677" i="13"/>
  <c r="N677" i="13"/>
  <c r="K677" i="13"/>
  <c r="L677" i="13" s="1"/>
  <c r="K528" i="13"/>
  <c r="L528" i="13" s="1"/>
  <c r="J528" i="13"/>
  <c r="Q531" i="13"/>
  <c r="N537" i="13"/>
  <c r="Q550" i="13"/>
  <c r="Q551" i="13"/>
  <c r="N553" i="13"/>
  <c r="Q554" i="13"/>
  <c r="N557" i="13"/>
  <c r="S563" i="13"/>
  <c r="R563" i="13"/>
  <c r="R565" i="13"/>
  <c r="O567" i="13"/>
  <c r="O575" i="13"/>
  <c r="S579" i="13"/>
  <c r="R579" i="13"/>
  <c r="Q579" i="13"/>
  <c r="P579" i="13"/>
  <c r="Q582" i="13"/>
  <c r="O586" i="13"/>
  <c r="S586" i="13"/>
  <c r="R586" i="13"/>
  <c r="P586" i="13"/>
  <c r="S593" i="13"/>
  <c r="S604" i="13"/>
  <c r="R604" i="13"/>
  <c r="Q604" i="13"/>
  <c r="P604" i="13"/>
  <c r="O604" i="13"/>
  <c r="K616" i="13"/>
  <c r="L616" i="13" s="1"/>
  <c r="J616" i="13"/>
  <c r="H616" i="13"/>
  <c r="R617" i="13"/>
  <c r="Q617" i="13"/>
  <c r="O617" i="13"/>
  <c r="T622" i="13"/>
  <c r="N622" i="13"/>
  <c r="Q626" i="13"/>
  <c r="R633" i="13"/>
  <c r="Q633" i="13"/>
  <c r="O633" i="13"/>
  <c r="S633" i="13"/>
  <c r="P633" i="13"/>
  <c r="K656" i="13"/>
  <c r="L656" i="13" s="1"/>
  <c r="H656" i="13"/>
  <c r="N656" i="13"/>
  <c r="J656" i="13"/>
  <c r="P666" i="13"/>
  <c r="O666" i="13"/>
  <c r="R666" i="13"/>
  <c r="S666" i="13"/>
  <c r="H525" i="13"/>
  <c r="O527" i="13"/>
  <c r="H530" i="13"/>
  <c r="R531" i="13"/>
  <c r="H532" i="13"/>
  <c r="N534" i="13"/>
  <c r="P539" i="13"/>
  <c r="J541" i="13"/>
  <c r="K548" i="13"/>
  <c r="L548" i="13" s="1"/>
  <c r="J548" i="13"/>
  <c r="R550" i="13"/>
  <c r="R551" i="13"/>
  <c r="R554" i="13"/>
  <c r="R555" i="13"/>
  <c r="R558" i="13"/>
  <c r="O563" i="13"/>
  <c r="S565" i="13"/>
  <c r="H566" i="13"/>
  <c r="P567" i="13"/>
  <c r="N572" i="13"/>
  <c r="O579" i="13"/>
  <c r="S583" i="13"/>
  <c r="R583" i="13"/>
  <c r="Q583" i="13"/>
  <c r="P583" i="13"/>
  <c r="Q586" i="13"/>
  <c r="O590" i="13"/>
  <c r="S590" i="13"/>
  <c r="R590" i="13"/>
  <c r="P590" i="13"/>
  <c r="T602" i="13"/>
  <c r="N602" i="13"/>
  <c r="N603" i="13"/>
  <c r="T603" i="13"/>
  <c r="H603" i="13"/>
  <c r="R609" i="13"/>
  <c r="Q609" i="13"/>
  <c r="S609" i="13"/>
  <c r="P609" i="13"/>
  <c r="O609" i="13"/>
  <c r="K614" i="13"/>
  <c r="L614" i="13" s="1"/>
  <c r="T614" i="13"/>
  <c r="J614" i="13"/>
  <c r="H614" i="13"/>
  <c r="N623" i="13"/>
  <c r="H623" i="13"/>
  <c r="P630" i="13"/>
  <c r="O630" i="13"/>
  <c r="S630" i="13"/>
  <c r="R630" i="13"/>
  <c r="J645" i="13"/>
  <c r="H645" i="13"/>
  <c r="N645" i="13"/>
  <c r="K645" i="13"/>
  <c r="L645" i="13" s="1"/>
  <c r="Q666" i="13"/>
  <c r="K695" i="13"/>
  <c r="L695" i="13" s="1"/>
  <c r="J695" i="13"/>
  <c r="H695" i="13"/>
  <c r="K536" i="13"/>
  <c r="L536" i="13" s="1"/>
  <c r="J536" i="13"/>
  <c r="T540" i="13"/>
  <c r="K541" i="13"/>
  <c r="L541" i="13" s="1"/>
  <c r="N545" i="13"/>
  <c r="H550" i="13"/>
  <c r="S550" i="13"/>
  <c r="H554" i="13"/>
  <c r="S554" i="13"/>
  <c r="H558" i="13"/>
  <c r="S558" i="13"/>
  <c r="P563" i="13"/>
  <c r="T565" i="13"/>
  <c r="O570" i="13"/>
  <c r="S570" i="13"/>
  <c r="P570" i="13"/>
  <c r="K571" i="13"/>
  <c r="L571" i="13" s="1"/>
  <c r="H571" i="13"/>
  <c r="K572" i="13"/>
  <c r="L572" i="13" s="1"/>
  <c r="J572" i="13"/>
  <c r="H572" i="13"/>
  <c r="Q573" i="13"/>
  <c r="P573" i="13"/>
  <c r="O573" i="13"/>
  <c r="R573" i="13"/>
  <c r="N576" i="13"/>
  <c r="S587" i="13"/>
  <c r="R587" i="13"/>
  <c r="Q587" i="13"/>
  <c r="P587" i="13"/>
  <c r="O594" i="13"/>
  <c r="S594" i="13"/>
  <c r="R594" i="13"/>
  <c r="P594" i="13"/>
  <c r="K602" i="13"/>
  <c r="L602" i="13" s="1"/>
  <c r="J602" i="13"/>
  <c r="H602" i="13"/>
  <c r="N605" i="13"/>
  <c r="P610" i="13"/>
  <c r="O610" i="13"/>
  <c r="S610" i="13"/>
  <c r="R610" i="13"/>
  <c r="Q610" i="13"/>
  <c r="P618" i="13"/>
  <c r="O618" i="13"/>
  <c r="Q618" i="13"/>
  <c r="T623" i="13"/>
  <c r="Q630" i="13"/>
  <c r="N659" i="13"/>
  <c r="H659" i="13"/>
  <c r="T659" i="13"/>
  <c r="T573" i="13"/>
  <c r="T577" i="13"/>
  <c r="T581" i="13"/>
  <c r="T585" i="13"/>
  <c r="T589" i="13"/>
  <c r="T593" i="13"/>
  <c r="N601" i="13"/>
  <c r="J613" i="13"/>
  <c r="H613" i="13"/>
  <c r="J629" i="13"/>
  <c r="H629" i="13"/>
  <c r="J633" i="13"/>
  <c r="H633" i="13"/>
  <c r="J641" i="13"/>
  <c r="H641" i="13"/>
  <c r="N641" i="13"/>
  <c r="P646" i="13"/>
  <c r="O646" i="13"/>
  <c r="R646" i="13"/>
  <c r="K652" i="13"/>
  <c r="L652" i="13" s="1"/>
  <c r="H652" i="13"/>
  <c r="N652" i="13"/>
  <c r="S655" i="13"/>
  <c r="R655" i="13"/>
  <c r="P655" i="13"/>
  <c r="J657" i="13"/>
  <c r="H657" i="13"/>
  <c r="N657" i="13"/>
  <c r="P662" i="13"/>
  <c r="O662" i="13"/>
  <c r="R662" i="13"/>
  <c r="K668" i="13"/>
  <c r="L668" i="13" s="1"/>
  <c r="H668" i="13"/>
  <c r="N668" i="13"/>
  <c r="S671" i="13"/>
  <c r="R671" i="13"/>
  <c r="P671" i="13"/>
  <c r="J673" i="13"/>
  <c r="H673" i="13"/>
  <c r="N673" i="13"/>
  <c r="P678" i="13"/>
  <c r="O678" i="13"/>
  <c r="R678" i="13"/>
  <c r="K684" i="13"/>
  <c r="L684" i="13" s="1"/>
  <c r="H684" i="13"/>
  <c r="N684" i="13"/>
  <c r="R685" i="13"/>
  <c r="S685" i="13"/>
  <c r="Q685" i="13"/>
  <c r="O685" i="13"/>
  <c r="H575" i="13"/>
  <c r="H579" i="13"/>
  <c r="H583" i="13"/>
  <c r="H587" i="13"/>
  <c r="H591" i="13"/>
  <c r="H595" i="13"/>
  <c r="J601" i="13"/>
  <c r="H601" i="13"/>
  <c r="T612" i="13"/>
  <c r="N612" i="13"/>
  <c r="T619" i="13"/>
  <c r="N621" i="13"/>
  <c r="O624" i="13"/>
  <c r="H627" i="13"/>
  <c r="H631" i="13"/>
  <c r="H635" i="13"/>
  <c r="Q646" i="13"/>
  <c r="T648" i="13"/>
  <c r="T653" i="13"/>
  <c r="O655" i="13"/>
  <c r="Q662" i="13"/>
  <c r="T664" i="13"/>
  <c r="O671" i="13"/>
  <c r="Q678" i="13"/>
  <c r="P685" i="13"/>
  <c r="J704" i="13"/>
  <c r="H704" i="13"/>
  <c r="K704" i="13"/>
  <c r="L704" i="13" s="1"/>
  <c r="K713" i="13"/>
  <c r="L713" i="13" s="1"/>
  <c r="J713" i="13"/>
  <c r="N713" i="13"/>
  <c r="H713" i="13"/>
  <c r="P741" i="13"/>
  <c r="O741" i="13"/>
  <c r="R741" i="13"/>
  <c r="S741" i="13"/>
  <c r="Q741" i="13"/>
  <c r="T562" i="13"/>
  <c r="T566" i="13"/>
  <c r="T570" i="13"/>
  <c r="T574" i="13"/>
  <c r="T578" i="13"/>
  <c r="T582" i="13"/>
  <c r="T586" i="13"/>
  <c r="T590" i="13"/>
  <c r="T594" i="13"/>
  <c r="O611" i="13"/>
  <c r="J621" i="13"/>
  <c r="H621" i="13"/>
  <c r="P624" i="13"/>
  <c r="S628" i="13"/>
  <c r="Q628" i="13"/>
  <c r="S632" i="13"/>
  <c r="Q632" i="13"/>
  <c r="N638" i="13"/>
  <c r="P642" i="13"/>
  <c r="O642" i="13"/>
  <c r="R642" i="13"/>
  <c r="S646" i="13"/>
  <c r="K648" i="13"/>
  <c r="L648" i="13" s="1"/>
  <c r="H648" i="13"/>
  <c r="N648" i="13"/>
  <c r="S651" i="13"/>
  <c r="R651" i="13"/>
  <c r="P651" i="13"/>
  <c r="J653" i="13"/>
  <c r="H653" i="13"/>
  <c r="N653" i="13"/>
  <c r="Q655" i="13"/>
  <c r="P658" i="13"/>
  <c r="O658" i="13"/>
  <c r="R658" i="13"/>
  <c r="S662" i="13"/>
  <c r="K664" i="13"/>
  <c r="L664" i="13" s="1"/>
  <c r="H664" i="13"/>
  <c r="N664" i="13"/>
  <c r="S667" i="13"/>
  <c r="R667" i="13"/>
  <c r="P667" i="13"/>
  <c r="J669" i="13"/>
  <c r="H669" i="13"/>
  <c r="N669" i="13"/>
  <c r="Q671" i="13"/>
  <c r="P674" i="13"/>
  <c r="O674" i="13"/>
  <c r="R674" i="13"/>
  <c r="S678" i="13"/>
  <c r="K680" i="13"/>
  <c r="L680" i="13" s="1"/>
  <c r="H680" i="13"/>
  <c r="N680" i="13"/>
  <c r="S683" i="13"/>
  <c r="R683" i="13"/>
  <c r="P683" i="13"/>
  <c r="N690" i="13"/>
  <c r="T690" i="13"/>
  <c r="P691" i="13"/>
  <c r="S691" i="13"/>
  <c r="Q691" i="13"/>
  <c r="R691" i="13"/>
  <c r="O599" i="13"/>
  <c r="K600" i="13"/>
  <c r="L600" i="13" s="1"/>
  <c r="J609" i="13"/>
  <c r="H609" i="13"/>
  <c r="P611" i="13"/>
  <c r="Q624" i="13"/>
  <c r="O628" i="13"/>
  <c r="O632" i="13"/>
  <c r="K636" i="13"/>
  <c r="L636" i="13" s="1"/>
  <c r="H636" i="13"/>
  <c r="N636" i="13"/>
  <c r="Q642" i="13"/>
  <c r="O651" i="13"/>
  <c r="T655" i="13"/>
  <c r="Q658" i="13"/>
  <c r="O667" i="13"/>
  <c r="T671" i="13"/>
  <c r="Q674" i="13"/>
  <c r="O683" i="13"/>
  <c r="R686" i="13"/>
  <c r="P686" i="13"/>
  <c r="Q686" i="13"/>
  <c r="P699" i="13"/>
  <c r="S699" i="13"/>
  <c r="R699" i="13"/>
  <c r="Q699" i="13"/>
  <c r="K717" i="13"/>
  <c r="L717" i="13" s="1"/>
  <c r="J717" i="13"/>
  <c r="H717" i="13"/>
  <c r="N717" i="13"/>
  <c r="J597" i="13"/>
  <c r="H597" i="13"/>
  <c r="P599" i="13"/>
  <c r="H604" i="13"/>
  <c r="Q611" i="13"/>
  <c r="K613" i="13"/>
  <c r="L613" i="13" s="1"/>
  <c r="O619" i="13"/>
  <c r="K620" i="13"/>
  <c r="L620" i="13" s="1"/>
  <c r="O620" i="13"/>
  <c r="H622" i="13"/>
  <c r="R624" i="13"/>
  <c r="K628" i="13"/>
  <c r="L628" i="13" s="1"/>
  <c r="H628" i="13"/>
  <c r="P628" i="13"/>
  <c r="K629" i="13"/>
  <c r="L629" i="13" s="1"/>
  <c r="K632" i="13"/>
  <c r="L632" i="13" s="1"/>
  <c r="H632" i="13"/>
  <c r="P632" i="13"/>
  <c r="K633" i="13"/>
  <c r="L633" i="13" s="1"/>
  <c r="S635" i="13"/>
  <c r="P635" i="13"/>
  <c r="K641" i="13"/>
  <c r="L641" i="13" s="1"/>
  <c r="S642" i="13"/>
  <c r="K644" i="13"/>
  <c r="L644" i="13" s="1"/>
  <c r="H644" i="13"/>
  <c r="N644" i="13"/>
  <c r="S647" i="13"/>
  <c r="R647" i="13"/>
  <c r="P647" i="13"/>
  <c r="J649" i="13"/>
  <c r="H649" i="13"/>
  <c r="N649" i="13"/>
  <c r="Q651" i="13"/>
  <c r="J652" i="13"/>
  <c r="P654" i="13"/>
  <c r="O654" i="13"/>
  <c r="R654" i="13"/>
  <c r="K657" i="13"/>
  <c r="L657" i="13" s="1"/>
  <c r="S658" i="13"/>
  <c r="K660" i="13"/>
  <c r="L660" i="13" s="1"/>
  <c r="H660" i="13"/>
  <c r="N660" i="13"/>
  <c r="S663" i="13"/>
  <c r="R663" i="13"/>
  <c r="P663" i="13"/>
  <c r="J665" i="13"/>
  <c r="H665" i="13"/>
  <c r="N665" i="13"/>
  <c r="Q667" i="13"/>
  <c r="J668" i="13"/>
  <c r="P670" i="13"/>
  <c r="O670" i="13"/>
  <c r="R670" i="13"/>
  <c r="K673" i="13"/>
  <c r="L673" i="13" s="1"/>
  <c r="S674" i="13"/>
  <c r="K676" i="13"/>
  <c r="L676" i="13" s="1"/>
  <c r="H676" i="13"/>
  <c r="N676" i="13"/>
  <c r="S679" i="13"/>
  <c r="R679" i="13"/>
  <c r="P679" i="13"/>
  <c r="J681" i="13"/>
  <c r="H681" i="13"/>
  <c r="N681" i="13"/>
  <c r="Q683" i="13"/>
  <c r="J684" i="13"/>
  <c r="O686" i="13"/>
  <c r="J693" i="13"/>
  <c r="N693" i="13"/>
  <c r="K693" i="13"/>
  <c r="L693" i="13" s="1"/>
  <c r="H693" i="13"/>
  <c r="T596" i="13"/>
  <c r="Q600" i="13"/>
  <c r="K601" i="13"/>
  <c r="L601" i="13" s="1"/>
  <c r="J604" i="13"/>
  <c r="K608" i="13"/>
  <c r="L608" i="13" s="1"/>
  <c r="O608" i="13"/>
  <c r="H611" i="13"/>
  <c r="J617" i="13"/>
  <c r="H617" i="13"/>
  <c r="P620" i="13"/>
  <c r="H624" i="13"/>
  <c r="O627" i="13"/>
  <c r="R628" i="13"/>
  <c r="O631" i="13"/>
  <c r="R632" i="13"/>
  <c r="O635" i="13"/>
  <c r="T637" i="13"/>
  <c r="H638" i="13"/>
  <c r="T640" i="13"/>
  <c r="T645" i="13"/>
  <c r="O647" i="13"/>
  <c r="T651" i="13"/>
  <c r="Q654" i="13"/>
  <c r="H655" i="13"/>
  <c r="T656" i="13"/>
  <c r="T661" i="13"/>
  <c r="O663" i="13"/>
  <c r="T667" i="13"/>
  <c r="Q670" i="13"/>
  <c r="H671" i="13"/>
  <c r="T672" i="13"/>
  <c r="T677" i="13"/>
  <c r="T683" i="13"/>
  <c r="S686" i="13"/>
  <c r="K692" i="13"/>
  <c r="L692" i="13" s="1"/>
  <c r="R697" i="13"/>
  <c r="P697" i="13"/>
  <c r="O697" i="13"/>
  <c r="Q697" i="13"/>
  <c r="J701" i="13"/>
  <c r="K701" i="13"/>
  <c r="L701" i="13" s="1"/>
  <c r="H701" i="13"/>
  <c r="N701" i="13"/>
  <c r="R687" i="13"/>
  <c r="H689" i="13"/>
  <c r="N695" i="13"/>
  <c r="T701" i="13"/>
  <c r="T702" i="13"/>
  <c r="N711" i="13"/>
  <c r="P723" i="13"/>
  <c r="O723" i="13"/>
  <c r="S723" i="13"/>
  <c r="Q723" i="13"/>
  <c r="Q727" i="13"/>
  <c r="P727" i="13"/>
  <c r="O727" i="13"/>
  <c r="S727" i="13"/>
  <c r="N730" i="13"/>
  <c r="T730" i="13"/>
  <c r="K734" i="13"/>
  <c r="L734" i="13" s="1"/>
  <c r="J734" i="13"/>
  <c r="H734" i="13"/>
  <c r="T734" i="13"/>
  <c r="R760" i="13"/>
  <c r="Q760" i="13"/>
  <c r="P760" i="13"/>
  <c r="O760" i="13"/>
  <c r="S760" i="13"/>
  <c r="N800" i="13"/>
  <c r="T800" i="13"/>
  <c r="R705" i="13"/>
  <c r="P705" i="13"/>
  <c r="O705" i="13"/>
  <c r="S709" i="13"/>
  <c r="R709" i="13"/>
  <c r="P709" i="13"/>
  <c r="O709" i="13"/>
  <c r="P719" i="13"/>
  <c r="O719" i="13"/>
  <c r="S719" i="13"/>
  <c r="Q719" i="13"/>
  <c r="K730" i="13"/>
  <c r="L730" i="13" s="1"/>
  <c r="J730" i="13"/>
  <c r="H730" i="13"/>
  <c r="S758" i="13"/>
  <c r="R758" i="13"/>
  <c r="Q758" i="13"/>
  <c r="P758" i="13"/>
  <c r="O758" i="13"/>
  <c r="S786" i="13"/>
  <c r="R786" i="13"/>
  <c r="Q786" i="13"/>
  <c r="P786" i="13"/>
  <c r="O786" i="13"/>
  <c r="T687" i="13"/>
  <c r="R694" i="13"/>
  <c r="P694" i="13"/>
  <c r="P703" i="13"/>
  <c r="S703" i="13"/>
  <c r="O703" i="13"/>
  <c r="Q705" i="13"/>
  <c r="Q709" i="13"/>
  <c r="P715" i="13"/>
  <c r="O715" i="13"/>
  <c r="S715" i="13"/>
  <c r="Q715" i="13"/>
  <c r="R719" i="13"/>
  <c r="S725" i="13"/>
  <c r="R725" i="13"/>
  <c r="Q725" i="13"/>
  <c r="P725" i="13"/>
  <c r="O725" i="13"/>
  <c r="Q731" i="13"/>
  <c r="P731" i="13"/>
  <c r="R731" i="13"/>
  <c r="O731" i="13"/>
  <c r="N736" i="13"/>
  <c r="H736" i="13"/>
  <c r="T736" i="13"/>
  <c r="T689" i="13"/>
  <c r="N689" i="13"/>
  <c r="T692" i="13"/>
  <c r="O694" i="13"/>
  <c r="R698" i="13"/>
  <c r="P698" i="13"/>
  <c r="Q703" i="13"/>
  <c r="S705" i="13"/>
  <c r="N707" i="13"/>
  <c r="K709" i="13"/>
  <c r="L709" i="13" s="1"/>
  <c r="J709" i="13"/>
  <c r="R712" i="13"/>
  <c r="Q712" i="13"/>
  <c r="P712" i="13"/>
  <c r="R715" i="13"/>
  <c r="S721" i="13"/>
  <c r="R721" i="13"/>
  <c r="Q721" i="13"/>
  <c r="P721" i="13"/>
  <c r="O721" i="13"/>
  <c r="S724" i="13"/>
  <c r="R724" i="13"/>
  <c r="Q724" i="13"/>
  <c r="P737" i="13"/>
  <c r="O737" i="13"/>
  <c r="S737" i="13"/>
  <c r="R737" i="13"/>
  <c r="N692" i="13"/>
  <c r="J692" i="13"/>
  <c r="H692" i="13"/>
  <c r="R696" i="13"/>
  <c r="Q696" i="13"/>
  <c r="P696" i="13"/>
  <c r="R702" i="13"/>
  <c r="P702" i="13"/>
  <c r="H710" i="13"/>
  <c r="N710" i="13"/>
  <c r="S712" i="13"/>
  <c r="S720" i="13"/>
  <c r="R720" i="13"/>
  <c r="Q720" i="13"/>
  <c r="H726" i="13"/>
  <c r="N726" i="13"/>
  <c r="Q737" i="13"/>
  <c r="K685" i="13"/>
  <c r="L685" i="13" s="1"/>
  <c r="O688" i="13"/>
  <c r="J691" i="13"/>
  <c r="S694" i="13"/>
  <c r="J696" i="13"/>
  <c r="H696" i="13"/>
  <c r="S696" i="13"/>
  <c r="K697" i="13"/>
  <c r="L697" i="13" s="1"/>
  <c r="Q698" i="13"/>
  <c r="R700" i="13"/>
  <c r="Q700" i="13"/>
  <c r="P700" i="13"/>
  <c r="O702" i="13"/>
  <c r="R706" i="13"/>
  <c r="P706" i="13"/>
  <c r="H711" i="13"/>
  <c r="S716" i="13"/>
  <c r="R716" i="13"/>
  <c r="Q716" i="13"/>
  <c r="H722" i="13"/>
  <c r="N722" i="13"/>
  <c r="K725" i="13"/>
  <c r="L725" i="13" s="1"/>
  <c r="J725" i="13"/>
  <c r="H725" i="13"/>
  <c r="T726" i="13"/>
  <c r="P733" i="13"/>
  <c r="S733" i="13"/>
  <c r="R733" i="13"/>
  <c r="Q733" i="13"/>
  <c r="O733" i="13"/>
  <c r="S739" i="13"/>
  <c r="Q739" i="13"/>
  <c r="P739" i="13"/>
  <c r="R739" i="13"/>
  <c r="O739" i="13"/>
  <c r="T684" i="13"/>
  <c r="O687" i="13"/>
  <c r="H690" i="13"/>
  <c r="T693" i="13"/>
  <c r="T694" i="13"/>
  <c r="S698" i="13"/>
  <c r="H699" i="13"/>
  <c r="J700" i="13"/>
  <c r="H700" i="13"/>
  <c r="S700" i="13"/>
  <c r="Q702" i="13"/>
  <c r="N704" i="13"/>
  <c r="H705" i="13"/>
  <c r="O706" i="13"/>
  <c r="T710" i="13"/>
  <c r="J711" i="13"/>
  <c r="T713" i="13"/>
  <c r="T717" i="13"/>
  <c r="H718" i="13"/>
  <c r="N718" i="13"/>
  <c r="K721" i="13"/>
  <c r="L721" i="13" s="1"/>
  <c r="J721" i="13"/>
  <c r="H721" i="13"/>
  <c r="T722" i="13"/>
  <c r="K763" i="13"/>
  <c r="L763" i="13" s="1"/>
  <c r="J763" i="13"/>
  <c r="H763" i="13"/>
  <c r="N763" i="13"/>
  <c r="H708" i="13"/>
  <c r="H712" i="13"/>
  <c r="H716" i="13"/>
  <c r="H720" i="13"/>
  <c r="H724" i="13"/>
  <c r="K727" i="13"/>
  <c r="L727" i="13" s="1"/>
  <c r="J731" i="13"/>
  <c r="R732" i="13"/>
  <c r="O732" i="13"/>
  <c r="K743" i="13"/>
  <c r="L743" i="13" s="1"/>
  <c r="H743" i="13"/>
  <c r="N743" i="13"/>
  <c r="S746" i="13"/>
  <c r="R746" i="13"/>
  <c r="P746" i="13"/>
  <c r="Q746" i="13"/>
  <c r="S750" i="13"/>
  <c r="R750" i="13"/>
  <c r="P750" i="13"/>
  <c r="Q750" i="13"/>
  <c r="S754" i="13"/>
  <c r="R754" i="13"/>
  <c r="Q754" i="13"/>
  <c r="P754" i="13"/>
  <c r="R756" i="13"/>
  <c r="Q756" i="13"/>
  <c r="P756" i="13"/>
  <c r="O756" i="13"/>
  <c r="K759" i="13"/>
  <c r="L759" i="13" s="1"/>
  <c r="J759" i="13"/>
  <c r="H759" i="13"/>
  <c r="N759" i="13"/>
  <c r="N792" i="13"/>
  <c r="N874" i="13"/>
  <c r="T874" i="13"/>
  <c r="T691" i="13"/>
  <c r="T695" i="13"/>
  <c r="T699" i="13"/>
  <c r="T703" i="13"/>
  <c r="T707" i="13"/>
  <c r="T711" i="13"/>
  <c r="T715" i="13"/>
  <c r="T719" i="13"/>
  <c r="T723" i="13"/>
  <c r="T727" i="13"/>
  <c r="N728" i="13"/>
  <c r="O729" i="13"/>
  <c r="K731" i="13"/>
  <c r="L731" i="13" s="1"/>
  <c r="P732" i="13"/>
  <c r="K739" i="13"/>
  <c r="L739" i="13" s="1"/>
  <c r="H739" i="13"/>
  <c r="N744" i="13"/>
  <c r="T755" i="13"/>
  <c r="S775" i="13"/>
  <c r="R775" i="13"/>
  <c r="P775" i="13"/>
  <c r="O775" i="13"/>
  <c r="H792" i="13"/>
  <c r="K792" i="13"/>
  <c r="L792" i="13" s="1"/>
  <c r="J792" i="13"/>
  <c r="T792" i="13"/>
  <c r="K798" i="13"/>
  <c r="L798" i="13" s="1"/>
  <c r="H798" i="13"/>
  <c r="N848" i="13"/>
  <c r="T848" i="13"/>
  <c r="S850" i="13"/>
  <c r="R850" i="13"/>
  <c r="Q850" i="13"/>
  <c r="P850" i="13"/>
  <c r="O850" i="13"/>
  <c r="Q735" i="13"/>
  <c r="P735" i="13"/>
  <c r="J744" i="13"/>
  <c r="H744" i="13"/>
  <c r="R748" i="13"/>
  <c r="Q748" i="13"/>
  <c r="P748" i="13"/>
  <c r="O748" i="13"/>
  <c r="R752" i="13"/>
  <c r="Q752" i="13"/>
  <c r="P752" i="13"/>
  <c r="O752" i="13"/>
  <c r="K755" i="13"/>
  <c r="L755" i="13" s="1"/>
  <c r="J755" i="13"/>
  <c r="H755" i="13"/>
  <c r="N755" i="13"/>
  <c r="H771" i="13"/>
  <c r="T771" i="13"/>
  <c r="Q772" i="13"/>
  <c r="P772" i="13"/>
  <c r="S772" i="13"/>
  <c r="R772" i="13"/>
  <c r="Q776" i="13"/>
  <c r="P776" i="13"/>
  <c r="S776" i="13"/>
  <c r="R776" i="13"/>
  <c r="O776" i="13"/>
  <c r="T780" i="13"/>
  <c r="N780" i="13"/>
  <c r="S782" i="13"/>
  <c r="R782" i="13"/>
  <c r="Q782" i="13"/>
  <c r="P782" i="13"/>
  <c r="O782" i="13"/>
  <c r="N789" i="13"/>
  <c r="H789" i="13"/>
  <c r="T789" i="13"/>
  <c r="N815" i="13"/>
  <c r="T815" i="13"/>
  <c r="T696" i="13"/>
  <c r="T700" i="13"/>
  <c r="T704" i="13"/>
  <c r="T708" i="13"/>
  <c r="T712" i="13"/>
  <c r="T716" i="13"/>
  <c r="T720" i="13"/>
  <c r="T724" i="13"/>
  <c r="R729" i="13"/>
  <c r="T731" i="13"/>
  <c r="S732" i="13"/>
  <c r="H735" i="13"/>
  <c r="O735" i="13"/>
  <c r="S738" i="13"/>
  <c r="R738" i="13"/>
  <c r="O738" i="13"/>
  <c r="N740" i="13"/>
  <c r="T740" i="13"/>
  <c r="S742" i="13"/>
  <c r="R742" i="13"/>
  <c r="P742" i="13"/>
  <c r="O742" i="13"/>
  <c r="K747" i="13"/>
  <c r="L747" i="13" s="1"/>
  <c r="J747" i="13"/>
  <c r="H747" i="13"/>
  <c r="N747" i="13"/>
  <c r="J748" i="13"/>
  <c r="H748" i="13"/>
  <c r="K751" i="13"/>
  <c r="L751" i="13" s="1"/>
  <c r="J751" i="13"/>
  <c r="H751" i="13"/>
  <c r="N751" i="13"/>
  <c r="J752" i="13"/>
  <c r="H752" i="13"/>
  <c r="N769" i="13"/>
  <c r="T769" i="13"/>
  <c r="H769" i="13"/>
  <c r="H731" i="13"/>
  <c r="R735" i="13"/>
  <c r="K738" i="13"/>
  <c r="L738" i="13" s="1"/>
  <c r="J740" i="13"/>
  <c r="H740" i="13"/>
  <c r="S762" i="13"/>
  <c r="R762" i="13"/>
  <c r="Q762" i="13"/>
  <c r="P762" i="13"/>
  <c r="R764" i="13"/>
  <c r="Q764" i="13"/>
  <c r="P764" i="13"/>
  <c r="O764" i="13"/>
  <c r="K781" i="13"/>
  <c r="L781" i="13" s="1"/>
  <c r="T781" i="13"/>
  <c r="J781" i="13"/>
  <c r="H781" i="13"/>
  <c r="T728" i="13"/>
  <c r="H732" i="13"/>
  <c r="N734" i="13"/>
  <c r="S735" i="13"/>
  <c r="K736" i="13"/>
  <c r="L736" i="13" s="1"/>
  <c r="Q738" i="13"/>
  <c r="J739" i="13"/>
  <c r="T742" i="13"/>
  <c r="T763" i="13"/>
  <c r="N785" i="13"/>
  <c r="T785" i="13"/>
  <c r="H785" i="13"/>
  <c r="T744" i="13"/>
  <c r="R745" i="13"/>
  <c r="T748" i="13"/>
  <c r="R749" i="13"/>
  <c r="T752" i="13"/>
  <c r="R753" i="13"/>
  <c r="T756" i="13"/>
  <c r="T760" i="13"/>
  <c r="R761" i="13"/>
  <c r="T764" i="13"/>
  <c r="K771" i="13"/>
  <c r="L771" i="13" s="1"/>
  <c r="J771" i="13"/>
  <c r="R773" i="13"/>
  <c r="Q774" i="13"/>
  <c r="T775" i="13"/>
  <c r="K778" i="13"/>
  <c r="L778" i="13" s="1"/>
  <c r="H780" i="13"/>
  <c r="S794" i="13"/>
  <c r="R794" i="13"/>
  <c r="O794" i="13"/>
  <c r="H800" i="13"/>
  <c r="K802" i="13"/>
  <c r="L802" i="13" s="1"/>
  <c r="H802" i="13"/>
  <c r="Q804" i="13"/>
  <c r="P804" i="13"/>
  <c r="O804" i="13"/>
  <c r="S804" i="13"/>
  <c r="R804" i="13"/>
  <c r="Q808" i="13"/>
  <c r="P808" i="13"/>
  <c r="O808" i="13"/>
  <c r="S808" i="13"/>
  <c r="Q816" i="13"/>
  <c r="P816" i="13"/>
  <c r="O816" i="13"/>
  <c r="S816" i="13"/>
  <c r="J846" i="13"/>
  <c r="H846" i="13"/>
  <c r="K846" i="13"/>
  <c r="L846" i="13" s="1"/>
  <c r="N846" i="13"/>
  <c r="K870" i="13"/>
  <c r="L870" i="13" s="1"/>
  <c r="J870" i="13"/>
  <c r="H870" i="13"/>
  <c r="N870" i="13"/>
  <c r="N768" i="13"/>
  <c r="N779" i="13"/>
  <c r="S791" i="13"/>
  <c r="R791" i="13"/>
  <c r="Q791" i="13"/>
  <c r="O797" i="13"/>
  <c r="S797" i="13"/>
  <c r="Q797" i="13"/>
  <c r="R797" i="13"/>
  <c r="K806" i="13"/>
  <c r="L806" i="13" s="1"/>
  <c r="H806" i="13"/>
  <c r="O809" i="13"/>
  <c r="S809" i="13"/>
  <c r="R809" i="13"/>
  <c r="Q809" i="13"/>
  <c r="S810" i="13"/>
  <c r="R810" i="13"/>
  <c r="Q810" i="13"/>
  <c r="P810" i="13"/>
  <c r="O810" i="13"/>
  <c r="O817" i="13"/>
  <c r="S817" i="13"/>
  <c r="R817" i="13"/>
  <c r="Q817" i="13"/>
  <c r="S818" i="13"/>
  <c r="R818" i="13"/>
  <c r="Q818" i="13"/>
  <c r="P818" i="13"/>
  <c r="O818" i="13"/>
  <c r="T835" i="13"/>
  <c r="N835" i="13"/>
  <c r="S854" i="13"/>
  <c r="R854" i="13"/>
  <c r="Q854" i="13"/>
  <c r="P854" i="13"/>
  <c r="O854" i="13"/>
  <c r="J738" i="13"/>
  <c r="J742" i="13"/>
  <c r="J746" i="13"/>
  <c r="J750" i="13"/>
  <c r="J754" i="13"/>
  <c r="J758" i="13"/>
  <c r="J762" i="13"/>
  <c r="N767" i="13"/>
  <c r="P770" i="13"/>
  <c r="T772" i="13"/>
  <c r="J773" i="13"/>
  <c r="T773" i="13"/>
  <c r="S774" i="13"/>
  <c r="K779" i="13"/>
  <c r="L779" i="13" s="1"/>
  <c r="J779" i="13"/>
  <c r="H784" i="13"/>
  <c r="N784" i="13"/>
  <c r="H788" i="13"/>
  <c r="N788" i="13"/>
  <c r="H790" i="13"/>
  <c r="O791" i="13"/>
  <c r="N793" i="13"/>
  <c r="H793" i="13"/>
  <c r="Q794" i="13"/>
  <c r="S798" i="13"/>
  <c r="R798" i="13"/>
  <c r="Q798" i="13"/>
  <c r="O798" i="13"/>
  <c r="O801" i="13"/>
  <c r="S801" i="13"/>
  <c r="Q801" i="13"/>
  <c r="R801" i="13"/>
  <c r="K836" i="13"/>
  <c r="L836" i="13" s="1"/>
  <c r="J836" i="13"/>
  <c r="T836" i="13"/>
  <c r="H836" i="13"/>
  <c r="S878" i="13"/>
  <c r="R878" i="13"/>
  <c r="Q878" i="13"/>
  <c r="P878" i="13"/>
  <c r="K767" i="13"/>
  <c r="L767" i="13" s="1"/>
  <c r="J767" i="13"/>
  <c r="H776" i="13"/>
  <c r="P777" i="13"/>
  <c r="O778" i="13"/>
  <c r="K791" i="13"/>
  <c r="L791" i="13" s="1"/>
  <c r="P791" i="13"/>
  <c r="N795" i="13"/>
  <c r="P798" i="13"/>
  <c r="S802" i="13"/>
  <c r="R802" i="13"/>
  <c r="Q802" i="13"/>
  <c r="O802" i="13"/>
  <c r="O805" i="13"/>
  <c r="S805" i="13"/>
  <c r="Q805" i="13"/>
  <c r="R805" i="13"/>
  <c r="S811" i="13"/>
  <c r="R811" i="13"/>
  <c r="Q811" i="13"/>
  <c r="P811" i="13"/>
  <c r="O811" i="13"/>
  <c r="S819" i="13"/>
  <c r="R819" i="13"/>
  <c r="Q819" i="13"/>
  <c r="P819" i="13"/>
  <c r="O819" i="13"/>
  <c r="N880" i="13"/>
  <c r="H880" i="13"/>
  <c r="T880" i="13"/>
  <c r="T746" i="13"/>
  <c r="T750" i="13"/>
  <c r="T754" i="13"/>
  <c r="T758" i="13"/>
  <c r="T762" i="13"/>
  <c r="Q777" i="13"/>
  <c r="S783" i="13"/>
  <c r="R783" i="13"/>
  <c r="Q783" i="13"/>
  <c r="S787" i="13"/>
  <c r="R787" i="13"/>
  <c r="Q787" i="13"/>
  <c r="S799" i="13"/>
  <c r="R799" i="13"/>
  <c r="Q799" i="13"/>
  <c r="P799" i="13"/>
  <c r="O799" i="13"/>
  <c r="S806" i="13"/>
  <c r="R806" i="13"/>
  <c r="Q806" i="13"/>
  <c r="O806" i="13"/>
  <c r="Q812" i="13"/>
  <c r="P812" i="13"/>
  <c r="O812" i="13"/>
  <c r="S812" i="13"/>
  <c r="Q820" i="13"/>
  <c r="P820" i="13"/>
  <c r="O820" i="13"/>
  <c r="S820" i="13"/>
  <c r="P843" i="13"/>
  <c r="S843" i="13"/>
  <c r="R843" i="13"/>
  <c r="Q843" i="13"/>
  <c r="O843" i="13"/>
  <c r="S857" i="13"/>
  <c r="Q857" i="13"/>
  <c r="R857" i="13"/>
  <c r="P857" i="13"/>
  <c r="O857" i="13"/>
  <c r="O745" i="13"/>
  <c r="O749" i="13"/>
  <c r="O753" i="13"/>
  <c r="H756" i="13"/>
  <c r="H760" i="13"/>
  <c r="O761" i="13"/>
  <c r="H764" i="13"/>
  <c r="J768" i="13"/>
  <c r="T768" i="13"/>
  <c r="K775" i="13"/>
  <c r="L775" i="13" s="1"/>
  <c r="J775" i="13"/>
  <c r="R777" i="13"/>
  <c r="O783" i="13"/>
  <c r="O787" i="13"/>
  <c r="S790" i="13"/>
  <c r="O790" i="13"/>
  <c r="H794" i="13"/>
  <c r="S803" i="13"/>
  <c r="R803" i="13"/>
  <c r="Q803" i="13"/>
  <c r="P803" i="13"/>
  <c r="O803" i="13"/>
  <c r="P806" i="13"/>
  <c r="O813" i="13"/>
  <c r="S813" i="13"/>
  <c r="R813" i="13"/>
  <c r="Q813" i="13"/>
  <c r="S814" i="13"/>
  <c r="R814" i="13"/>
  <c r="Q814" i="13"/>
  <c r="P814" i="13"/>
  <c r="O814" i="13"/>
  <c r="P821" i="13"/>
  <c r="Q821" i="13"/>
  <c r="O821" i="13"/>
  <c r="S821" i="13"/>
  <c r="K823" i="13"/>
  <c r="L823" i="13" s="1"/>
  <c r="H823" i="13"/>
  <c r="R824" i="13"/>
  <c r="S824" i="13"/>
  <c r="Q824" i="13"/>
  <c r="P824" i="13"/>
  <c r="O824" i="13"/>
  <c r="T870" i="13"/>
  <c r="K768" i="13"/>
  <c r="L768" i="13" s="1"/>
  <c r="H772" i="13"/>
  <c r="P773" i="13"/>
  <c r="S777" i="13"/>
  <c r="H779" i="13"/>
  <c r="N781" i="13"/>
  <c r="K783" i="13"/>
  <c r="L783" i="13" s="1"/>
  <c r="J783" i="13"/>
  <c r="H783" i="13"/>
  <c r="P783" i="13"/>
  <c r="J784" i="13"/>
  <c r="K787" i="13"/>
  <c r="L787" i="13" s="1"/>
  <c r="J787" i="13"/>
  <c r="H787" i="13"/>
  <c r="P787" i="13"/>
  <c r="J788" i="13"/>
  <c r="P790" i="13"/>
  <c r="T793" i="13"/>
  <c r="Q796" i="13"/>
  <c r="P796" i="13"/>
  <c r="O796" i="13"/>
  <c r="S796" i="13"/>
  <c r="R796" i="13"/>
  <c r="R832" i="13"/>
  <c r="S832" i="13"/>
  <c r="O832" i="13"/>
  <c r="Q832" i="13"/>
  <c r="N863" i="13"/>
  <c r="T863" i="13"/>
  <c r="S882" i="13"/>
  <c r="R882" i="13"/>
  <c r="Q882" i="13"/>
  <c r="P882" i="13"/>
  <c r="O882" i="13"/>
  <c r="K796" i="13"/>
  <c r="L796" i="13" s="1"/>
  <c r="H797" i="13"/>
  <c r="K800" i="13"/>
  <c r="L800" i="13" s="1"/>
  <c r="H801" i="13"/>
  <c r="K804" i="13"/>
  <c r="L804" i="13" s="1"/>
  <c r="H805" i="13"/>
  <c r="K808" i="13"/>
  <c r="L808" i="13" s="1"/>
  <c r="H809" i="13"/>
  <c r="K812" i="13"/>
  <c r="L812" i="13" s="1"/>
  <c r="H813" i="13"/>
  <c r="K816" i="13"/>
  <c r="L816" i="13" s="1"/>
  <c r="H817" i="13"/>
  <c r="K820" i="13"/>
  <c r="L820" i="13" s="1"/>
  <c r="H821" i="13"/>
  <c r="H822" i="13"/>
  <c r="S822" i="13"/>
  <c r="H824" i="13"/>
  <c r="N826" i="13"/>
  <c r="N828" i="13"/>
  <c r="H838" i="13"/>
  <c r="N842" i="13"/>
  <c r="H848" i="13"/>
  <c r="O852" i="13"/>
  <c r="Q852" i="13"/>
  <c r="R852" i="13"/>
  <c r="S861" i="13"/>
  <c r="Q861" i="13"/>
  <c r="R861" i="13"/>
  <c r="H864" i="13"/>
  <c r="Q867" i="13"/>
  <c r="P867" i="13"/>
  <c r="O867" i="13"/>
  <c r="R867" i="13"/>
  <c r="T868" i="13"/>
  <c r="K874" i="13"/>
  <c r="L874" i="13" s="1"/>
  <c r="J874" i="13"/>
  <c r="H874" i="13"/>
  <c r="T808" i="13"/>
  <c r="T812" i="13"/>
  <c r="T816" i="13"/>
  <c r="T820" i="13"/>
  <c r="J828" i="13"/>
  <c r="K828" i="13"/>
  <c r="L828" i="13" s="1"/>
  <c r="R845" i="13"/>
  <c r="S845" i="13"/>
  <c r="O856" i="13"/>
  <c r="Q856" i="13"/>
  <c r="R856" i="13"/>
  <c r="S858" i="13"/>
  <c r="R858" i="13"/>
  <c r="Q858" i="13"/>
  <c r="S865" i="13"/>
  <c r="Q865" i="13"/>
  <c r="R865" i="13"/>
  <c r="Q871" i="13"/>
  <c r="P871" i="13"/>
  <c r="O871" i="13"/>
  <c r="R871" i="13"/>
  <c r="K878" i="13"/>
  <c r="L878" i="13" s="1"/>
  <c r="J878" i="13"/>
  <c r="H878" i="13"/>
  <c r="T878" i="13"/>
  <c r="H810" i="13"/>
  <c r="H814" i="13"/>
  <c r="H818" i="13"/>
  <c r="H825" i="13"/>
  <c r="N825" i="13"/>
  <c r="O827" i="13"/>
  <c r="H830" i="13"/>
  <c r="H831" i="13"/>
  <c r="N834" i="13"/>
  <c r="H837" i="13"/>
  <c r="O841" i="13"/>
  <c r="T845" i="13"/>
  <c r="O845" i="13"/>
  <c r="N847" i="13"/>
  <c r="K850" i="13"/>
  <c r="L850" i="13" s="1"/>
  <c r="J850" i="13"/>
  <c r="H850" i="13"/>
  <c r="P852" i="13"/>
  <c r="O858" i="13"/>
  <c r="O860" i="13"/>
  <c r="Q860" i="13"/>
  <c r="R860" i="13"/>
  <c r="N862" i="13"/>
  <c r="O865" i="13"/>
  <c r="S869" i="13"/>
  <c r="Q869" i="13"/>
  <c r="R869" i="13"/>
  <c r="S871" i="13"/>
  <c r="Q875" i="13"/>
  <c r="P875" i="13"/>
  <c r="O875" i="13"/>
  <c r="R875" i="13"/>
  <c r="K882" i="13"/>
  <c r="L882" i="13" s="1"/>
  <c r="J882" i="13"/>
  <c r="H882" i="13"/>
  <c r="T797" i="13"/>
  <c r="T801" i="13"/>
  <c r="T805" i="13"/>
  <c r="T809" i="13"/>
  <c r="T813" i="13"/>
  <c r="T817" i="13"/>
  <c r="P827" i="13"/>
  <c r="R838" i="13"/>
  <c r="O838" i="13"/>
  <c r="O839" i="13"/>
  <c r="P841" i="13"/>
  <c r="H845" i="13"/>
  <c r="J845" i="13"/>
  <c r="P845" i="13"/>
  <c r="H847" i="13"/>
  <c r="J847" i="13"/>
  <c r="K854" i="13"/>
  <c r="L854" i="13" s="1"/>
  <c r="J854" i="13"/>
  <c r="H854" i="13"/>
  <c r="T854" i="13"/>
  <c r="P856" i="13"/>
  <c r="P858" i="13"/>
  <c r="O864" i="13"/>
  <c r="Q864" i="13"/>
  <c r="R864" i="13"/>
  <c r="P865" i="13"/>
  <c r="S866" i="13"/>
  <c r="R866" i="13"/>
  <c r="Q866" i="13"/>
  <c r="T871" i="13"/>
  <c r="S873" i="13"/>
  <c r="Q873" i="13"/>
  <c r="R873" i="13"/>
  <c r="Q879" i="13"/>
  <c r="P879" i="13"/>
  <c r="O879" i="13"/>
  <c r="R879" i="13"/>
  <c r="Q887" i="13"/>
  <c r="P887" i="13"/>
  <c r="O887" i="13"/>
  <c r="R887" i="13"/>
  <c r="S887" i="13"/>
  <c r="H791" i="13"/>
  <c r="H795" i="13"/>
  <c r="H799" i="13"/>
  <c r="H803" i="13"/>
  <c r="H807" i="13"/>
  <c r="H811" i="13"/>
  <c r="H815" i="13"/>
  <c r="H819" i="13"/>
  <c r="J824" i="13"/>
  <c r="K824" i="13"/>
  <c r="L824" i="13" s="1"/>
  <c r="Q827" i="13"/>
  <c r="H833" i="13"/>
  <c r="N833" i="13"/>
  <c r="H835" i="13"/>
  <c r="P838" i="13"/>
  <c r="Q839" i="13"/>
  <c r="Q841" i="13"/>
  <c r="Q845" i="13"/>
  <c r="Q851" i="13"/>
  <c r="P851" i="13"/>
  <c r="O851" i="13"/>
  <c r="R851" i="13"/>
  <c r="T852" i="13"/>
  <c r="S856" i="13"/>
  <c r="K858" i="13"/>
  <c r="L858" i="13" s="1"/>
  <c r="J858" i="13"/>
  <c r="H858" i="13"/>
  <c r="P860" i="13"/>
  <c r="O866" i="13"/>
  <c r="O868" i="13"/>
  <c r="Q868" i="13"/>
  <c r="R868" i="13"/>
  <c r="O873" i="13"/>
  <c r="S877" i="13"/>
  <c r="Q877" i="13"/>
  <c r="R877" i="13"/>
  <c r="S879" i="13"/>
  <c r="Q883" i="13"/>
  <c r="P883" i="13"/>
  <c r="O883" i="13"/>
  <c r="R883" i="13"/>
  <c r="S886" i="13"/>
  <c r="R886" i="13"/>
  <c r="Q886" i="13"/>
  <c r="O886" i="13"/>
  <c r="J791" i="13"/>
  <c r="J795" i="13"/>
  <c r="J799" i="13"/>
  <c r="J803" i="13"/>
  <c r="J807" i="13"/>
  <c r="J811" i="13"/>
  <c r="J815" i="13"/>
  <c r="J819" i="13"/>
  <c r="P822" i="13"/>
  <c r="O823" i="13"/>
  <c r="H826" i="13"/>
  <c r="R827" i="13"/>
  <c r="H828" i="13"/>
  <c r="N830" i="13"/>
  <c r="J835" i="13"/>
  <c r="Q838" i="13"/>
  <c r="R839" i="13"/>
  <c r="R841" i="13"/>
  <c r="H842" i="13"/>
  <c r="T842" i="13"/>
  <c r="J843" i="13"/>
  <c r="N844" i="13"/>
  <c r="T844" i="13"/>
  <c r="K848" i="13"/>
  <c r="L848" i="13" s="1"/>
  <c r="S849" i="13"/>
  <c r="Q849" i="13"/>
  <c r="R849" i="13"/>
  <c r="S851" i="13"/>
  <c r="H852" i="13"/>
  <c r="Q855" i="13"/>
  <c r="P855" i="13"/>
  <c r="O855" i="13"/>
  <c r="R855" i="13"/>
  <c r="T856" i="13"/>
  <c r="S860" i="13"/>
  <c r="K862" i="13"/>
  <c r="L862" i="13" s="1"/>
  <c r="J862" i="13"/>
  <c r="H862" i="13"/>
  <c r="P864" i="13"/>
  <c r="P866" i="13"/>
  <c r="O872" i="13"/>
  <c r="Q872" i="13"/>
  <c r="R872" i="13"/>
  <c r="P873" i="13"/>
  <c r="O877" i="13"/>
  <c r="T879" i="13"/>
  <c r="S881" i="13"/>
  <c r="Q881" i="13"/>
  <c r="R881" i="13"/>
  <c r="S883" i="13"/>
  <c r="Q822" i="13"/>
  <c r="J825" i="13"/>
  <c r="T826" i="13"/>
  <c r="J832" i="13"/>
  <c r="K832" i="13"/>
  <c r="L832" i="13" s="1"/>
  <c r="H834" i="13"/>
  <c r="N836" i="13"/>
  <c r="P837" i="13"/>
  <c r="S838" i="13"/>
  <c r="H839" i="13"/>
  <c r="S839" i="13"/>
  <c r="H841" i="13"/>
  <c r="K842" i="13"/>
  <c r="L842" i="13" s="1"/>
  <c r="J844" i="13"/>
  <c r="K844" i="13"/>
  <c r="L844" i="13" s="1"/>
  <c r="T846" i="13"/>
  <c r="O849" i="13"/>
  <c r="T851" i="13"/>
  <c r="S853" i="13"/>
  <c r="Q853" i="13"/>
  <c r="R853" i="13"/>
  <c r="S855" i="13"/>
  <c r="H856" i="13"/>
  <c r="Q859" i="13"/>
  <c r="P859" i="13"/>
  <c r="O859" i="13"/>
  <c r="R859" i="13"/>
  <c r="T860" i="13"/>
  <c r="S864" i="13"/>
  <c r="K866" i="13"/>
  <c r="L866" i="13" s="1"/>
  <c r="J866" i="13"/>
  <c r="H866" i="13"/>
  <c r="P868" i="13"/>
  <c r="O876" i="13"/>
  <c r="Q876" i="13"/>
  <c r="R876" i="13"/>
  <c r="P877" i="13"/>
  <c r="O881" i="13"/>
  <c r="T883" i="13"/>
  <c r="T841" i="13"/>
  <c r="R884" i="13"/>
  <c r="N888" i="13"/>
  <c r="H888" i="13"/>
  <c r="K886" i="13"/>
  <c r="L886" i="13" s="1"/>
  <c r="J886" i="13"/>
  <c r="H886" i="13"/>
  <c r="H887" i="13"/>
  <c r="J887" i="13"/>
  <c r="H851" i="13"/>
  <c r="H855" i="13"/>
  <c r="H859" i="13"/>
  <c r="H863" i="13"/>
  <c r="H867" i="13"/>
  <c r="H871" i="13"/>
  <c r="H875" i="13"/>
  <c r="H879" i="13"/>
  <c r="H883" i="13"/>
  <c r="Q884" i="13"/>
  <c r="N889" i="13"/>
  <c r="S620" i="13" l="1"/>
  <c r="R620" i="13"/>
  <c r="Q620" i="13"/>
  <c r="R757" i="13"/>
  <c r="S629" i="13"/>
  <c r="Q482" i="13"/>
  <c r="P394" i="13"/>
  <c r="Q166" i="13"/>
  <c r="R173" i="13"/>
  <c r="P160" i="13"/>
  <c r="R178" i="13"/>
  <c r="S765" i="13"/>
  <c r="P619" i="13"/>
  <c r="S619" i="13"/>
  <c r="O774" i="13"/>
  <c r="R774" i="13"/>
  <c r="P774" i="13"/>
  <c r="P861" i="13"/>
  <c r="O861" i="13"/>
  <c r="R790" i="13"/>
  <c r="Q790" i="13"/>
  <c r="R535" i="13"/>
  <c r="Q535" i="13"/>
  <c r="O535" i="13"/>
  <c r="P154" i="13"/>
  <c r="O154" i="13"/>
  <c r="S238" i="13"/>
  <c r="R238" i="13"/>
  <c r="O238" i="13"/>
  <c r="Q252" i="13"/>
  <c r="S252" i="13"/>
  <c r="R252" i="13"/>
  <c r="P252" i="13"/>
  <c r="O252" i="13"/>
  <c r="O629" i="13"/>
  <c r="O482" i="13"/>
  <c r="O394" i="13"/>
  <c r="Q312" i="13"/>
  <c r="Q160" i="13"/>
  <c r="S178" i="13"/>
  <c r="P119" i="13"/>
  <c r="S546" i="13"/>
  <c r="S757" i="13"/>
  <c r="Q546" i="13"/>
  <c r="R460" i="13"/>
  <c r="O248" i="13"/>
  <c r="P615" i="13"/>
  <c r="S631" i="13"/>
  <c r="P631" i="13"/>
  <c r="P749" i="13"/>
  <c r="Q749" i="13"/>
  <c r="S749" i="13"/>
  <c r="P753" i="13"/>
  <c r="S753" i="13"/>
  <c r="Q753" i="13"/>
  <c r="S326" i="13"/>
  <c r="O326" i="13"/>
  <c r="Q456" i="13"/>
  <c r="R456" i="13"/>
  <c r="R340" i="13"/>
  <c r="P340" i="13"/>
  <c r="O49" i="13"/>
  <c r="S49" i="13"/>
  <c r="S170" i="13"/>
  <c r="P170" i="13"/>
  <c r="O170" i="13"/>
  <c r="Q244" i="13"/>
  <c r="S244" i="13"/>
  <c r="P224" i="13"/>
  <c r="O224" i="13"/>
  <c r="P401" i="13"/>
  <c r="O401" i="13"/>
  <c r="Q240" i="13"/>
  <c r="S240" i="13"/>
  <c r="Q629" i="13"/>
  <c r="S401" i="13"/>
  <c r="O469" i="13"/>
  <c r="R240" i="13"/>
  <c r="P482" i="13"/>
  <c r="R394" i="13"/>
  <c r="P178" i="13"/>
  <c r="R119" i="13"/>
  <c r="Q770" i="13"/>
  <c r="R770" i="13"/>
  <c r="O770" i="13"/>
  <c r="O33" i="13"/>
  <c r="S33" i="13"/>
  <c r="Q33" i="13"/>
  <c r="Q559" i="13"/>
  <c r="P559" i="13"/>
  <c r="P405" i="13"/>
  <c r="O405" i="13"/>
  <c r="S405" i="13"/>
  <c r="P546" i="13"/>
  <c r="P469" i="13"/>
  <c r="R401" i="13"/>
  <c r="R482" i="13"/>
  <c r="Q386" i="13"/>
  <c r="S267" i="13"/>
  <c r="Q173" i="13"/>
  <c r="P41" i="13"/>
  <c r="S119" i="13"/>
  <c r="O111" i="13"/>
  <c r="P765" i="13"/>
  <c r="Q539" i="13"/>
  <c r="O539" i="13"/>
  <c r="R336" i="13"/>
  <c r="S336" i="13"/>
  <c r="Q239" i="13"/>
  <c r="R239" i="13"/>
  <c r="O184" i="13"/>
  <c r="R184" i="13"/>
  <c r="S479" i="13"/>
  <c r="R479" i="13"/>
  <c r="R6" i="13"/>
  <c r="O6" i="13"/>
  <c r="R765" i="13"/>
  <c r="R469" i="13"/>
  <c r="R409" i="13"/>
  <c r="Q401" i="13"/>
  <c r="P267" i="13"/>
  <c r="P386" i="13"/>
  <c r="O267" i="13"/>
  <c r="O312" i="13"/>
  <c r="Q6" i="13"/>
  <c r="R41" i="13"/>
  <c r="O119" i="13"/>
  <c r="P111" i="13"/>
  <c r="Q619" i="13"/>
  <c r="S460" i="13"/>
  <c r="P745" i="13"/>
  <c r="S745" i="13"/>
  <c r="Q745" i="13"/>
  <c r="R335" i="13"/>
  <c r="Q335" i="13"/>
  <c r="S831" i="13"/>
  <c r="O831" i="13"/>
  <c r="Q831" i="13"/>
  <c r="P831" i="13"/>
  <c r="S183" i="13"/>
  <c r="Q183" i="13"/>
  <c r="P413" i="13"/>
  <c r="O413" i="13"/>
  <c r="S413" i="13"/>
  <c r="R242" i="13"/>
  <c r="S242" i="13"/>
  <c r="S600" i="13"/>
  <c r="R600" i="13"/>
  <c r="Q248" i="13"/>
  <c r="S248" i="13"/>
  <c r="R248" i="13"/>
  <c r="S166" i="13"/>
  <c r="P166" i="13"/>
  <c r="O166" i="13"/>
  <c r="O757" i="13"/>
  <c r="P600" i="13"/>
  <c r="O600" i="13"/>
  <c r="O460" i="13"/>
  <c r="S469" i="13"/>
  <c r="P240" i="13"/>
  <c r="O386" i="13"/>
  <c r="P312" i="13"/>
  <c r="S173" i="13"/>
  <c r="R160" i="13"/>
  <c r="R111" i="13"/>
  <c r="R619" i="13"/>
  <c r="R615" i="13"/>
  <c r="S6" i="13"/>
  <c r="Q460" i="13"/>
  <c r="O228" i="13"/>
  <c r="P228" i="13"/>
  <c r="S174" i="13"/>
  <c r="P174" i="13"/>
  <c r="O174" i="13"/>
  <c r="P449" i="13"/>
  <c r="O449" i="13"/>
  <c r="S547" i="13"/>
  <c r="P547" i="13"/>
  <c r="O547" i="13"/>
  <c r="Q547" i="13"/>
  <c r="P409" i="13"/>
  <c r="O409" i="13"/>
  <c r="S409" i="13"/>
  <c r="S41" i="13"/>
  <c r="S615" i="13"/>
  <c r="Q765" i="13"/>
  <c r="P173" i="13"/>
  <c r="R840" i="13"/>
  <c r="S840" i="13"/>
  <c r="Q840" i="13"/>
  <c r="S766" i="13"/>
  <c r="O766" i="13"/>
  <c r="O562" i="13"/>
  <c r="R562" i="13"/>
  <c r="Q562" i="13"/>
  <c r="P265" i="13"/>
  <c r="Q265" i="13"/>
  <c r="S618" i="13"/>
  <c r="R618" i="13"/>
  <c r="O830" i="13"/>
  <c r="S830" i="13"/>
  <c r="R830" i="13"/>
  <c r="Q830" i="13"/>
  <c r="P830" i="13"/>
  <c r="P835" i="13"/>
  <c r="O835" i="13"/>
  <c r="Q835" i="13"/>
  <c r="S835" i="13"/>
  <c r="R835" i="13"/>
  <c r="S713" i="13"/>
  <c r="R713" i="13"/>
  <c r="Q713" i="13"/>
  <c r="P713" i="13"/>
  <c r="O713" i="13"/>
  <c r="O836" i="13"/>
  <c r="P836" i="13"/>
  <c r="S836" i="13"/>
  <c r="R836" i="13"/>
  <c r="Q836" i="13"/>
  <c r="O793" i="13"/>
  <c r="Q793" i="13"/>
  <c r="S793" i="13"/>
  <c r="R793" i="13"/>
  <c r="P793" i="13"/>
  <c r="S779" i="13"/>
  <c r="R779" i="13"/>
  <c r="Q779" i="13"/>
  <c r="P779" i="13"/>
  <c r="O779" i="13"/>
  <c r="S734" i="13"/>
  <c r="R734" i="13"/>
  <c r="O734" i="13"/>
  <c r="Q734" i="13"/>
  <c r="P734" i="13"/>
  <c r="R740" i="13"/>
  <c r="Q740" i="13"/>
  <c r="O740" i="13"/>
  <c r="S740" i="13"/>
  <c r="P740" i="13"/>
  <c r="S755" i="13"/>
  <c r="R755" i="13"/>
  <c r="Q755" i="13"/>
  <c r="P755" i="13"/>
  <c r="O755" i="13"/>
  <c r="R728" i="13"/>
  <c r="O728" i="13"/>
  <c r="S728" i="13"/>
  <c r="Q728" i="13"/>
  <c r="P728" i="13"/>
  <c r="R722" i="13"/>
  <c r="Q722" i="13"/>
  <c r="P722" i="13"/>
  <c r="O722" i="13"/>
  <c r="S722" i="13"/>
  <c r="P707" i="13"/>
  <c r="S707" i="13"/>
  <c r="R707" i="13"/>
  <c r="Q707" i="13"/>
  <c r="O707" i="13"/>
  <c r="S717" i="13"/>
  <c r="R717" i="13"/>
  <c r="Q717" i="13"/>
  <c r="P717" i="13"/>
  <c r="O717" i="13"/>
  <c r="S680" i="13"/>
  <c r="Q680" i="13"/>
  <c r="P680" i="13"/>
  <c r="R680" i="13"/>
  <c r="O680" i="13"/>
  <c r="R669" i="13"/>
  <c r="Q669" i="13"/>
  <c r="O669" i="13"/>
  <c r="S669" i="13"/>
  <c r="P669" i="13"/>
  <c r="S612" i="13"/>
  <c r="R612" i="13"/>
  <c r="Q612" i="13"/>
  <c r="P612" i="13"/>
  <c r="O612" i="13"/>
  <c r="R657" i="13"/>
  <c r="Q657" i="13"/>
  <c r="O657" i="13"/>
  <c r="S657" i="13"/>
  <c r="P657" i="13"/>
  <c r="P622" i="13"/>
  <c r="O622" i="13"/>
  <c r="S622" i="13"/>
  <c r="R622" i="13"/>
  <c r="Q622" i="13"/>
  <c r="R322" i="13"/>
  <c r="Q322" i="13"/>
  <c r="P322" i="13"/>
  <c r="S322" i="13"/>
  <c r="O322" i="13"/>
  <c r="S552" i="13"/>
  <c r="R552" i="13"/>
  <c r="Q552" i="13"/>
  <c r="O552" i="13"/>
  <c r="P552" i="13"/>
  <c r="S466" i="13"/>
  <c r="R466" i="13"/>
  <c r="O466" i="13"/>
  <c r="P466" i="13"/>
  <c r="Q466" i="13"/>
  <c r="Q423" i="13"/>
  <c r="P423" i="13"/>
  <c r="O423" i="13"/>
  <c r="R423" i="13"/>
  <c r="S423" i="13"/>
  <c r="S470" i="13"/>
  <c r="R470" i="13"/>
  <c r="O470" i="13"/>
  <c r="P470" i="13"/>
  <c r="Q470" i="13"/>
  <c r="Q359" i="13"/>
  <c r="P359" i="13"/>
  <c r="S359" i="13"/>
  <c r="R359" i="13"/>
  <c r="O359" i="13"/>
  <c r="S337" i="13"/>
  <c r="R337" i="13"/>
  <c r="P337" i="13"/>
  <c r="O337" i="13"/>
  <c r="Q337" i="13"/>
  <c r="S329" i="13"/>
  <c r="R329" i="13"/>
  <c r="P329" i="13"/>
  <c r="O329" i="13"/>
  <c r="Q329" i="13"/>
  <c r="Q210" i="13"/>
  <c r="P210" i="13"/>
  <c r="S210" i="13"/>
  <c r="R210" i="13"/>
  <c r="O210" i="13"/>
  <c r="R177" i="13"/>
  <c r="S177" i="13"/>
  <c r="Q177" i="13"/>
  <c r="P177" i="13"/>
  <c r="O177" i="13"/>
  <c r="O255" i="13"/>
  <c r="S255" i="13"/>
  <c r="R255" i="13"/>
  <c r="Q255" i="13"/>
  <c r="P255" i="13"/>
  <c r="O219" i="13"/>
  <c r="S219" i="13"/>
  <c r="R219" i="13"/>
  <c r="Q219" i="13"/>
  <c r="P219" i="13"/>
  <c r="O165" i="13"/>
  <c r="Q165" i="13"/>
  <c r="S165" i="13"/>
  <c r="R165" i="13"/>
  <c r="P165" i="13"/>
  <c r="Q139" i="13"/>
  <c r="O139" i="13"/>
  <c r="S139" i="13"/>
  <c r="R139" i="13"/>
  <c r="P139" i="13"/>
  <c r="S81" i="13"/>
  <c r="R81" i="13"/>
  <c r="Q81" i="13"/>
  <c r="P81" i="13"/>
  <c r="O81" i="13"/>
  <c r="R57" i="13"/>
  <c r="Q57" i="13"/>
  <c r="P57" i="13"/>
  <c r="S57" i="13"/>
  <c r="O57" i="13"/>
  <c r="O14" i="13"/>
  <c r="S14" i="13"/>
  <c r="R14" i="13"/>
  <c r="Q14" i="13"/>
  <c r="P14" i="13"/>
  <c r="S97" i="13"/>
  <c r="R97" i="13"/>
  <c r="Q97" i="13"/>
  <c r="P97" i="13"/>
  <c r="O97" i="13"/>
  <c r="R31" i="13"/>
  <c r="Q31" i="13"/>
  <c r="S31" i="13"/>
  <c r="P31" i="13"/>
  <c r="O31" i="13"/>
  <c r="R27" i="13"/>
  <c r="Q27" i="13"/>
  <c r="O27" i="13"/>
  <c r="S27" i="13"/>
  <c r="P27" i="13"/>
  <c r="S675" i="13"/>
  <c r="R675" i="13"/>
  <c r="P675" i="13"/>
  <c r="Q675" i="13"/>
  <c r="O675" i="13"/>
  <c r="O542" i="13"/>
  <c r="S542" i="13"/>
  <c r="R542" i="13"/>
  <c r="Q542" i="13"/>
  <c r="P542" i="13"/>
  <c r="O396" i="13"/>
  <c r="S396" i="13"/>
  <c r="R396" i="13"/>
  <c r="P396" i="13"/>
  <c r="Q396" i="13"/>
  <c r="P833" i="13"/>
  <c r="Q833" i="13"/>
  <c r="R833" i="13"/>
  <c r="O833" i="13"/>
  <c r="S833" i="13"/>
  <c r="Q768" i="13"/>
  <c r="P768" i="13"/>
  <c r="S768" i="13"/>
  <c r="R768" i="13"/>
  <c r="O768" i="13"/>
  <c r="O785" i="13"/>
  <c r="S785" i="13"/>
  <c r="R785" i="13"/>
  <c r="Q785" i="13"/>
  <c r="P785" i="13"/>
  <c r="S751" i="13"/>
  <c r="R751" i="13"/>
  <c r="Q751" i="13"/>
  <c r="P751" i="13"/>
  <c r="O751" i="13"/>
  <c r="R605" i="13"/>
  <c r="Q605" i="13"/>
  <c r="S605" i="13"/>
  <c r="P605" i="13"/>
  <c r="O605" i="13"/>
  <c r="S603" i="13"/>
  <c r="R603" i="13"/>
  <c r="Q603" i="13"/>
  <c r="P603" i="13"/>
  <c r="O603" i="13"/>
  <c r="Q537" i="13"/>
  <c r="P537" i="13"/>
  <c r="R537" i="13"/>
  <c r="O537" i="13"/>
  <c r="S537" i="13"/>
  <c r="Q519" i="13"/>
  <c r="P519" i="13"/>
  <c r="O519" i="13"/>
  <c r="S519" i="13"/>
  <c r="R519" i="13"/>
  <c r="O538" i="13"/>
  <c r="R538" i="13"/>
  <c r="Q538" i="13"/>
  <c r="P538" i="13"/>
  <c r="S538" i="13"/>
  <c r="S640" i="13"/>
  <c r="Q640" i="13"/>
  <c r="P640" i="13"/>
  <c r="R640" i="13"/>
  <c r="O640" i="13"/>
  <c r="R661" i="13"/>
  <c r="Q661" i="13"/>
  <c r="O661" i="13"/>
  <c r="S661" i="13"/>
  <c r="P661" i="13"/>
  <c r="S522" i="13"/>
  <c r="R522" i="13"/>
  <c r="Q522" i="13"/>
  <c r="P522" i="13"/>
  <c r="O522" i="13"/>
  <c r="O530" i="13"/>
  <c r="S530" i="13"/>
  <c r="R530" i="13"/>
  <c r="Q530" i="13"/>
  <c r="P530" i="13"/>
  <c r="S544" i="13"/>
  <c r="R544" i="13"/>
  <c r="Q544" i="13"/>
  <c r="P544" i="13"/>
  <c r="O544" i="13"/>
  <c r="S370" i="13"/>
  <c r="R370" i="13"/>
  <c r="Q370" i="13"/>
  <c r="P370" i="13"/>
  <c r="O370" i="13"/>
  <c r="O380" i="13"/>
  <c r="S380" i="13"/>
  <c r="R380" i="13"/>
  <c r="P380" i="13"/>
  <c r="Q380" i="13"/>
  <c r="P319" i="13"/>
  <c r="O319" i="13"/>
  <c r="S319" i="13"/>
  <c r="R319" i="13"/>
  <c r="Q319" i="13"/>
  <c r="S807" i="13"/>
  <c r="R807" i="13"/>
  <c r="Q807" i="13"/>
  <c r="P807" i="13"/>
  <c r="O807" i="13"/>
  <c r="O215" i="13"/>
  <c r="S215" i="13"/>
  <c r="R215" i="13"/>
  <c r="Q215" i="13"/>
  <c r="P215" i="13"/>
  <c r="O279" i="13"/>
  <c r="S279" i="13"/>
  <c r="R279" i="13"/>
  <c r="Q279" i="13"/>
  <c r="P279" i="13"/>
  <c r="Q250" i="13"/>
  <c r="P250" i="13"/>
  <c r="S250" i="13"/>
  <c r="R250" i="13"/>
  <c r="O250" i="13"/>
  <c r="P283" i="13"/>
  <c r="O283" i="13"/>
  <c r="Q283" i="13"/>
  <c r="S283" i="13"/>
  <c r="R283" i="13"/>
  <c r="R195" i="13"/>
  <c r="Q195" i="13"/>
  <c r="P195" i="13"/>
  <c r="S195" i="13"/>
  <c r="O195" i="13"/>
  <c r="P194" i="13"/>
  <c r="S194" i="13"/>
  <c r="R194" i="13"/>
  <c r="Q194" i="13"/>
  <c r="O194" i="13"/>
  <c r="O157" i="13"/>
  <c r="Q157" i="13"/>
  <c r="S157" i="13"/>
  <c r="R157" i="13"/>
  <c r="P157" i="13"/>
  <c r="Q133" i="13"/>
  <c r="S133" i="13"/>
  <c r="R133" i="13"/>
  <c r="P133" i="13"/>
  <c r="O133" i="13"/>
  <c r="Q115" i="13"/>
  <c r="S115" i="13"/>
  <c r="R115" i="13"/>
  <c r="P115" i="13"/>
  <c r="O115" i="13"/>
  <c r="O112" i="13"/>
  <c r="S112" i="13"/>
  <c r="R112" i="13"/>
  <c r="Q112" i="13"/>
  <c r="P112" i="13"/>
  <c r="R47" i="13"/>
  <c r="Q47" i="13"/>
  <c r="S47" i="13"/>
  <c r="P47" i="13"/>
  <c r="O47" i="13"/>
  <c r="P34" i="13"/>
  <c r="S34" i="13"/>
  <c r="Q34" i="13"/>
  <c r="O34" i="13"/>
  <c r="R34" i="13"/>
  <c r="P30" i="13"/>
  <c r="S30" i="13"/>
  <c r="R30" i="13"/>
  <c r="Q30" i="13"/>
  <c r="O30" i="13"/>
  <c r="R12" i="13"/>
  <c r="P12" i="13"/>
  <c r="O12" i="13"/>
  <c r="S12" i="13"/>
  <c r="Q12" i="13"/>
  <c r="R8" i="13"/>
  <c r="S8" i="13"/>
  <c r="Q8" i="13"/>
  <c r="P8" i="13"/>
  <c r="O8" i="13"/>
  <c r="R24" i="13"/>
  <c r="P24" i="13"/>
  <c r="O24" i="13"/>
  <c r="S24" i="13"/>
  <c r="Q24" i="13"/>
  <c r="R61" i="13"/>
  <c r="Q61" i="13"/>
  <c r="P61" i="13"/>
  <c r="S61" i="13"/>
  <c r="O61" i="13"/>
  <c r="P17" i="13"/>
  <c r="S17" i="13"/>
  <c r="R17" i="13"/>
  <c r="Q17" i="13"/>
  <c r="O17" i="13"/>
  <c r="R834" i="13"/>
  <c r="P834" i="13"/>
  <c r="Q834" i="13"/>
  <c r="S834" i="13"/>
  <c r="O834" i="13"/>
  <c r="O880" i="13"/>
  <c r="Q880" i="13"/>
  <c r="R880" i="13"/>
  <c r="S880" i="13"/>
  <c r="P880" i="13"/>
  <c r="S870" i="13"/>
  <c r="R870" i="13"/>
  <c r="Q870" i="13"/>
  <c r="P870" i="13"/>
  <c r="O870" i="13"/>
  <c r="S815" i="13"/>
  <c r="R815" i="13"/>
  <c r="Q815" i="13"/>
  <c r="P815" i="13"/>
  <c r="O815" i="13"/>
  <c r="R744" i="13"/>
  <c r="Q744" i="13"/>
  <c r="O744" i="13"/>
  <c r="S744" i="13"/>
  <c r="P744" i="13"/>
  <c r="S743" i="13"/>
  <c r="Q743" i="13"/>
  <c r="P743" i="13"/>
  <c r="R743" i="13"/>
  <c r="O743" i="13"/>
  <c r="P695" i="13"/>
  <c r="S695" i="13"/>
  <c r="R695" i="13"/>
  <c r="O695" i="13"/>
  <c r="Q695" i="13"/>
  <c r="R693" i="13"/>
  <c r="P693" i="13"/>
  <c r="O693" i="13"/>
  <c r="S693" i="13"/>
  <c r="Q693" i="13"/>
  <c r="S668" i="13"/>
  <c r="Q668" i="13"/>
  <c r="P668" i="13"/>
  <c r="O668" i="13"/>
  <c r="R668" i="13"/>
  <c r="P602" i="13"/>
  <c r="O602" i="13"/>
  <c r="S602" i="13"/>
  <c r="R602" i="13"/>
  <c r="Q602" i="13"/>
  <c r="Q549" i="13"/>
  <c r="P549" i="13"/>
  <c r="S549" i="13"/>
  <c r="R549" i="13"/>
  <c r="O549" i="13"/>
  <c r="S506" i="13"/>
  <c r="R506" i="13"/>
  <c r="Q506" i="13"/>
  <c r="P506" i="13"/>
  <c r="O506" i="13"/>
  <c r="O488" i="13"/>
  <c r="S488" i="13"/>
  <c r="R488" i="13"/>
  <c r="Q488" i="13"/>
  <c r="P488" i="13"/>
  <c r="O368" i="13"/>
  <c r="R368" i="13"/>
  <c r="Q368" i="13"/>
  <c r="P368" i="13"/>
  <c r="S368" i="13"/>
  <c r="R338" i="13"/>
  <c r="Q338" i="13"/>
  <c r="P338" i="13"/>
  <c r="S338" i="13"/>
  <c r="O338" i="13"/>
  <c r="Q459" i="13"/>
  <c r="P459" i="13"/>
  <c r="O459" i="13"/>
  <c r="S459" i="13"/>
  <c r="R459" i="13"/>
  <c r="S639" i="13"/>
  <c r="P639" i="13"/>
  <c r="R639" i="13"/>
  <c r="Q639" i="13"/>
  <c r="O639" i="13"/>
  <c r="Q443" i="13"/>
  <c r="P443" i="13"/>
  <c r="O443" i="13"/>
  <c r="S443" i="13"/>
  <c r="R443" i="13"/>
  <c r="S288" i="13"/>
  <c r="R288" i="13"/>
  <c r="Q288" i="13"/>
  <c r="O288" i="13"/>
  <c r="P288" i="13"/>
  <c r="Q435" i="13"/>
  <c r="P435" i="13"/>
  <c r="O435" i="13"/>
  <c r="S435" i="13"/>
  <c r="R435" i="13"/>
  <c r="S672" i="13"/>
  <c r="Q672" i="13"/>
  <c r="P672" i="13"/>
  <c r="R672" i="13"/>
  <c r="O672" i="13"/>
  <c r="S490" i="13"/>
  <c r="R490" i="13"/>
  <c r="Q490" i="13"/>
  <c r="P490" i="13"/>
  <c r="O490" i="13"/>
  <c r="S345" i="13"/>
  <c r="R345" i="13"/>
  <c r="P345" i="13"/>
  <c r="O345" i="13"/>
  <c r="Q345" i="13"/>
  <c r="O251" i="13"/>
  <c r="S251" i="13"/>
  <c r="R251" i="13"/>
  <c r="Q251" i="13"/>
  <c r="P251" i="13"/>
  <c r="S293" i="13"/>
  <c r="R293" i="13"/>
  <c r="P293" i="13"/>
  <c r="O293" i="13"/>
  <c r="Q293" i="13"/>
  <c r="S209" i="13"/>
  <c r="R209" i="13"/>
  <c r="Q209" i="13"/>
  <c r="P209" i="13"/>
  <c r="O209" i="13"/>
  <c r="O211" i="13"/>
  <c r="S211" i="13"/>
  <c r="R211" i="13"/>
  <c r="Q211" i="13"/>
  <c r="P211" i="13"/>
  <c r="O259" i="13"/>
  <c r="S259" i="13"/>
  <c r="R259" i="13"/>
  <c r="Q259" i="13"/>
  <c r="P259" i="13"/>
  <c r="S171" i="13"/>
  <c r="R171" i="13"/>
  <c r="Q171" i="13"/>
  <c r="P171" i="13"/>
  <c r="O171" i="13"/>
  <c r="O138" i="13"/>
  <c r="S138" i="13"/>
  <c r="Q138" i="13"/>
  <c r="P138" i="13"/>
  <c r="R138" i="13"/>
  <c r="S114" i="13"/>
  <c r="R114" i="13"/>
  <c r="Q114" i="13"/>
  <c r="P114" i="13"/>
  <c r="O114" i="13"/>
  <c r="R65" i="13"/>
  <c r="Q65" i="13"/>
  <c r="P65" i="13"/>
  <c r="O65" i="13"/>
  <c r="S65" i="13"/>
  <c r="P54" i="13"/>
  <c r="O54" i="13"/>
  <c r="S54" i="13"/>
  <c r="R54" i="13"/>
  <c r="Q54" i="13"/>
  <c r="R39" i="13"/>
  <c r="Q39" i="13"/>
  <c r="S39" i="13"/>
  <c r="P39" i="13"/>
  <c r="O39" i="13"/>
  <c r="R73" i="13"/>
  <c r="Q73" i="13"/>
  <c r="P73" i="13"/>
  <c r="O73" i="13"/>
  <c r="S73" i="13"/>
  <c r="S163" i="13"/>
  <c r="R163" i="13"/>
  <c r="Q163" i="13"/>
  <c r="P163" i="13"/>
  <c r="O163" i="13"/>
  <c r="S113" i="13"/>
  <c r="R113" i="13"/>
  <c r="Q113" i="13"/>
  <c r="P113" i="13"/>
  <c r="O113" i="13"/>
  <c r="R53" i="13"/>
  <c r="Q53" i="13"/>
  <c r="P53" i="13"/>
  <c r="S53" i="13"/>
  <c r="O53" i="13"/>
  <c r="Q800" i="13"/>
  <c r="P800" i="13"/>
  <c r="O800" i="13"/>
  <c r="S800" i="13"/>
  <c r="R800" i="13"/>
  <c r="S636" i="13"/>
  <c r="Q636" i="13"/>
  <c r="R636" i="13"/>
  <c r="P636" i="13"/>
  <c r="O636" i="13"/>
  <c r="P315" i="13"/>
  <c r="O315" i="13"/>
  <c r="Q315" i="13"/>
  <c r="S315" i="13"/>
  <c r="R315" i="13"/>
  <c r="S374" i="13"/>
  <c r="R374" i="13"/>
  <c r="Q374" i="13"/>
  <c r="P374" i="13"/>
  <c r="O374" i="13"/>
  <c r="P829" i="13"/>
  <c r="Q829" i="13"/>
  <c r="S829" i="13"/>
  <c r="R829" i="13"/>
  <c r="O829" i="13"/>
  <c r="S237" i="13"/>
  <c r="R237" i="13"/>
  <c r="O237" i="13"/>
  <c r="Q237" i="13"/>
  <c r="P237" i="13"/>
  <c r="R290" i="13"/>
  <c r="Q290" i="13"/>
  <c r="S290" i="13"/>
  <c r="P290" i="13"/>
  <c r="O290" i="13"/>
  <c r="S233" i="13"/>
  <c r="R233" i="13"/>
  <c r="O233" i="13"/>
  <c r="Q233" i="13"/>
  <c r="P233" i="13"/>
  <c r="Q107" i="13"/>
  <c r="P107" i="13"/>
  <c r="O107" i="13"/>
  <c r="S107" i="13"/>
  <c r="R107" i="13"/>
  <c r="R23" i="13"/>
  <c r="Q23" i="13"/>
  <c r="P23" i="13"/>
  <c r="O23" i="13"/>
  <c r="S23" i="13"/>
  <c r="R43" i="13"/>
  <c r="Q43" i="13"/>
  <c r="S43" i="13"/>
  <c r="P43" i="13"/>
  <c r="O43" i="13"/>
  <c r="P26" i="13"/>
  <c r="S26" i="13"/>
  <c r="R26" i="13"/>
  <c r="Q26" i="13"/>
  <c r="O26" i="13"/>
  <c r="R21" i="13"/>
  <c r="P21" i="13"/>
  <c r="S21" i="13"/>
  <c r="Q21" i="13"/>
  <c r="O21" i="13"/>
  <c r="Q131" i="13"/>
  <c r="O131" i="13"/>
  <c r="S131" i="13"/>
  <c r="R131" i="13"/>
  <c r="P131" i="13"/>
  <c r="R48" i="13"/>
  <c r="P48" i="13"/>
  <c r="O48" i="13"/>
  <c r="S48" i="13"/>
  <c r="Q48" i="13"/>
  <c r="S844" i="13"/>
  <c r="P844" i="13"/>
  <c r="O844" i="13"/>
  <c r="R844" i="13"/>
  <c r="Q844" i="13"/>
  <c r="Q780" i="13"/>
  <c r="P780" i="13"/>
  <c r="S780" i="13"/>
  <c r="R780" i="13"/>
  <c r="O780" i="13"/>
  <c r="P638" i="13"/>
  <c r="O638" i="13"/>
  <c r="R638" i="13"/>
  <c r="S638" i="13"/>
  <c r="Q638" i="13"/>
  <c r="O416" i="13"/>
  <c r="S416" i="13"/>
  <c r="R416" i="13"/>
  <c r="P416" i="13"/>
  <c r="Q416" i="13"/>
  <c r="O243" i="13"/>
  <c r="S243" i="13"/>
  <c r="P243" i="13"/>
  <c r="R243" i="13"/>
  <c r="Q243" i="13"/>
  <c r="S889" i="13"/>
  <c r="O889" i="13"/>
  <c r="R889" i="13"/>
  <c r="Q889" i="13"/>
  <c r="P889" i="13"/>
  <c r="S862" i="13"/>
  <c r="R862" i="13"/>
  <c r="Q862" i="13"/>
  <c r="P862" i="13"/>
  <c r="O862" i="13"/>
  <c r="R842" i="13"/>
  <c r="S842" i="13"/>
  <c r="Q842" i="13"/>
  <c r="P842" i="13"/>
  <c r="O842" i="13"/>
  <c r="S874" i="13"/>
  <c r="R874" i="13"/>
  <c r="Q874" i="13"/>
  <c r="O874" i="13"/>
  <c r="P874" i="13"/>
  <c r="R710" i="13"/>
  <c r="Q710" i="13"/>
  <c r="P710" i="13"/>
  <c r="S710" i="13"/>
  <c r="O710" i="13"/>
  <c r="R690" i="13"/>
  <c r="P690" i="13"/>
  <c r="S690" i="13"/>
  <c r="Q690" i="13"/>
  <c r="O690" i="13"/>
  <c r="S648" i="13"/>
  <c r="Q648" i="13"/>
  <c r="P648" i="13"/>
  <c r="R648" i="13"/>
  <c r="O648" i="13"/>
  <c r="R673" i="13"/>
  <c r="Q673" i="13"/>
  <c r="O673" i="13"/>
  <c r="S673" i="13"/>
  <c r="P673" i="13"/>
  <c r="R641" i="13"/>
  <c r="Q641" i="13"/>
  <c r="O641" i="13"/>
  <c r="S641" i="13"/>
  <c r="P641" i="13"/>
  <c r="O534" i="13"/>
  <c r="S534" i="13"/>
  <c r="R534" i="13"/>
  <c r="Q534" i="13"/>
  <c r="P534" i="13"/>
  <c r="Q557" i="13"/>
  <c r="P557" i="13"/>
  <c r="O557" i="13"/>
  <c r="S557" i="13"/>
  <c r="R557" i="13"/>
  <c r="Q529" i="13"/>
  <c r="P529" i="13"/>
  <c r="S529" i="13"/>
  <c r="R529" i="13"/>
  <c r="O529" i="13"/>
  <c r="Q541" i="13"/>
  <c r="P541" i="13"/>
  <c r="S541" i="13"/>
  <c r="R541" i="13"/>
  <c r="O541" i="13"/>
  <c r="O472" i="13"/>
  <c r="S472" i="13"/>
  <c r="R472" i="13"/>
  <c r="Q472" i="13"/>
  <c r="P472" i="13"/>
  <c r="S556" i="13"/>
  <c r="R556" i="13"/>
  <c r="Q556" i="13"/>
  <c r="O556" i="13"/>
  <c r="P556" i="13"/>
  <c r="Q451" i="13"/>
  <c r="P451" i="13"/>
  <c r="O451" i="13"/>
  <c r="S451" i="13"/>
  <c r="R451" i="13"/>
  <c r="R354" i="13"/>
  <c r="Q354" i="13"/>
  <c r="P354" i="13"/>
  <c r="S354" i="13"/>
  <c r="O354" i="13"/>
  <c r="Q296" i="13"/>
  <c r="P296" i="13"/>
  <c r="O296" i="13"/>
  <c r="S296" i="13"/>
  <c r="R296" i="13"/>
  <c r="S317" i="13"/>
  <c r="R317" i="13"/>
  <c r="P317" i="13"/>
  <c r="O317" i="13"/>
  <c r="Q317" i="13"/>
  <c r="Q439" i="13"/>
  <c r="P439" i="13"/>
  <c r="O439" i="13"/>
  <c r="R439" i="13"/>
  <c r="S439" i="13"/>
  <c r="O408" i="13"/>
  <c r="S408" i="13"/>
  <c r="R408" i="13"/>
  <c r="P408" i="13"/>
  <c r="Q408" i="13"/>
  <c r="O392" i="13"/>
  <c r="S392" i="13"/>
  <c r="R392" i="13"/>
  <c r="P392" i="13"/>
  <c r="Q392" i="13"/>
  <c r="S269" i="13"/>
  <c r="R269" i="13"/>
  <c r="O269" i="13"/>
  <c r="Q269" i="13"/>
  <c r="P269" i="13"/>
  <c r="O263" i="13"/>
  <c r="S263" i="13"/>
  <c r="R263" i="13"/>
  <c r="Q263" i="13"/>
  <c r="P263" i="13"/>
  <c r="Q246" i="13"/>
  <c r="P246" i="13"/>
  <c r="S246" i="13"/>
  <c r="R246" i="13"/>
  <c r="O246" i="13"/>
  <c r="Q137" i="13"/>
  <c r="S137" i="13"/>
  <c r="R137" i="13"/>
  <c r="P137" i="13"/>
  <c r="O137" i="13"/>
  <c r="O145" i="13"/>
  <c r="Q145" i="13"/>
  <c r="S145" i="13"/>
  <c r="R145" i="13"/>
  <c r="P145" i="13"/>
  <c r="P62" i="13"/>
  <c r="O62" i="13"/>
  <c r="S62" i="13"/>
  <c r="R62" i="13"/>
  <c r="Q62" i="13"/>
  <c r="R69" i="13"/>
  <c r="Q69" i="13"/>
  <c r="P69" i="13"/>
  <c r="O69" i="13"/>
  <c r="S69" i="13"/>
  <c r="S77" i="13"/>
  <c r="R77" i="13"/>
  <c r="Q77" i="13"/>
  <c r="P77" i="13"/>
  <c r="O77" i="13"/>
  <c r="P5" i="13"/>
  <c r="S5" i="13"/>
  <c r="R5" i="13"/>
  <c r="Q5" i="13"/>
  <c r="O5" i="13"/>
  <c r="Q545" i="13"/>
  <c r="P545" i="13"/>
  <c r="S545" i="13"/>
  <c r="O545" i="13"/>
  <c r="R545" i="13"/>
  <c r="R613" i="13"/>
  <c r="Q613" i="13"/>
  <c r="S613" i="13"/>
  <c r="P613" i="13"/>
  <c r="O613" i="13"/>
  <c r="S494" i="13"/>
  <c r="R494" i="13"/>
  <c r="Q494" i="13"/>
  <c r="P494" i="13"/>
  <c r="O494" i="13"/>
  <c r="O412" i="13"/>
  <c r="S412" i="13"/>
  <c r="R412" i="13"/>
  <c r="P412" i="13"/>
  <c r="Q412" i="13"/>
  <c r="O888" i="13"/>
  <c r="Q888" i="13"/>
  <c r="P888" i="13"/>
  <c r="R888" i="13"/>
  <c r="S888" i="13"/>
  <c r="P847" i="13"/>
  <c r="R847" i="13"/>
  <c r="S847" i="13"/>
  <c r="Q847" i="13"/>
  <c r="O847" i="13"/>
  <c r="O781" i="13"/>
  <c r="S781" i="13"/>
  <c r="R781" i="13"/>
  <c r="Q781" i="13"/>
  <c r="P781" i="13"/>
  <c r="Q784" i="13"/>
  <c r="P784" i="13"/>
  <c r="O784" i="13"/>
  <c r="S784" i="13"/>
  <c r="R784" i="13"/>
  <c r="O789" i="13"/>
  <c r="Q789" i="13"/>
  <c r="S789" i="13"/>
  <c r="R789" i="13"/>
  <c r="P789" i="13"/>
  <c r="Q792" i="13"/>
  <c r="P792" i="13"/>
  <c r="O792" i="13"/>
  <c r="S792" i="13"/>
  <c r="R792" i="13"/>
  <c r="R692" i="13"/>
  <c r="Q692" i="13"/>
  <c r="S692" i="13"/>
  <c r="P692" i="13"/>
  <c r="O692" i="13"/>
  <c r="R701" i="13"/>
  <c r="P701" i="13"/>
  <c r="O701" i="13"/>
  <c r="S701" i="13"/>
  <c r="Q701" i="13"/>
  <c r="S676" i="13"/>
  <c r="Q676" i="13"/>
  <c r="P676" i="13"/>
  <c r="R676" i="13"/>
  <c r="O676" i="13"/>
  <c r="S660" i="13"/>
  <c r="Q660" i="13"/>
  <c r="P660" i="13"/>
  <c r="R660" i="13"/>
  <c r="O660" i="13"/>
  <c r="S644" i="13"/>
  <c r="Q644" i="13"/>
  <c r="P644" i="13"/>
  <c r="R644" i="13"/>
  <c r="O644" i="13"/>
  <c r="R601" i="13"/>
  <c r="Q601" i="13"/>
  <c r="S601" i="13"/>
  <c r="P601" i="13"/>
  <c r="O601" i="13"/>
  <c r="S576" i="13"/>
  <c r="R576" i="13"/>
  <c r="Q576" i="13"/>
  <c r="P576" i="13"/>
  <c r="O576" i="13"/>
  <c r="R645" i="13"/>
  <c r="Q645" i="13"/>
  <c r="O645" i="13"/>
  <c r="S645" i="13"/>
  <c r="P645" i="13"/>
  <c r="S623" i="13"/>
  <c r="R623" i="13"/>
  <c r="Q623" i="13"/>
  <c r="P623" i="13"/>
  <c r="O623" i="13"/>
  <c r="S592" i="13"/>
  <c r="R592" i="13"/>
  <c r="Q592" i="13"/>
  <c r="P592" i="13"/>
  <c r="O592" i="13"/>
  <c r="Q491" i="13"/>
  <c r="P491" i="13"/>
  <c r="O491" i="13"/>
  <c r="S491" i="13"/>
  <c r="R491" i="13"/>
  <c r="O468" i="13"/>
  <c r="S468" i="13"/>
  <c r="R468" i="13"/>
  <c r="Q468" i="13"/>
  <c r="P468" i="13"/>
  <c r="R637" i="13"/>
  <c r="Q637" i="13"/>
  <c r="O637" i="13"/>
  <c r="P637" i="13"/>
  <c r="S637" i="13"/>
  <c r="S580" i="13"/>
  <c r="R580" i="13"/>
  <c r="Q580" i="13"/>
  <c r="P580" i="13"/>
  <c r="O580" i="13"/>
  <c r="S474" i="13"/>
  <c r="R474" i="13"/>
  <c r="P474" i="13"/>
  <c r="O474" i="13"/>
  <c r="Q474" i="13"/>
  <c r="P331" i="13"/>
  <c r="O331" i="13"/>
  <c r="Q331" i="13"/>
  <c r="S331" i="13"/>
  <c r="R331" i="13"/>
  <c r="R286" i="13"/>
  <c r="Q286" i="13"/>
  <c r="S286" i="13"/>
  <c r="P286" i="13"/>
  <c r="O286" i="13"/>
  <c r="R298" i="13"/>
  <c r="Q298" i="13"/>
  <c r="P298" i="13"/>
  <c r="S298" i="13"/>
  <c r="O298" i="13"/>
  <c r="P284" i="13"/>
  <c r="O284" i="13"/>
  <c r="Q284" i="13"/>
  <c r="S284" i="13"/>
  <c r="R284" i="13"/>
  <c r="S249" i="13"/>
  <c r="R249" i="13"/>
  <c r="O249" i="13"/>
  <c r="Q249" i="13"/>
  <c r="P249" i="13"/>
  <c r="O231" i="13"/>
  <c r="S231" i="13"/>
  <c r="R231" i="13"/>
  <c r="Q231" i="13"/>
  <c r="P231" i="13"/>
  <c r="S245" i="13"/>
  <c r="R245" i="13"/>
  <c r="O245" i="13"/>
  <c r="Q245" i="13"/>
  <c r="P245" i="13"/>
  <c r="S191" i="13"/>
  <c r="R191" i="13"/>
  <c r="Q191" i="13"/>
  <c r="P191" i="13"/>
  <c r="O191" i="13"/>
  <c r="Q129" i="13"/>
  <c r="S129" i="13"/>
  <c r="R129" i="13"/>
  <c r="P129" i="13"/>
  <c r="O129" i="13"/>
  <c r="S106" i="13"/>
  <c r="P106" i="13"/>
  <c r="O106" i="13"/>
  <c r="R106" i="13"/>
  <c r="Q106" i="13"/>
  <c r="S201" i="13"/>
  <c r="R201" i="13"/>
  <c r="Q201" i="13"/>
  <c r="O201" i="13"/>
  <c r="P201" i="13"/>
  <c r="S167" i="13"/>
  <c r="R167" i="13"/>
  <c r="Q167" i="13"/>
  <c r="P167" i="13"/>
  <c r="O167" i="13"/>
  <c r="O153" i="13"/>
  <c r="Q153" i="13"/>
  <c r="S153" i="13"/>
  <c r="R153" i="13"/>
  <c r="P153" i="13"/>
  <c r="S18" i="13"/>
  <c r="R18" i="13"/>
  <c r="Q18" i="13"/>
  <c r="P18" i="13"/>
  <c r="O18" i="13"/>
  <c r="O161" i="13"/>
  <c r="Q161" i="13"/>
  <c r="S161" i="13"/>
  <c r="R161" i="13"/>
  <c r="P161" i="13"/>
  <c r="R20" i="13"/>
  <c r="P20" i="13"/>
  <c r="Q20" i="13"/>
  <c r="O20" i="13"/>
  <c r="S20" i="13"/>
  <c r="S85" i="13"/>
  <c r="R85" i="13"/>
  <c r="Q85" i="13"/>
  <c r="P85" i="13"/>
  <c r="O85" i="13"/>
  <c r="Q123" i="13"/>
  <c r="O123" i="13"/>
  <c r="S123" i="13"/>
  <c r="R123" i="13"/>
  <c r="P123" i="13"/>
  <c r="R4" i="13"/>
  <c r="S4" i="13"/>
  <c r="Q4" i="13"/>
  <c r="P4" i="13"/>
  <c r="O4" i="13"/>
  <c r="Q515" i="13"/>
  <c r="P515" i="13"/>
  <c r="O515" i="13"/>
  <c r="S515" i="13"/>
  <c r="R515" i="13"/>
  <c r="S568" i="13"/>
  <c r="R568" i="13"/>
  <c r="Q568" i="13"/>
  <c r="P568" i="13"/>
  <c r="O568" i="13"/>
  <c r="P825" i="13"/>
  <c r="Q825" i="13"/>
  <c r="S825" i="13"/>
  <c r="R825" i="13"/>
  <c r="O825" i="13"/>
  <c r="R828" i="13"/>
  <c r="S828" i="13"/>
  <c r="Q828" i="13"/>
  <c r="P828" i="13"/>
  <c r="O828" i="13"/>
  <c r="S795" i="13"/>
  <c r="R795" i="13"/>
  <c r="Q795" i="13"/>
  <c r="P795" i="13"/>
  <c r="O795" i="13"/>
  <c r="S767" i="13"/>
  <c r="R767" i="13"/>
  <c r="Q767" i="13"/>
  <c r="P767" i="13"/>
  <c r="O767" i="13"/>
  <c r="R846" i="13"/>
  <c r="S846" i="13"/>
  <c r="O846" i="13"/>
  <c r="Q846" i="13"/>
  <c r="P846" i="13"/>
  <c r="O769" i="13"/>
  <c r="S769" i="13"/>
  <c r="R769" i="13"/>
  <c r="Q769" i="13"/>
  <c r="P769" i="13"/>
  <c r="Q848" i="13"/>
  <c r="R848" i="13"/>
  <c r="S848" i="13"/>
  <c r="P848" i="13"/>
  <c r="O848" i="13"/>
  <c r="S759" i="13"/>
  <c r="R759" i="13"/>
  <c r="Q759" i="13"/>
  <c r="P759" i="13"/>
  <c r="O759" i="13"/>
  <c r="S763" i="13"/>
  <c r="R763" i="13"/>
  <c r="Q763" i="13"/>
  <c r="P763" i="13"/>
  <c r="O763" i="13"/>
  <c r="R718" i="13"/>
  <c r="Q718" i="13"/>
  <c r="P718" i="13"/>
  <c r="O718" i="13"/>
  <c r="S718" i="13"/>
  <c r="R704" i="13"/>
  <c r="Q704" i="13"/>
  <c r="P704" i="13"/>
  <c r="O704" i="13"/>
  <c r="S704" i="13"/>
  <c r="R726" i="13"/>
  <c r="Q726" i="13"/>
  <c r="P726" i="13"/>
  <c r="O726" i="13"/>
  <c r="S726" i="13"/>
  <c r="S730" i="13"/>
  <c r="R730" i="13"/>
  <c r="Q730" i="13"/>
  <c r="O730" i="13"/>
  <c r="P730" i="13"/>
  <c r="S664" i="13"/>
  <c r="Q664" i="13"/>
  <c r="P664" i="13"/>
  <c r="R664" i="13"/>
  <c r="O664" i="13"/>
  <c r="R653" i="13"/>
  <c r="Q653" i="13"/>
  <c r="O653" i="13"/>
  <c r="S653" i="13"/>
  <c r="P653" i="13"/>
  <c r="R621" i="13"/>
  <c r="Q621" i="13"/>
  <c r="S621" i="13"/>
  <c r="P621" i="13"/>
  <c r="O621" i="13"/>
  <c r="S684" i="13"/>
  <c r="Q684" i="13"/>
  <c r="P684" i="13"/>
  <c r="R684" i="13"/>
  <c r="O684" i="13"/>
  <c r="S652" i="13"/>
  <c r="Q652" i="13"/>
  <c r="P652" i="13"/>
  <c r="R652" i="13"/>
  <c r="O652" i="13"/>
  <c r="S659" i="13"/>
  <c r="R659" i="13"/>
  <c r="P659" i="13"/>
  <c r="Q659" i="13"/>
  <c r="O659" i="13"/>
  <c r="S572" i="13"/>
  <c r="R572" i="13"/>
  <c r="Q572" i="13"/>
  <c r="P572" i="13"/>
  <c r="O572" i="13"/>
  <c r="Q553" i="13"/>
  <c r="P553" i="13"/>
  <c r="O553" i="13"/>
  <c r="S553" i="13"/>
  <c r="R553" i="13"/>
  <c r="R677" i="13"/>
  <c r="Q677" i="13"/>
  <c r="O677" i="13"/>
  <c r="S677" i="13"/>
  <c r="P677" i="13"/>
  <c r="O526" i="13"/>
  <c r="Q526" i="13"/>
  <c r="P526" i="13"/>
  <c r="S526" i="13"/>
  <c r="R526" i="13"/>
  <c r="Q463" i="13"/>
  <c r="P463" i="13"/>
  <c r="S463" i="13"/>
  <c r="R463" i="13"/>
  <c r="O463" i="13"/>
  <c r="S510" i="13"/>
  <c r="R510" i="13"/>
  <c r="Q510" i="13"/>
  <c r="P510" i="13"/>
  <c r="O510" i="13"/>
  <c r="O388" i="13"/>
  <c r="S388" i="13"/>
  <c r="R388" i="13"/>
  <c r="P388" i="13"/>
  <c r="Q388" i="13"/>
  <c r="O372" i="13"/>
  <c r="S372" i="13"/>
  <c r="Q372" i="13"/>
  <c r="R372" i="13"/>
  <c r="P372" i="13"/>
  <c r="Q427" i="13"/>
  <c r="P427" i="13"/>
  <c r="O427" i="13"/>
  <c r="S427" i="13"/>
  <c r="R427" i="13"/>
  <c r="S430" i="13"/>
  <c r="R430" i="13"/>
  <c r="Q430" i="13"/>
  <c r="P430" i="13"/>
  <c r="O430" i="13"/>
  <c r="R310" i="13"/>
  <c r="Q310" i="13"/>
  <c r="P310" i="13"/>
  <c r="S310" i="13"/>
  <c r="O310" i="13"/>
  <c r="Q483" i="13"/>
  <c r="P483" i="13"/>
  <c r="S483" i="13"/>
  <c r="R483" i="13"/>
  <c r="O483" i="13"/>
  <c r="O203" i="13"/>
  <c r="S203" i="13"/>
  <c r="R203" i="13"/>
  <c r="Q203" i="13"/>
  <c r="P203" i="13"/>
  <c r="Q371" i="13"/>
  <c r="P371" i="13"/>
  <c r="S371" i="13"/>
  <c r="O371" i="13"/>
  <c r="R371" i="13"/>
  <c r="S486" i="13"/>
  <c r="R486" i="13"/>
  <c r="P486" i="13"/>
  <c r="O486" i="13"/>
  <c r="Q486" i="13"/>
  <c r="O400" i="13"/>
  <c r="S400" i="13"/>
  <c r="R400" i="13"/>
  <c r="P400" i="13"/>
  <c r="Q400" i="13"/>
  <c r="P299" i="13"/>
  <c r="O299" i="13"/>
  <c r="R299" i="13"/>
  <c r="Q299" i="13"/>
  <c r="S299" i="13"/>
  <c r="Q274" i="13"/>
  <c r="P274" i="13"/>
  <c r="O274" i="13"/>
  <c r="S274" i="13"/>
  <c r="R274" i="13"/>
  <c r="O227" i="13"/>
  <c r="S227" i="13"/>
  <c r="R227" i="13"/>
  <c r="Q227" i="13"/>
  <c r="P227" i="13"/>
  <c r="P287" i="13"/>
  <c r="O287" i="13"/>
  <c r="S287" i="13"/>
  <c r="R287" i="13"/>
  <c r="Q287" i="13"/>
  <c r="S175" i="13"/>
  <c r="R175" i="13"/>
  <c r="Q175" i="13"/>
  <c r="O175" i="13"/>
  <c r="P175" i="13"/>
  <c r="O130" i="13"/>
  <c r="S130" i="13"/>
  <c r="Q130" i="13"/>
  <c r="P130" i="13"/>
  <c r="R130" i="13"/>
  <c r="S101" i="13"/>
  <c r="R101" i="13"/>
  <c r="Q101" i="13"/>
  <c r="P101" i="13"/>
  <c r="O101" i="13"/>
  <c r="O149" i="13"/>
  <c r="Q149" i="13"/>
  <c r="S149" i="13"/>
  <c r="R149" i="13"/>
  <c r="P149" i="13"/>
  <c r="R16" i="13"/>
  <c r="S16" i="13"/>
  <c r="Q16" i="13"/>
  <c r="P16" i="13"/>
  <c r="O16" i="13"/>
  <c r="R40" i="13"/>
  <c r="P40" i="13"/>
  <c r="O40" i="13"/>
  <c r="Q40" i="13"/>
  <c r="S40" i="13"/>
  <c r="O134" i="13"/>
  <c r="S134" i="13"/>
  <c r="Q134" i="13"/>
  <c r="P134" i="13"/>
  <c r="R134" i="13"/>
  <c r="R35" i="13"/>
  <c r="Q35" i="13"/>
  <c r="S35" i="13"/>
  <c r="P35" i="13"/>
  <c r="O35" i="13"/>
  <c r="S89" i="13"/>
  <c r="R89" i="13"/>
  <c r="Q89" i="13"/>
  <c r="P89" i="13"/>
  <c r="O89" i="13"/>
  <c r="S3" i="13"/>
  <c r="R3" i="13"/>
  <c r="Q3" i="13"/>
  <c r="P3" i="13"/>
  <c r="O3" i="13"/>
  <c r="P22" i="13"/>
  <c r="S22" i="13"/>
  <c r="R22" i="13"/>
  <c r="Q22" i="13"/>
  <c r="O22" i="13"/>
  <c r="Q788" i="13"/>
  <c r="P788" i="13"/>
  <c r="O788" i="13"/>
  <c r="S788" i="13"/>
  <c r="R788" i="13"/>
  <c r="R736" i="13"/>
  <c r="O736" i="13"/>
  <c r="S736" i="13"/>
  <c r="Q736" i="13"/>
  <c r="P736" i="13"/>
  <c r="S643" i="13"/>
  <c r="R643" i="13"/>
  <c r="P643" i="13"/>
  <c r="Q643" i="13"/>
  <c r="O643" i="13"/>
  <c r="O826" i="13"/>
  <c r="S826" i="13"/>
  <c r="R826" i="13"/>
  <c r="Q826" i="13"/>
  <c r="P826" i="13"/>
  <c r="Q863" i="13"/>
  <c r="P863" i="13"/>
  <c r="O863" i="13"/>
  <c r="R863" i="13"/>
  <c r="S863" i="13"/>
  <c r="S747" i="13"/>
  <c r="R747" i="13"/>
  <c r="Q747" i="13"/>
  <c r="P747" i="13"/>
  <c r="O747" i="13"/>
  <c r="R689" i="13"/>
  <c r="Q689" i="13"/>
  <c r="P689" i="13"/>
  <c r="O689" i="13"/>
  <c r="S689" i="13"/>
  <c r="P711" i="13"/>
  <c r="O711" i="13"/>
  <c r="S711" i="13"/>
  <c r="R711" i="13"/>
  <c r="Q711" i="13"/>
  <c r="R681" i="13"/>
  <c r="Q681" i="13"/>
  <c r="O681" i="13"/>
  <c r="S681" i="13"/>
  <c r="P681" i="13"/>
  <c r="R665" i="13"/>
  <c r="Q665" i="13"/>
  <c r="O665" i="13"/>
  <c r="S665" i="13"/>
  <c r="P665" i="13"/>
  <c r="R649" i="13"/>
  <c r="Q649" i="13"/>
  <c r="O649" i="13"/>
  <c r="S649" i="13"/>
  <c r="P649" i="13"/>
  <c r="S656" i="13"/>
  <c r="Q656" i="13"/>
  <c r="P656" i="13"/>
  <c r="R656" i="13"/>
  <c r="O656" i="13"/>
  <c r="Q523" i="13"/>
  <c r="P523" i="13"/>
  <c r="O523" i="13"/>
  <c r="S523" i="13"/>
  <c r="R523" i="13"/>
  <c r="R714" i="13"/>
  <c r="Q714" i="13"/>
  <c r="P714" i="13"/>
  <c r="O714" i="13"/>
  <c r="S714" i="13"/>
  <c r="S596" i="13"/>
  <c r="R596" i="13"/>
  <c r="Q596" i="13"/>
  <c r="P596" i="13"/>
  <c r="O596" i="13"/>
  <c r="O420" i="13"/>
  <c r="S420" i="13"/>
  <c r="R420" i="13"/>
  <c r="P420" i="13"/>
  <c r="Q420" i="13"/>
  <c r="O404" i="13"/>
  <c r="S404" i="13"/>
  <c r="R404" i="13"/>
  <c r="P404" i="13"/>
  <c r="Q404" i="13"/>
  <c r="P347" i="13"/>
  <c r="O347" i="13"/>
  <c r="Q347" i="13"/>
  <c r="S347" i="13"/>
  <c r="R347" i="13"/>
  <c r="O360" i="13"/>
  <c r="S360" i="13"/>
  <c r="R360" i="13"/>
  <c r="P360" i="13"/>
  <c r="Q360" i="13"/>
  <c r="P303" i="13"/>
  <c r="O303" i="13"/>
  <c r="S303" i="13"/>
  <c r="R303" i="13"/>
  <c r="Q303" i="13"/>
  <c r="Q455" i="13"/>
  <c r="P455" i="13"/>
  <c r="O455" i="13"/>
  <c r="R455" i="13"/>
  <c r="S455" i="13"/>
  <c r="P351" i="13"/>
  <c r="O351" i="13"/>
  <c r="S351" i="13"/>
  <c r="R351" i="13"/>
  <c r="Q351" i="13"/>
  <c r="O384" i="13"/>
  <c r="S384" i="13"/>
  <c r="R384" i="13"/>
  <c r="P384" i="13"/>
  <c r="Q384" i="13"/>
  <c r="S358" i="13"/>
  <c r="R358" i="13"/>
  <c r="Q358" i="13"/>
  <c r="P358" i="13"/>
  <c r="O358" i="13"/>
  <c r="S313" i="13"/>
  <c r="R313" i="13"/>
  <c r="P313" i="13"/>
  <c r="O313" i="13"/>
  <c r="Q313" i="13"/>
  <c r="O247" i="13"/>
  <c r="S247" i="13"/>
  <c r="P247" i="13"/>
  <c r="R247" i="13"/>
  <c r="Q247" i="13"/>
  <c r="S514" i="13"/>
  <c r="R514" i="13"/>
  <c r="Q514" i="13"/>
  <c r="P514" i="13"/>
  <c r="O514" i="13"/>
  <c r="O464" i="13"/>
  <c r="S464" i="13"/>
  <c r="R464" i="13"/>
  <c r="Q464" i="13"/>
  <c r="P464" i="13"/>
  <c r="R350" i="13"/>
  <c r="Q350" i="13"/>
  <c r="P350" i="13"/>
  <c r="S350" i="13"/>
  <c r="O350" i="13"/>
  <c r="O187" i="13"/>
  <c r="S187" i="13"/>
  <c r="R187" i="13"/>
  <c r="Q187" i="13"/>
  <c r="P187" i="13"/>
  <c r="R318" i="13"/>
  <c r="Q318" i="13"/>
  <c r="P318" i="13"/>
  <c r="S318" i="13"/>
  <c r="O318" i="13"/>
  <c r="O199" i="13"/>
  <c r="S199" i="13"/>
  <c r="R199" i="13"/>
  <c r="Q199" i="13"/>
  <c r="P199" i="13"/>
  <c r="R179" i="13"/>
  <c r="Q179" i="13"/>
  <c r="P179" i="13"/>
  <c r="S179" i="13"/>
  <c r="O179" i="13"/>
  <c r="R334" i="13"/>
  <c r="Q334" i="13"/>
  <c r="P334" i="13"/>
  <c r="S334" i="13"/>
  <c r="O334" i="13"/>
  <c r="O223" i="13"/>
  <c r="S223" i="13"/>
  <c r="R223" i="13"/>
  <c r="Q223" i="13"/>
  <c r="P223" i="13"/>
  <c r="S229" i="13"/>
  <c r="R229" i="13"/>
  <c r="O229" i="13"/>
  <c r="Q229" i="13"/>
  <c r="P229" i="13"/>
  <c r="Q141" i="13"/>
  <c r="S141" i="13"/>
  <c r="R141" i="13"/>
  <c r="P141" i="13"/>
  <c r="O141" i="13"/>
  <c r="S93" i="13"/>
  <c r="R93" i="13"/>
  <c r="Q93" i="13"/>
  <c r="P93" i="13"/>
  <c r="O93" i="13"/>
  <c r="R36" i="13"/>
  <c r="P36" i="13"/>
  <c r="O36" i="13"/>
  <c r="S36" i="13"/>
  <c r="Q36" i="13"/>
  <c r="S142" i="13"/>
  <c r="Q142" i="13"/>
  <c r="R142" i="13"/>
  <c r="P142" i="13"/>
  <c r="O142" i="13"/>
  <c r="R32" i="13"/>
  <c r="P32" i="13"/>
  <c r="O32" i="13"/>
  <c r="S32" i="13"/>
  <c r="Q32" i="13"/>
  <c r="S122" i="13"/>
  <c r="R122" i="13"/>
  <c r="Q122" i="13"/>
  <c r="P122" i="13"/>
  <c r="O122" i="13"/>
  <c r="S176" i="13"/>
  <c r="R176" i="13"/>
  <c r="Q176" i="13"/>
  <c r="P176" i="13"/>
  <c r="O176" i="13"/>
  <c r="P42" i="13"/>
  <c r="S42" i="13"/>
  <c r="R42" i="13"/>
  <c r="Q42" i="13"/>
  <c r="O4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ID#AAAB1p4wnrk
FATURAMENTO1    (2026-03-12 18:31:52)
1 - JUROS PERDOADO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4x2fJ+7teJ/TuiNSUKby6cyjw1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ID#AAAB4AwhthY
PENDENTE    (2026-04-23 18:14:16)
Cliente informou que pagará no dia 01/04/26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XhyrwRc6ZjCBITLcq4GkQ19/XCA=="/>
    </ext>
  </extLst>
</comments>
</file>

<file path=xl/sharedStrings.xml><?xml version="1.0" encoding="utf-8"?>
<sst xmlns="http://schemas.openxmlformats.org/spreadsheetml/2006/main" count="1174" uniqueCount="107">
  <si>
    <t xml:space="preserve">EMISSÃO </t>
  </si>
  <si>
    <t>Vencimento</t>
  </si>
  <si>
    <t>Recebido em</t>
  </si>
  <si>
    <t>NF</t>
  </si>
  <si>
    <t>CLIENTE</t>
  </si>
  <si>
    <t>Valor a Receber</t>
  </si>
  <si>
    <t>Valor Recebido</t>
  </si>
  <si>
    <t>Tipo de Pgto</t>
  </si>
  <si>
    <t>Observação</t>
  </si>
  <si>
    <t>CIRURGICA NEVES LTDA</t>
  </si>
  <si>
    <t>BOLETO</t>
  </si>
  <si>
    <t>NG METALURGICA S.A</t>
  </si>
  <si>
    <t>DEP C/C</t>
  </si>
  <si>
    <t xml:space="preserve">PROD ALIMENTICIOS ORLANDIA </t>
  </si>
  <si>
    <t>TENNECO AUTOMOTIVE BRASIL LTDA</t>
  </si>
  <si>
    <t>MANFRIM IND E COM LTDA</t>
  </si>
  <si>
    <t xml:space="preserve">ISOFLUID EQUIPTOS IND LTDA </t>
  </si>
  <si>
    <t>NORTEL SUPRIMENTOS IND S/A</t>
  </si>
  <si>
    <t>VALFORTE ACESS IND EIRELI</t>
  </si>
  <si>
    <t xml:space="preserve">AUTOMATIX AUTOMAÇÃO E CONSULTORIA </t>
  </si>
  <si>
    <t>EUCATEX IND E COM LTDA</t>
  </si>
  <si>
    <t>USINA ACUCAREIRA S. MANOEL</t>
  </si>
  <si>
    <t>RICLAN S/A</t>
  </si>
  <si>
    <t>PRALANA INDUSTRIA E COMERCIO LTDA</t>
  </si>
  <si>
    <t>SPUMAPLAST INDUSTRIA E COMERCIO LTDA</t>
  </si>
  <si>
    <t xml:space="preserve">MARILAN ALIMENTOS </t>
  </si>
  <si>
    <t>ROBERT BOSCH LIMITADA</t>
  </si>
  <si>
    <t>PENDENTE</t>
  </si>
  <si>
    <t>BIMBO DO BRASIL LTDA</t>
  </si>
  <si>
    <t>ORION ENGINEERED CARBONS LTDA</t>
  </si>
  <si>
    <t>METALBAST EQUIPAMENTOS E MAQUINAS LTDA</t>
  </si>
  <si>
    <t>SUCOCITRICO CUTRALE LTDA</t>
  </si>
  <si>
    <t xml:space="preserve">I&amp;M PAPEIS E EMBALAGENS  LTDA </t>
  </si>
  <si>
    <t xml:space="preserve">UNIFRAX BRASIL LTDA </t>
  </si>
  <si>
    <t>DANISCO BRASIL LTDA</t>
  </si>
  <si>
    <t xml:space="preserve">MERCANTIL UNIAO COM. DE MAT. P/ MAN. INDUSTRIAL LTDA </t>
  </si>
  <si>
    <t>23732 2 / 2</t>
  </si>
  <si>
    <t xml:space="preserve">ROCA SANITARIOS BRASIL LTDA </t>
  </si>
  <si>
    <t>NORTEL SUPRIMENTOS INDUSTRIAIS S/A</t>
  </si>
  <si>
    <t>MEXICHEM  BRASIL IND. DE TRANSF. PLAST. LTDA</t>
  </si>
  <si>
    <t>MAHLE METAL LEVA S/A</t>
  </si>
  <si>
    <t xml:space="preserve">COOPER STANDARD AUTOMOTIVE BRASIL SEALING LTDA </t>
  </si>
  <si>
    <t xml:space="preserve">ENERMAX ENGENHARIA COMERCIO E SERVICOS LTDA </t>
  </si>
  <si>
    <t xml:space="preserve">NOVA ADITIVOS BRASIL LTDA </t>
  </si>
  <si>
    <t xml:space="preserve">NESTLE BRASIL </t>
  </si>
  <si>
    <t>ROUSSELOT GELATINAS DO BRASIL LTDA</t>
  </si>
  <si>
    <t xml:space="preserve">BAGLEY DO BRASIL </t>
  </si>
  <si>
    <t xml:space="preserve">BOLETO </t>
  </si>
  <si>
    <t>23507 3 / 3</t>
  </si>
  <si>
    <t xml:space="preserve">STARCLAVE IND E COM </t>
  </si>
  <si>
    <t>SAINT-GOBAIN DO BRASIL</t>
  </si>
  <si>
    <t>MARILAN ALIMENTOS LTDA</t>
  </si>
  <si>
    <t>23538 2 / 3</t>
  </si>
  <si>
    <t xml:space="preserve">ABC MANUTENÇÃO DE COMPRESSORES </t>
  </si>
  <si>
    <t>23538 3 / 3</t>
  </si>
  <si>
    <t>CRISTALIA PROD QUIMICOS FARMACEUTICOS LTDA</t>
  </si>
  <si>
    <t>23549 2 / 2</t>
  </si>
  <si>
    <t>TERRAR IND E COM LTDA</t>
  </si>
  <si>
    <t xml:space="preserve">MEXICHEM BRASIL </t>
  </si>
  <si>
    <t>COMBUSTOL FORNOS IND E COM LTDA</t>
  </si>
  <si>
    <t>COMERCIAL BARRIGA VERDE LTDA</t>
  </si>
  <si>
    <t>CHP CENTRAL HIDRAUICA E PNEUMATICA LTDA</t>
  </si>
  <si>
    <t>AR FUSION BRASIL</t>
  </si>
  <si>
    <t xml:space="preserve">CIPATEX IMPREGNADORA </t>
  </si>
  <si>
    <t>MAHLE METAL LEVE S/A</t>
  </si>
  <si>
    <t>PQ SILICAS BRAZIL LTDA</t>
  </si>
  <si>
    <t>23572 1 / 2</t>
  </si>
  <si>
    <t>23572 2 / 2</t>
  </si>
  <si>
    <t>23575 1 / 3</t>
  </si>
  <si>
    <t>23575 2 / 3</t>
  </si>
  <si>
    <t>23575 3 / 3</t>
  </si>
  <si>
    <t>PLACO DO BRASIL LTDA</t>
  </si>
  <si>
    <t>23579 1 / 2</t>
  </si>
  <si>
    <t>23579 2 / 2</t>
  </si>
  <si>
    <t>23582 1 / 2</t>
  </si>
  <si>
    <t>LUME CERAMICA LTDA</t>
  </si>
  <si>
    <t>23582 2 / 2</t>
  </si>
  <si>
    <t>ALGE T ELETRONICA E TECNOLOGIA</t>
  </si>
  <si>
    <t xml:space="preserve">GALLU PNEUS </t>
  </si>
  <si>
    <t>QUEIJOS ITUPEVA</t>
  </si>
  <si>
    <t xml:space="preserve">CARTÃO </t>
  </si>
  <si>
    <t>DEVOLUÇÃO REF NOSSA NF 23517 - VALOR ABATIMENTO R$ 1.490,00 - NF DEVOLUÇÃO 62212</t>
  </si>
  <si>
    <t>FATURAMENTO</t>
  </si>
  <si>
    <t>V. Recebido</t>
  </si>
  <si>
    <t>MÊS FAT</t>
  </si>
  <si>
    <t>MÊS RECEB</t>
  </si>
  <si>
    <t>PREVISÃO</t>
  </si>
  <si>
    <t>MÊS PREV.</t>
  </si>
  <si>
    <t>AJ</t>
  </si>
  <si>
    <t>STATUS</t>
  </si>
  <si>
    <t>EMISSÃO</t>
  </si>
  <si>
    <t>VENCIMENTO</t>
  </si>
  <si>
    <t>NFE</t>
  </si>
  <si>
    <t>VALOR</t>
  </si>
  <si>
    <t xml:space="preserve">DIAS 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</si>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</sst>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R$&quot;\ * #,##0.00_-;\-&quot;R$&quot;\ * #,##0.00_-;_-&quot;R$&quot;\ * &quot;-&quot;??_-;_-@"/>
    <numFmt numFmtId="165" formatCode="dd/mm/yy"/>
    <numFmt numFmtId="166" formatCode="00\/00\/0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rgb="FFE7E6E6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BE4D5"/>
      <name val="Arial"/>
      <family val="2"/>
    </font>
    <font>
      <sz val="10"/>
      <color rgb="FFFFD965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44546A"/>
        <bgColor rgb="FF44546A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1" fillId="0" borderId="0" xfId="0" applyFont="1" applyAlignment="1">
      <alignment horizontal="left"/>
    </xf>
    <xf numFmtId="164" fontId="1" fillId="0" borderId="0" xfId="0" applyNumberFormat="1" applyFont="1"/>
    <xf numFmtId="165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16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0" xfId="0" applyFont="1"/>
    <xf numFmtId="165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2" fontId="3" fillId="0" borderId="1" xfId="0" applyNumberFormat="1" applyFont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0" fontId="5" fillId="0" borderId="0" xfId="0" applyFont="1"/>
    <xf numFmtId="164" fontId="2" fillId="0" borderId="0" xfId="0" applyNumberFormat="1" applyFont="1" applyAlignment="1">
      <alignment horizont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164" fontId="7" fillId="4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5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164" fontId="8" fillId="5" borderId="1" xfId="0" applyNumberFormat="1" applyFon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1" fillId="0" borderId="0" xfId="0" applyNumberFormat="1" applyFont="1"/>
    <xf numFmtId="165" fontId="1" fillId="0" borderId="0" xfId="0" applyNumberFormat="1" applyFont="1"/>
    <xf numFmtId="165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/>
    </xf>
    <xf numFmtId="164" fontId="7" fillId="6" borderId="1" xfId="0" applyNumberFormat="1" applyFont="1" applyFill="1" applyBorder="1" applyAlignment="1">
      <alignment horizontal="center"/>
    </xf>
    <xf numFmtId="12" fontId="3" fillId="0" borderId="1" xfId="0" applyNumberFormat="1" applyFont="1" applyBorder="1" applyAlignment="1">
      <alignment horizontal="right"/>
    </xf>
    <xf numFmtId="165" fontId="3" fillId="0" borderId="0" xfId="0" applyNumberFormat="1" applyFont="1"/>
    <xf numFmtId="12" fontId="3" fillId="0" borderId="0" xfId="0" applyNumberFormat="1" applyFont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164" fontId="3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165" fontId="10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1" fillId="0" borderId="6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2" fontId="1" fillId="0" borderId="0" xfId="0" applyNumberFormat="1" applyFont="1" applyAlignment="1">
      <alignment horizontal="center"/>
    </xf>
    <xf numFmtId="14" fontId="3" fillId="0" borderId="9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144">
    <dxf>
      <font>
        <i/>
        <color rgb="FFFF0000"/>
      </font>
      <fill>
        <patternFill patternType="solid">
          <fgColor rgb="FFD0CECE"/>
          <bgColor rgb="FFD0CECE"/>
        </patternFill>
      </fill>
    </dxf>
    <dxf>
      <fill>
        <patternFill patternType="solid">
          <fgColor rgb="FFD0CECE"/>
          <bgColor rgb="FFD0CECE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C00000"/>
      </font>
      <fill>
        <patternFill patternType="none"/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C00000"/>
      </font>
      <fill>
        <patternFill patternType="none"/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C00000"/>
      </font>
      <fill>
        <patternFill patternType="none"/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C00000"/>
      </font>
      <fill>
        <patternFill patternType="none"/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C00000"/>
      </font>
      <fill>
        <patternFill patternType="none"/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C00000"/>
      </font>
      <fill>
        <patternFill patternType="none"/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C00000"/>
      </font>
      <fill>
        <patternFill patternType="none"/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C00000"/>
      </font>
      <fill>
        <patternFill patternType="none"/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ill>
        <patternFill patternType="none"/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color rgb="FFC00000"/>
      </font>
      <fill>
        <patternFill patternType="solid">
          <fgColor rgb="FFFFC000"/>
          <bgColor rgb="FFFFC000"/>
        </patternFill>
      </fill>
    </dxf>
    <dxf>
      <font>
        <color rgb="FFC00000"/>
      </font>
      <fill>
        <patternFill patternType="none"/>
      </fill>
    </dxf>
    <dxf>
      <font>
        <i/>
        <color rgb="FFC55A1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0CECE"/>
          <bgColor rgb="FFD0CECE"/>
        </patternFill>
      </fill>
    </dxf>
    <dxf>
      <font>
        <color rgb="FF00B05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002060"/>
      </font>
      <fill>
        <patternFill patternType="none"/>
      </fill>
    </dxf>
    <dxf>
      <fill>
        <patternFill patternType="solid">
          <fgColor rgb="FFD0CECE"/>
          <bgColor rgb="FFD0CECE"/>
        </patternFill>
      </fill>
    </dxf>
    <dxf>
      <font>
        <color rgb="FFFF0000"/>
      </font>
      <fill>
        <patternFill patternType="solid">
          <fgColor rgb="FFD0CECE"/>
          <bgColor rgb="FFD0CECE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BD-style" pivot="0" count="4" xr9:uid="{00000000-0011-0000-FFFF-FFFF00000000}">
      <tableStyleElement type="headerRow" dxfId="143"/>
      <tableStyleElement type="totalRow" dxfId="140"/>
      <tableStyleElement type="firstRowStripe" dxfId="142"/>
      <tableStyleElement type="secondRowStripe" dxfId="141"/>
    </tableStyle>
    <tableStyle name="BD-style 2" pivot="0" count="3" xr9:uid="{00000000-0011-0000-FFFF-FFFF01000000}">
      <tableStyleElement type="headerRow" dxfId="139"/>
      <tableStyleElement type="firstRowStripe" dxfId="138"/>
      <tableStyleElement type="secondRowStripe" dxfId="1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M890" totalsRowCount="1">
  <tableColumns count="12">
    <tableColumn id="1" xr3:uid="{00000000-0010-0000-0000-000001000000}" name="EMISSÃO "/>
    <tableColumn id="2" xr3:uid="{00000000-0010-0000-0000-000002000000}" name="Vencimento"/>
    <tableColumn id="3" xr3:uid="{00000000-0010-0000-0000-000003000000}" name="Recebido em"/>
    <tableColumn id="4" xr3:uid="{00000000-0010-0000-0000-000004000000}" name="NF"/>
    <tableColumn id="5" xr3:uid="{00000000-0010-0000-0000-000005000000}" name="CLIENTE"/>
    <tableColumn id="6" xr3:uid="{00000000-0010-0000-0000-000006000000}" name="FATURAMENTO" totalsRowFunction="custom">
      <totalsRowFormula>SUM(BD!$G$2:$G$889)</totalsRowFormula>
    </tableColumn>
    <tableColumn id="7" xr3:uid="{00000000-0010-0000-0000-000007000000}" name="V. Recebido"/>
    <tableColumn id="8" xr3:uid="{00000000-0010-0000-0000-000008000000}" name="MÊS FAT"/>
    <tableColumn id="9" xr3:uid="{00000000-0010-0000-0000-000009000000}" name="MÊS RECEB"/>
    <tableColumn id="10" xr3:uid="{00000000-0010-0000-0000-00000A000000}" name="PREVISÃO"/>
    <tableColumn id="11" xr3:uid="{00000000-0010-0000-0000-00000B000000}" name="MÊS PREV."/>
    <tableColumn id="12" xr3:uid="{00000000-0010-0000-0000-00000C000000}" name="AJ"/>
  </tableColumns>
  <tableStyleInfo name="B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N1:T889">
  <tableColumns count="7">
    <tableColumn id="1" xr3:uid="{00000000-0010-0000-0100-000001000000}" name="STATUS"/>
    <tableColumn id="2" xr3:uid="{00000000-0010-0000-0100-000002000000}" name="EMISSÃO"/>
    <tableColumn id="3" xr3:uid="{00000000-0010-0000-0100-000003000000}" name="VENCIMENTO"/>
    <tableColumn id="4" xr3:uid="{00000000-0010-0000-0100-000004000000}" name="NFE"/>
    <tableColumn id="5" xr3:uid="{00000000-0010-0000-0100-000005000000}" name="CLIENTE"/>
    <tableColumn id="6" xr3:uid="{00000000-0010-0000-0100-000006000000}" name="VALOR"/>
    <tableColumn id="7" xr3:uid="{00000000-0010-0000-0100-000007000000}" name="DIAS "/>
  </tableColumns>
  <tableStyleInfo name="BD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zoomScaleNormal="100" workbookViewId="0">
      <pane ySplit="2" topLeftCell="A3" activePane="bottomLeft" state="frozen"/>
      <selection activeCell="F19" sqref="F19"/>
      <selection pane="bottomLeft" activeCell="E7" sqref="E6:E7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3.8164062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10.5" customHeight="1" x14ac:dyDescent="0.35">
      <c r="E1" s="1"/>
      <c r="F1" s="2"/>
      <c r="G1" s="2"/>
      <c r="H1" s="2"/>
    </row>
    <row r="2" spans="1:26" ht="15.7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35">
      <c r="A9" s="11"/>
      <c r="B9" s="11"/>
      <c r="C9" s="11"/>
      <c r="D9" s="5"/>
      <c r="E9" s="8"/>
      <c r="F9" s="12"/>
      <c r="G9" s="12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 x14ac:dyDescent="0.35">
      <c r="A16" s="11"/>
      <c r="B16" s="11"/>
      <c r="C16" s="11"/>
      <c r="D16" s="5"/>
      <c r="E16" s="8"/>
      <c r="F16" s="12"/>
      <c r="G16" s="12"/>
      <c r="H16" s="5"/>
      <c r="I16" s="5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35">
      <c r="A22" s="11"/>
      <c r="B22" s="11"/>
      <c r="C22" s="11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35">
      <c r="A25" s="11"/>
      <c r="B25" s="11"/>
      <c r="C25" s="11"/>
      <c r="D25" s="13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5">
      <c r="A35" s="11"/>
      <c r="B35" s="11"/>
      <c r="C35" s="11"/>
      <c r="D35" s="13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35">
      <c r="A36" s="11"/>
      <c r="B36" s="11"/>
      <c r="C36" s="11"/>
      <c r="D36" s="5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35">
      <c r="A38" s="11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35">
      <c r="A40" s="11"/>
      <c r="B40" s="11"/>
      <c r="C40" s="11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5">
      <c r="A41" s="11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35">
      <c r="A42" s="11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5">
      <c r="A45" s="14"/>
      <c r="B45" s="14"/>
      <c r="C45" s="14"/>
      <c r="D45" s="15"/>
      <c r="E45" s="16"/>
      <c r="F45" s="17"/>
      <c r="G45" s="17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35">
      <c r="A51" s="11"/>
      <c r="B51" s="11"/>
      <c r="C51" s="11"/>
      <c r="D51" s="5"/>
      <c r="E51" s="8"/>
      <c r="F51" s="12"/>
      <c r="G51" s="12"/>
      <c r="H51" s="5"/>
      <c r="I51" s="5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35">
      <c r="A53" s="11"/>
      <c r="B53" s="11"/>
      <c r="C53" s="11"/>
      <c r="D53" s="5"/>
      <c r="E53" s="8"/>
      <c r="F53" s="12"/>
      <c r="G53" s="12">
        <f t="shared" ref="G40:G76" si="0">IF(OR(C53 = "",C53="PENDENTE"), 0, IF(OR(C53&lt;=B53,H53=1),F53,(F53*0.1966/100)*(C53-B53)+F53))</f>
        <v>0</v>
      </c>
      <c r="H53" s="5"/>
      <c r="I53" s="5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5">
      <c r="A54" s="11"/>
      <c r="B54" s="11"/>
      <c r="C54" s="11"/>
      <c r="D54" s="5"/>
      <c r="E54" s="8"/>
      <c r="F54" s="12"/>
      <c r="G54" s="12">
        <f t="shared" si="0"/>
        <v>0</v>
      </c>
      <c r="H54" s="5"/>
      <c r="I54" s="5"/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35">
      <c r="A55" s="11"/>
      <c r="B55" s="11"/>
      <c r="C55" s="11"/>
      <c r="D55" s="5"/>
      <c r="E55" s="8"/>
      <c r="F55" s="12"/>
      <c r="G55" s="12">
        <f t="shared" si="0"/>
        <v>0</v>
      </c>
      <c r="H55" s="5"/>
      <c r="I55" s="5"/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35">
      <c r="A56" s="11"/>
      <c r="B56" s="11"/>
      <c r="C56" s="11"/>
      <c r="D56" s="5"/>
      <c r="E56" s="8"/>
      <c r="F56" s="12"/>
      <c r="G56" s="12">
        <f t="shared" si="0"/>
        <v>0</v>
      </c>
      <c r="H56" s="5"/>
      <c r="I56" s="5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5">
      <c r="A57" s="11"/>
      <c r="B57" s="11"/>
      <c r="C57" s="11"/>
      <c r="D57" s="5"/>
      <c r="E57" s="8"/>
      <c r="F57" s="12"/>
      <c r="G57" s="12">
        <f t="shared" si="0"/>
        <v>0</v>
      </c>
      <c r="H57" s="5"/>
      <c r="I57" s="5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5">
      <c r="A58" s="11"/>
      <c r="B58" s="11"/>
      <c r="C58" s="11"/>
      <c r="D58" s="5"/>
      <c r="E58" s="8"/>
      <c r="F58" s="12"/>
      <c r="G58" s="12">
        <f t="shared" si="0"/>
        <v>0</v>
      </c>
      <c r="H58" s="5"/>
      <c r="I58" s="5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5">
      <c r="A59" s="11"/>
      <c r="B59" s="11"/>
      <c r="C59" s="11"/>
      <c r="D59" s="5"/>
      <c r="E59" s="8"/>
      <c r="F59" s="12"/>
      <c r="G59" s="12">
        <f t="shared" si="0"/>
        <v>0</v>
      </c>
      <c r="H59" s="5"/>
      <c r="I59" s="5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5">
      <c r="A60" s="11"/>
      <c r="B60" s="11"/>
      <c r="C60" s="11"/>
      <c r="D60" s="5"/>
      <c r="E60" s="8"/>
      <c r="F60" s="12"/>
      <c r="G60" s="12">
        <f t="shared" si="0"/>
        <v>0</v>
      </c>
      <c r="H60" s="5"/>
      <c r="I60" s="5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5">
      <c r="A61" s="11"/>
      <c r="B61" s="11"/>
      <c r="C61" s="11"/>
      <c r="D61" s="5"/>
      <c r="E61" s="8"/>
      <c r="F61" s="12"/>
      <c r="G61" s="12">
        <f t="shared" si="0"/>
        <v>0</v>
      </c>
      <c r="H61" s="5"/>
      <c r="I61" s="5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5">
      <c r="A62" s="11"/>
      <c r="B62" s="11"/>
      <c r="C62" s="11"/>
      <c r="D62" s="5"/>
      <c r="E62" s="8"/>
      <c r="F62" s="12"/>
      <c r="G62" s="12">
        <f t="shared" si="0"/>
        <v>0</v>
      </c>
      <c r="H62" s="5"/>
      <c r="I62" s="5"/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5">
      <c r="A63" s="11"/>
      <c r="B63" s="11"/>
      <c r="C63" s="11"/>
      <c r="D63" s="5"/>
      <c r="E63" s="8"/>
      <c r="F63" s="12"/>
      <c r="G63" s="12">
        <f t="shared" si="0"/>
        <v>0</v>
      </c>
      <c r="H63" s="5"/>
      <c r="I63" s="5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5">
      <c r="A77" s="19"/>
      <c r="B77" s="19"/>
      <c r="C77" s="19"/>
      <c r="D77" s="18"/>
      <c r="E77" s="20"/>
      <c r="F77" s="21">
        <f t="shared" ref="F77:G77" si="1">SUM(F3:F76)</f>
        <v>0</v>
      </c>
      <c r="G77" s="21">
        <f t="shared" si="1"/>
        <v>0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5">
      <c r="A78" s="19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5">
      <c r="A79" s="19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5">
      <c r="A80" s="19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19"/>
      <c r="B81" s="19"/>
      <c r="C81" s="19"/>
      <c r="D81" s="18"/>
      <c r="E81" s="20"/>
      <c r="F81" s="23"/>
      <c r="G81" s="23"/>
      <c r="H81" s="18"/>
      <c r="I81" s="18"/>
      <c r="J81" s="18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19"/>
      <c r="B82" s="19"/>
      <c r="C82" s="19"/>
      <c r="D82" s="18"/>
      <c r="E82" s="20"/>
      <c r="F82" s="23"/>
      <c r="G82" s="23"/>
      <c r="H82" s="18"/>
      <c r="I82" s="18"/>
      <c r="J82" s="18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19"/>
      <c r="B83" s="19"/>
      <c r="C83" s="19"/>
      <c r="D83" s="18"/>
      <c r="E83" s="20"/>
      <c r="F83" s="23"/>
      <c r="G83" s="23"/>
      <c r="H83" s="18"/>
      <c r="I83" s="18"/>
      <c r="J83" s="18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19"/>
      <c r="B84" s="19"/>
      <c r="C84" s="19"/>
      <c r="D84" s="18"/>
      <c r="E84" s="20"/>
      <c r="F84" s="23"/>
      <c r="G84" s="23"/>
      <c r="H84" s="18"/>
      <c r="I84" s="18"/>
      <c r="J84" s="18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19"/>
      <c r="B85" s="19"/>
      <c r="C85" s="19"/>
      <c r="D85" s="18"/>
      <c r="E85" s="20"/>
      <c r="F85" s="23"/>
      <c r="G85" s="23"/>
      <c r="H85" s="18"/>
      <c r="I85" s="18"/>
      <c r="J85" s="18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19"/>
      <c r="B86" s="19"/>
      <c r="C86" s="19"/>
      <c r="D86" s="18"/>
      <c r="E86" s="20"/>
      <c r="F86" s="23"/>
      <c r="G86" s="23"/>
      <c r="H86" s="18"/>
      <c r="I86" s="18"/>
      <c r="J86" s="18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19"/>
      <c r="B87" s="19"/>
      <c r="C87" s="19"/>
      <c r="D87" s="18"/>
      <c r="E87" s="20"/>
      <c r="F87" s="23"/>
      <c r="G87" s="23"/>
      <c r="H87" s="18"/>
      <c r="I87" s="18"/>
      <c r="J87" s="18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19"/>
      <c r="B88" s="19"/>
      <c r="C88" s="19"/>
      <c r="D88" s="18"/>
      <c r="E88" s="20"/>
      <c r="F88" s="23"/>
      <c r="G88" s="23"/>
      <c r="H88" s="18"/>
      <c r="I88" s="18"/>
      <c r="J88" s="18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19"/>
      <c r="B89" s="19"/>
      <c r="C89" s="19"/>
      <c r="D89" s="18"/>
      <c r="E89" s="20"/>
      <c r="F89" s="23"/>
      <c r="G89" s="23"/>
      <c r="H89" s="18"/>
      <c r="I89" s="18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19"/>
      <c r="B90" s="19"/>
      <c r="C90" s="19"/>
      <c r="D90" s="18"/>
      <c r="E90" s="20"/>
      <c r="F90" s="23"/>
      <c r="G90" s="23"/>
      <c r="H90" s="18"/>
      <c r="I90" s="18"/>
      <c r="J90" s="18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19"/>
      <c r="B91" s="19"/>
      <c r="C91" s="19"/>
      <c r="D91" s="18"/>
      <c r="E91" s="20"/>
      <c r="F91" s="23"/>
      <c r="G91" s="23"/>
      <c r="H91" s="18"/>
      <c r="I91" s="18"/>
      <c r="J91" s="18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19"/>
      <c r="B92" s="19"/>
      <c r="C92" s="19"/>
      <c r="D92" s="18"/>
      <c r="E92" s="20"/>
      <c r="F92" s="23"/>
      <c r="G92" s="23"/>
      <c r="H92" s="18"/>
      <c r="I92" s="18"/>
      <c r="J92" s="18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19"/>
      <c r="B93" s="19"/>
      <c r="C93" s="19"/>
      <c r="D93" s="18"/>
      <c r="E93" s="20"/>
      <c r="F93" s="23"/>
      <c r="G93" s="23"/>
      <c r="H93" s="18"/>
      <c r="I93" s="18"/>
      <c r="J93" s="18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19"/>
      <c r="B94" s="19"/>
      <c r="C94" s="19"/>
      <c r="D94" s="18"/>
      <c r="E94" s="20"/>
      <c r="F94" s="23"/>
      <c r="G94" s="23"/>
      <c r="H94" s="18"/>
      <c r="I94" s="18"/>
      <c r="J94" s="18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19"/>
      <c r="B95" s="19"/>
      <c r="C95" s="19"/>
      <c r="D95" s="18"/>
      <c r="E95" s="20"/>
      <c r="F95" s="23"/>
      <c r="G95" s="23"/>
      <c r="H95" s="18"/>
      <c r="I95" s="18"/>
      <c r="J95" s="18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19"/>
      <c r="B96" s="19"/>
      <c r="C96" s="19"/>
      <c r="D96" s="18"/>
      <c r="E96" s="20"/>
      <c r="F96" s="23"/>
      <c r="G96" s="23"/>
      <c r="H96" s="18"/>
      <c r="I96" s="18"/>
      <c r="J96" s="18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19"/>
      <c r="B97" s="19"/>
      <c r="C97" s="19"/>
      <c r="D97" s="18"/>
      <c r="E97" s="20"/>
      <c r="F97" s="23"/>
      <c r="G97" s="23"/>
      <c r="H97" s="18"/>
      <c r="I97" s="18"/>
      <c r="J97" s="18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19"/>
      <c r="B98" s="19"/>
      <c r="C98" s="19"/>
      <c r="D98" s="18"/>
      <c r="E98" s="20"/>
      <c r="F98" s="23"/>
      <c r="G98" s="23"/>
      <c r="H98" s="18"/>
      <c r="I98" s="18"/>
      <c r="J98" s="18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19"/>
      <c r="B99" s="19"/>
      <c r="C99" s="19"/>
      <c r="D99" s="18"/>
      <c r="E99" s="20"/>
      <c r="F99" s="23"/>
      <c r="G99" s="23"/>
      <c r="H99" s="18"/>
      <c r="I99" s="18"/>
      <c r="J99" s="18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19"/>
      <c r="B100" s="19"/>
      <c r="C100" s="19"/>
      <c r="D100" s="18"/>
      <c r="E100" s="20"/>
      <c r="F100" s="23"/>
      <c r="G100" s="23"/>
      <c r="H100" s="18"/>
      <c r="I100" s="18"/>
      <c r="J100" s="18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19"/>
      <c r="B101" s="19"/>
      <c r="C101" s="19"/>
      <c r="D101" s="18"/>
      <c r="E101" s="20"/>
      <c r="F101" s="23"/>
      <c r="G101" s="23"/>
      <c r="H101" s="18"/>
      <c r="I101" s="18"/>
      <c r="J101" s="18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19"/>
      <c r="B102" s="19"/>
      <c r="C102" s="19"/>
      <c r="D102" s="18"/>
      <c r="E102" s="20"/>
      <c r="F102" s="23"/>
      <c r="G102" s="23"/>
      <c r="H102" s="18"/>
      <c r="I102" s="18"/>
      <c r="J102" s="18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19"/>
      <c r="B103" s="19"/>
      <c r="C103" s="19"/>
      <c r="D103" s="18"/>
      <c r="E103" s="20"/>
      <c r="F103" s="23"/>
      <c r="G103" s="23"/>
      <c r="H103" s="18"/>
      <c r="I103" s="18"/>
      <c r="J103" s="18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19"/>
      <c r="B104" s="19"/>
      <c r="C104" s="19"/>
      <c r="D104" s="18"/>
      <c r="E104" s="20"/>
      <c r="F104" s="23"/>
      <c r="G104" s="23"/>
      <c r="H104" s="18"/>
      <c r="I104" s="18"/>
      <c r="J104" s="18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19"/>
      <c r="B105" s="19"/>
      <c r="C105" s="19"/>
      <c r="D105" s="18"/>
      <c r="E105" s="20"/>
      <c r="F105" s="23"/>
      <c r="G105" s="23"/>
      <c r="H105" s="18"/>
      <c r="I105" s="18"/>
      <c r="J105" s="18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5">
      <c r="A106" s="19"/>
      <c r="B106" s="19"/>
      <c r="C106" s="19"/>
      <c r="D106" s="18"/>
      <c r="E106" s="20"/>
      <c r="F106" s="23"/>
      <c r="G106" s="23"/>
      <c r="H106" s="18"/>
      <c r="I106" s="18"/>
      <c r="J106" s="18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5">
      <c r="A107" s="19"/>
      <c r="B107" s="19"/>
      <c r="C107" s="19"/>
      <c r="D107" s="18"/>
      <c r="E107" s="20"/>
      <c r="F107" s="23"/>
      <c r="G107" s="23"/>
      <c r="H107" s="18"/>
      <c r="I107" s="18"/>
      <c r="J107" s="18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5">
      <c r="A108" s="19"/>
      <c r="B108" s="19"/>
      <c r="C108" s="19"/>
      <c r="D108" s="18"/>
      <c r="E108" s="20"/>
      <c r="F108" s="23"/>
      <c r="G108" s="23"/>
      <c r="H108" s="18"/>
      <c r="I108" s="18"/>
      <c r="J108" s="18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5">
      <c r="A109" s="19"/>
      <c r="B109" s="19"/>
      <c r="C109" s="19"/>
      <c r="D109" s="18"/>
      <c r="E109" s="20"/>
      <c r="F109" s="23"/>
      <c r="G109" s="23"/>
      <c r="H109" s="18"/>
      <c r="I109" s="18"/>
      <c r="J109" s="18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5">
      <c r="A110" s="19"/>
      <c r="B110" s="19"/>
      <c r="C110" s="19"/>
      <c r="D110" s="18"/>
      <c r="E110" s="20"/>
      <c r="F110" s="23"/>
      <c r="G110" s="23"/>
      <c r="H110" s="18"/>
      <c r="I110" s="18"/>
      <c r="J110" s="18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5">
      <c r="A111" s="19"/>
      <c r="B111" s="19"/>
      <c r="C111" s="19"/>
      <c r="D111" s="18"/>
      <c r="E111" s="20"/>
      <c r="F111" s="23"/>
      <c r="G111" s="23"/>
      <c r="H111" s="18"/>
      <c r="I111" s="18"/>
      <c r="J111" s="18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5">
      <c r="A112" s="19"/>
      <c r="B112" s="19"/>
      <c r="C112" s="19"/>
      <c r="D112" s="18"/>
      <c r="E112" s="20"/>
      <c r="F112" s="23"/>
      <c r="G112" s="23"/>
      <c r="H112" s="18"/>
      <c r="I112" s="18"/>
      <c r="J112" s="18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5">
      <c r="A113" s="19"/>
      <c r="B113" s="19"/>
      <c r="C113" s="19"/>
      <c r="D113" s="18"/>
      <c r="E113" s="20"/>
      <c r="F113" s="23"/>
      <c r="G113" s="23"/>
      <c r="H113" s="18"/>
      <c r="I113" s="18"/>
      <c r="J113" s="18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5">
      <c r="A114" s="19"/>
      <c r="B114" s="19"/>
      <c r="C114" s="19"/>
      <c r="D114" s="18"/>
      <c r="E114" s="20"/>
      <c r="F114" s="23"/>
      <c r="G114" s="23"/>
      <c r="H114" s="18"/>
      <c r="I114" s="18"/>
      <c r="J114" s="18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5">
      <c r="A115" s="19"/>
      <c r="B115" s="19"/>
      <c r="C115" s="19"/>
      <c r="D115" s="18"/>
      <c r="E115" s="20"/>
      <c r="F115" s="23"/>
      <c r="G115" s="23"/>
      <c r="H115" s="18"/>
      <c r="I115" s="18"/>
      <c r="J115" s="18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5">
      <c r="A116" s="19"/>
      <c r="B116" s="19"/>
      <c r="C116" s="19"/>
      <c r="D116" s="18"/>
      <c r="E116" s="20"/>
      <c r="F116" s="23"/>
      <c r="G116" s="23"/>
      <c r="H116" s="18"/>
      <c r="I116" s="18"/>
      <c r="J116" s="18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5">
      <c r="A117" s="19"/>
      <c r="B117" s="19"/>
      <c r="C117" s="19"/>
      <c r="D117" s="18"/>
      <c r="E117" s="20"/>
      <c r="F117" s="23"/>
      <c r="G117" s="23"/>
      <c r="H117" s="18"/>
      <c r="I117" s="18"/>
      <c r="J117" s="18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5">
      <c r="A118" s="19"/>
      <c r="B118" s="19"/>
      <c r="C118" s="19"/>
      <c r="D118" s="18"/>
      <c r="E118" s="20"/>
      <c r="F118" s="23"/>
      <c r="G118" s="23"/>
      <c r="H118" s="18"/>
      <c r="I118" s="18"/>
      <c r="J118" s="18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5">
      <c r="A119" s="19"/>
      <c r="B119" s="19"/>
      <c r="C119" s="19"/>
      <c r="D119" s="18"/>
      <c r="E119" s="20"/>
      <c r="F119" s="23"/>
      <c r="G119" s="23"/>
      <c r="H119" s="18"/>
      <c r="I119" s="18"/>
      <c r="J119" s="18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5">
      <c r="A120" s="19"/>
      <c r="B120" s="19"/>
      <c r="C120" s="19"/>
      <c r="D120" s="18"/>
      <c r="E120" s="20"/>
      <c r="F120" s="23"/>
      <c r="G120" s="23"/>
      <c r="H120" s="18"/>
      <c r="I120" s="18"/>
      <c r="J120" s="18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5">
      <c r="A121" s="19"/>
      <c r="B121" s="19"/>
      <c r="C121" s="19"/>
      <c r="D121" s="18"/>
      <c r="E121" s="20"/>
      <c r="F121" s="23"/>
      <c r="G121" s="23"/>
      <c r="H121" s="18"/>
      <c r="I121" s="18"/>
      <c r="J121" s="18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5">
      <c r="A122" s="19"/>
      <c r="B122" s="19"/>
      <c r="C122" s="19"/>
      <c r="D122" s="18"/>
      <c r="E122" s="20"/>
      <c r="F122" s="23"/>
      <c r="G122" s="23"/>
      <c r="H122" s="18"/>
      <c r="I122" s="18"/>
      <c r="J122" s="18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5">
      <c r="A123" s="19"/>
      <c r="B123" s="19"/>
      <c r="C123" s="19"/>
      <c r="D123" s="18"/>
      <c r="E123" s="20"/>
      <c r="F123" s="23"/>
      <c r="G123" s="23"/>
      <c r="H123" s="18"/>
      <c r="I123" s="18"/>
      <c r="J123" s="18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5">
      <c r="A124" s="25"/>
      <c r="B124" s="25"/>
      <c r="C124" s="25"/>
      <c r="D124" s="26"/>
      <c r="E124" s="27"/>
      <c r="F124" s="28"/>
      <c r="G124" s="28"/>
      <c r="H124" s="26"/>
      <c r="I124" s="26"/>
      <c r="J124" s="26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 x14ac:dyDescent="0.35">
      <c r="A125" s="19"/>
      <c r="B125" s="19"/>
      <c r="C125" s="19"/>
      <c r="D125" s="18"/>
      <c r="E125" s="20"/>
      <c r="F125" s="23"/>
      <c r="G125" s="23"/>
      <c r="H125" s="18"/>
      <c r="I125" s="18"/>
      <c r="J125" s="18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5">
      <c r="A126" s="19"/>
      <c r="B126" s="19"/>
      <c r="C126" s="19"/>
      <c r="D126" s="18"/>
      <c r="E126" s="20"/>
      <c r="F126" s="23"/>
      <c r="G126" s="23"/>
      <c r="H126" s="18"/>
      <c r="I126" s="18"/>
      <c r="J126" s="18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5">
      <c r="A127" s="19"/>
      <c r="B127" s="19"/>
      <c r="C127" s="19"/>
      <c r="D127" s="18"/>
      <c r="E127" s="20"/>
      <c r="F127" s="23"/>
      <c r="G127" s="23"/>
      <c r="H127" s="18"/>
      <c r="I127" s="18"/>
      <c r="J127" s="18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5">
      <c r="A128" s="19"/>
      <c r="B128" s="19"/>
      <c r="C128" s="19"/>
      <c r="D128" s="18"/>
      <c r="E128" s="20"/>
      <c r="F128" s="23"/>
      <c r="G128" s="23"/>
      <c r="H128" s="18"/>
      <c r="I128" s="18"/>
      <c r="J128" s="18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5">
      <c r="A129" s="19"/>
      <c r="B129" s="19"/>
      <c r="C129" s="19"/>
      <c r="D129" s="18"/>
      <c r="E129" s="20"/>
      <c r="F129" s="23"/>
      <c r="G129" s="23"/>
      <c r="H129" s="18"/>
      <c r="I129" s="18"/>
      <c r="J129" s="18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5">
      <c r="A130" s="19"/>
      <c r="B130" s="19"/>
      <c r="C130" s="19"/>
      <c r="D130" s="18"/>
      <c r="E130" s="20"/>
      <c r="F130" s="23"/>
      <c r="G130" s="23"/>
      <c r="H130" s="18"/>
      <c r="I130" s="18"/>
      <c r="J130" s="18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5">
      <c r="A131" s="19"/>
      <c r="B131" s="19"/>
      <c r="C131" s="19"/>
      <c r="D131" s="18"/>
      <c r="E131" s="20"/>
      <c r="F131" s="23"/>
      <c r="G131" s="23"/>
      <c r="H131" s="18"/>
      <c r="I131" s="18"/>
      <c r="J131" s="18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5">
      <c r="A132" s="25"/>
      <c r="B132" s="25"/>
      <c r="C132" s="25"/>
      <c r="D132" s="26"/>
      <c r="E132" s="27"/>
      <c r="F132" s="28"/>
      <c r="G132" s="28"/>
      <c r="H132" s="26"/>
      <c r="I132" s="26"/>
      <c r="J132" s="26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 x14ac:dyDescent="0.35">
      <c r="A133" s="19"/>
      <c r="B133" s="19"/>
      <c r="C133" s="19"/>
      <c r="D133" s="18"/>
      <c r="E133" s="20"/>
      <c r="F133" s="23"/>
      <c r="G133" s="30"/>
      <c r="H133" s="24"/>
      <c r="I133" s="18"/>
      <c r="J133" s="24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5">
      <c r="A134" s="19"/>
      <c r="B134" s="19"/>
      <c r="C134" s="19"/>
      <c r="D134" s="18"/>
      <c r="E134" s="20"/>
      <c r="F134" s="23"/>
      <c r="G134" s="23"/>
      <c r="H134" s="18"/>
      <c r="I134" s="18"/>
      <c r="J134" s="18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5">
      <c r="A135" s="19"/>
      <c r="B135" s="19"/>
      <c r="C135" s="19"/>
      <c r="D135" s="18"/>
      <c r="E135" s="20"/>
      <c r="F135" s="23"/>
      <c r="G135" s="23"/>
      <c r="H135" s="18"/>
      <c r="I135" s="18"/>
      <c r="J135" s="18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5">
      <c r="A136" s="19"/>
      <c r="B136" s="19"/>
      <c r="C136" s="19"/>
      <c r="D136" s="18"/>
      <c r="E136" s="20"/>
      <c r="F136" s="23"/>
      <c r="G136" s="23"/>
      <c r="H136" s="18"/>
      <c r="I136" s="18"/>
      <c r="J136" s="18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5">
      <c r="A137" s="19"/>
      <c r="B137" s="19"/>
      <c r="C137" s="19"/>
      <c r="D137" s="18"/>
      <c r="E137" s="20"/>
      <c r="F137" s="23"/>
      <c r="G137" s="23"/>
      <c r="H137" s="18"/>
      <c r="I137" s="18"/>
      <c r="J137" s="18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5">
      <c r="A138" s="19"/>
      <c r="B138" s="19"/>
      <c r="C138" s="19"/>
      <c r="D138" s="18"/>
      <c r="E138" s="20"/>
      <c r="F138" s="23"/>
      <c r="G138" s="23"/>
      <c r="H138" s="18"/>
      <c r="I138" s="18"/>
      <c r="J138" s="18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5">
      <c r="A139" s="19"/>
      <c r="B139" s="19"/>
      <c r="C139" s="19"/>
      <c r="D139" s="18"/>
      <c r="E139" s="20"/>
      <c r="F139" s="23"/>
      <c r="G139" s="23"/>
      <c r="H139" s="18"/>
      <c r="I139" s="18"/>
      <c r="J139" s="18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5">
      <c r="A140" s="19"/>
      <c r="B140" s="19"/>
      <c r="C140" s="19"/>
      <c r="D140" s="18"/>
      <c r="E140" s="20"/>
      <c r="F140" s="23"/>
      <c r="G140" s="23"/>
      <c r="H140" s="18"/>
      <c r="I140" s="18"/>
      <c r="J140" s="18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5">
      <c r="A141" s="19"/>
      <c r="B141" s="19"/>
      <c r="C141" s="19"/>
      <c r="D141" s="18"/>
      <c r="E141" s="20"/>
      <c r="F141" s="23"/>
      <c r="G141" s="23"/>
      <c r="H141" s="18"/>
      <c r="I141" s="18"/>
      <c r="J141" s="18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5">
      <c r="A142" s="19"/>
      <c r="B142" s="19"/>
      <c r="C142" s="19"/>
      <c r="D142" s="18"/>
      <c r="E142" s="20"/>
      <c r="F142" s="23"/>
      <c r="G142" s="23"/>
      <c r="H142" s="18"/>
      <c r="I142" s="18"/>
      <c r="J142" s="18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5">
      <c r="A143" s="19"/>
      <c r="B143" s="19"/>
      <c r="C143" s="19"/>
      <c r="D143" s="18"/>
      <c r="E143" s="20"/>
      <c r="F143" s="23"/>
      <c r="G143" s="23"/>
      <c r="H143" s="18"/>
      <c r="I143" s="18"/>
      <c r="J143" s="18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5">
      <c r="A144" s="19"/>
      <c r="B144" s="19"/>
      <c r="C144" s="19"/>
      <c r="D144" s="18"/>
      <c r="E144" s="20"/>
      <c r="F144" s="23"/>
      <c r="G144" s="23"/>
      <c r="H144" s="18"/>
      <c r="I144" s="18"/>
      <c r="J144" s="18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5">
      <c r="A145" s="19"/>
      <c r="B145" s="19"/>
      <c r="C145" s="19"/>
      <c r="D145" s="18"/>
      <c r="E145" s="20"/>
      <c r="F145" s="23"/>
      <c r="G145" s="23"/>
      <c r="H145" s="18"/>
      <c r="I145" s="18"/>
      <c r="J145" s="18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5">
      <c r="A146" s="19"/>
      <c r="B146" s="19"/>
      <c r="C146" s="19"/>
      <c r="D146" s="18"/>
      <c r="E146" s="20"/>
      <c r="F146" s="23"/>
      <c r="G146" s="23"/>
      <c r="H146" s="18"/>
      <c r="I146" s="18"/>
      <c r="J146" s="18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5">
      <c r="A147" s="19"/>
      <c r="B147" s="19"/>
      <c r="C147" s="19"/>
      <c r="D147" s="18"/>
      <c r="E147" s="20"/>
      <c r="F147" s="23"/>
      <c r="G147" s="23"/>
      <c r="H147" s="18"/>
      <c r="I147" s="18"/>
      <c r="J147" s="18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5">
      <c r="A148" s="19"/>
      <c r="B148" s="19"/>
      <c r="C148" s="19"/>
      <c r="D148" s="18"/>
      <c r="E148" s="20"/>
      <c r="F148" s="23"/>
      <c r="G148" s="23"/>
      <c r="H148" s="18"/>
      <c r="I148" s="18"/>
      <c r="J148" s="18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5">
      <c r="A149" s="19"/>
      <c r="B149" s="19"/>
      <c r="C149" s="19"/>
      <c r="D149" s="18"/>
      <c r="E149" s="20"/>
      <c r="F149" s="23"/>
      <c r="G149" s="23"/>
      <c r="H149" s="18"/>
      <c r="I149" s="18"/>
      <c r="J149" s="18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5">
      <c r="A150" s="19"/>
      <c r="B150" s="19"/>
      <c r="C150" s="19"/>
      <c r="D150" s="18"/>
      <c r="E150" s="20"/>
      <c r="F150" s="23"/>
      <c r="G150" s="23"/>
      <c r="H150" s="18"/>
      <c r="I150" s="18"/>
      <c r="J150" s="18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5">
      <c r="A151" s="19"/>
      <c r="B151" s="19"/>
      <c r="C151" s="19"/>
      <c r="D151" s="18"/>
      <c r="E151" s="20"/>
      <c r="F151" s="23"/>
      <c r="G151" s="23"/>
      <c r="H151" s="18"/>
      <c r="I151" s="18"/>
      <c r="J151" s="18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5">
      <c r="A152" s="19"/>
      <c r="B152" s="19"/>
      <c r="C152" s="19"/>
      <c r="D152" s="18"/>
      <c r="E152" s="20"/>
      <c r="F152" s="23"/>
      <c r="G152" s="23"/>
      <c r="H152" s="18"/>
      <c r="I152" s="18"/>
      <c r="J152" s="18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5">
      <c r="A153" s="19"/>
      <c r="B153" s="19"/>
      <c r="C153" s="19"/>
      <c r="D153" s="18"/>
      <c r="E153" s="20"/>
      <c r="F153" s="23"/>
      <c r="G153" s="23"/>
      <c r="H153" s="18"/>
      <c r="I153" s="18"/>
      <c r="J153" s="18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5">
      <c r="A154" s="19"/>
      <c r="B154" s="19"/>
      <c r="C154" s="19"/>
      <c r="D154" s="18"/>
      <c r="E154" s="20"/>
      <c r="F154" s="23"/>
      <c r="G154" s="23"/>
      <c r="H154" s="18"/>
      <c r="I154" s="18"/>
      <c r="J154" s="18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5">
      <c r="A155" s="19"/>
      <c r="B155" s="19"/>
      <c r="C155" s="19"/>
      <c r="D155" s="18"/>
      <c r="E155" s="20"/>
      <c r="F155" s="23"/>
      <c r="G155" s="23"/>
      <c r="H155" s="18"/>
      <c r="I155" s="18"/>
      <c r="J155" s="18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5">
      <c r="A156" s="19"/>
      <c r="B156" s="19"/>
      <c r="C156" s="19"/>
      <c r="D156" s="18"/>
      <c r="E156" s="20"/>
      <c r="F156" s="23"/>
      <c r="G156" s="23"/>
      <c r="H156" s="18"/>
      <c r="I156" s="18"/>
      <c r="J156" s="18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5">
      <c r="A157" s="19"/>
      <c r="B157" s="19"/>
      <c r="C157" s="19"/>
      <c r="D157" s="18"/>
      <c r="E157" s="20"/>
      <c r="F157" s="23"/>
      <c r="G157" s="23"/>
      <c r="H157" s="18"/>
      <c r="I157" s="18"/>
      <c r="J157" s="18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5">
      <c r="A158" s="19"/>
      <c r="B158" s="19"/>
      <c r="C158" s="19"/>
      <c r="D158" s="18"/>
      <c r="E158" s="20"/>
      <c r="F158" s="23"/>
      <c r="G158" s="23"/>
      <c r="H158" s="18"/>
      <c r="I158" s="18"/>
      <c r="J158" s="18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5">
      <c r="A159" s="19"/>
      <c r="B159" s="19"/>
      <c r="C159" s="19"/>
      <c r="D159" s="18"/>
      <c r="E159" s="20"/>
      <c r="F159" s="23"/>
      <c r="G159" s="23"/>
      <c r="H159" s="18"/>
      <c r="I159" s="18"/>
      <c r="J159" s="18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5">
      <c r="A160" s="19"/>
      <c r="B160" s="19"/>
      <c r="C160" s="19"/>
      <c r="D160" s="18"/>
      <c r="E160" s="20"/>
      <c r="F160" s="23"/>
      <c r="G160" s="23"/>
      <c r="H160" s="18"/>
      <c r="I160" s="18"/>
      <c r="J160" s="18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5">
      <c r="A161" s="19"/>
      <c r="B161" s="19"/>
      <c r="C161" s="19"/>
      <c r="D161" s="18"/>
      <c r="E161" s="20"/>
      <c r="F161" s="23"/>
      <c r="G161" s="23"/>
      <c r="H161" s="18"/>
      <c r="I161" s="18"/>
      <c r="J161" s="18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5">
      <c r="A162" s="19"/>
      <c r="B162" s="19"/>
      <c r="C162" s="19"/>
      <c r="D162" s="18"/>
      <c r="E162" s="20"/>
      <c r="F162" s="23"/>
      <c r="G162" s="23"/>
      <c r="H162" s="18"/>
      <c r="I162" s="18"/>
      <c r="J162" s="18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5">
      <c r="A163" s="19"/>
      <c r="B163" s="19"/>
      <c r="C163" s="19"/>
      <c r="D163" s="18"/>
      <c r="E163" s="20"/>
      <c r="F163" s="23"/>
      <c r="G163" s="23"/>
      <c r="H163" s="18"/>
      <c r="I163" s="18"/>
      <c r="J163" s="18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5">
      <c r="A164" s="19"/>
      <c r="B164" s="19"/>
      <c r="C164" s="19"/>
      <c r="D164" s="18"/>
      <c r="E164" s="20"/>
      <c r="F164" s="23"/>
      <c r="G164" s="23"/>
      <c r="H164" s="18"/>
      <c r="I164" s="18"/>
      <c r="J164" s="18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5">
      <c r="A165" s="19"/>
      <c r="B165" s="19"/>
      <c r="C165" s="19"/>
      <c r="D165" s="18"/>
      <c r="E165" s="20"/>
      <c r="F165" s="23"/>
      <c r="G165" s="23"/>
      <c r="H165" s="18"/>
      <c r="I165" s="18"/>
      <c r="J165" s="18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5">
      <c r="A166" s="19"/>
      <c r="B166" s="19"/>
      <c r="C166" s="19"/>
      <c r="D166" s="18"/>
      <c r="E166" s="20"/>
      <c r="F166" s="23"/>
      <c r="G166" s="23"/>
      <c r="H166" s="18"/>
      <c r="I166" s="18"/>
      <c r="J166" s="18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5">
      <c r="A167" s="19"/>
      <c r="B167" s="19"/>
      <c r="C167" s="19"/>
      <c r="D167" s="18"/>
      <c r="E167" s="20"/>
      <c r="F167" s="23"/>
      <c r="G167" s="23"/>
      <c r="H167" s="18"/>
      <c r="I167" s="18"/>
      <c r="J167" s="18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5">
      <c r="A168" s="19"/>
      <c r="B168" s="19"/>
      <c r="C168" s="19"/>
      <c r="D168" s="18"/>
      <c r="E168" s="20"/>
      <c r="F168" s="23"/>
      <c r="G168" s="23"/>
      <c r="H168" s="18"/>
      <c r="I168" s="18"/>
      <c r="J168" s="18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5">
      <c r="A169" s="19"/>
      <c r="B169" s="19"/>
      <c r="C169" s="19"/>
      <c r="D169" s="18"/>
      <c r="E169" s="20"/>
      <c r="F169" s="23"/>
      <c r="G169" s="23"/>
      <c r="H169" s="18"/>
      <c r="I169" s="18"/>
      <c r="J169" s="18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5">
      <c r="A170" s="19"/>
      <c r="B170" s="19"/>
      <c r="C170" s="19"/>
      <c r="D170" s="18"/>
      <c r="E170" s="20"/>
      <c r="F170" s="23"/>
      <c r="G170" s="23"/>
      <c r="H170" s="18"/>
      <c r="I170" s="18"/>
      <c r="J170" s="18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5">
      <c r="A171" s="19"/>
      <c r="B171" s="19"/>
      <c r="C171" s="19"/>
      <c r="D171" s="18"/>
      <c r="E171" s="20"/>
      <c r="F171" s="23"/>
      <c r="G171" s="23"/>
      <c r="H171" s="18"/>
      <c r="I171" s="18"/>
      <c r="J171" s="18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5">
      <c r="A172" s="25"/>
      <c r="B172" s="25"/>
      <c r="C172" s="25"/>
      <c r="D172" s="26"/>
      <c r="E172" s="27"/>
      <c r="F172" s="28"/>
      <c r="G172" s="28"/>
      <c r="H172" s="26"/>
      <c r="I172" s="26"/>
      <c r="J172" s="26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 x14ac:dyDescent="0.35">
      <c r="A173" s="19"/>
      <c r="B173" s="19"/>
      <c r="C173" s="19"/>
      <c r="D173" s="18"/>
      <c r="E173" s="20"/>
      <c r="F173" s="23"/>
      <c r="G173" s="23"/>
      <c r="H173" s="18"/>
      <c r="I173" s="18"/>
      <c r="J173" s="18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5">
      <c r="A174" s="19"/>
      <c r="B174" s="19"/>
      <c r="C174" s="19"/>
      <c r="D174" s="18"/>
      <c r="E174" s="20"/>
      <c r="F174" s="23"/>
      <c r="G174" s="23"/>
      <c r="H174" s="18"/>
      <c r="I174" s="18"/>
      <c r="J174" s="18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5">
      <c r="A175" s="19"/>
      <c r="B175" s="19"/>
      <c r="C175" s="19"/>
      <c r="D175" s="18"/>
      <c r="E175" s="20"/>
      <c r="F175" s="23"/>
      <c r="G175" s="23"/>
      <c r="H175" s="18"/>
      <c r="I175" s="18"/>
      <c r="J175" s="24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5">
      <c r="A176" s="19"/>
      <c r="B176" s="19"/>
      <c r="C176" s="19"/>
      <c r="D176" s="18"/>
      <c r="E176" s="20"/>
      <c r="F176" s="23"/>
      <c r="G176" s="23"/>
      <c r="H176" s="18"/>
      <c r="I176" s="18"/>
      <c r="J176" s="24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5">
      <c r="A177" s="19"/>
      <c r="B177" s="19"/>
      <c r="C177" s="19"/>
      <c r="D177" s="18"/>
      <c r="E177" s="20"/>
      <c r="F177" s="23"/>
      <c r="G177" s="23"/>
      <c r="H177" s="18"/>
      <c r="I177" s="18"/>
      <c r="J177" s="24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5">
      <c r="A178" s="19"/>
      <c r="B178" s="19"/>
      <c r="C178" s="19"/>
      <c r="D178" s="18"/>
      <c r="E178" s="20"/>
      <c r="F178" s="23"/>
      <c r="G178" s="23"/>
      <c r="H178" s="18"/>
      <c r="I178" s="18"/>
      <c r="J178" s="24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5">
      <c r="A179" s="19"/>
      <c r="B179" s="19"/>
      <c r="C179" s="19"/>
      <c r="D179" s="18"/>
      <c r="E179" s="20"/>
      <c r="F179" s="23"/>
      <c r="G179" s="23"/>
      <c r="H179" s="18"/>
      <c r="I179" s="18"/>
      <c r="J179" s="24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5">
      <c r="A180" s="19"/>
      <c r="B180" s="19"/>
      <c r="C180" s="19"/>
      <c r="D180" s="18"/>
      <c r="E180" s="20"/>
      <c r="F180" s="23"/>
      <c r="G180" s="23"/>
      <c r="H180" s="18"/>
      <c r="I180" s="18"/>
      <c r="J180" s="24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5">
      <c r="A181" s="19"/>
      <c r="B181" s="19"/>
      <c r="C181" s="19"/>
      <c r="D181" s="18"/>
      <c r="E181" s="20"/>
      <c r="F181" s="23"/>
      <c r="G181" s="23"/>
      <c r="H181" s="18"/>
      <c r="I181" s="18"/>
      <c r="J181" s="24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5">
      <c r="A182" s="19"/>
      <c r="B182" s="19"/>
      <c r="C182" s="19"/>
      <c r="D182" s="18"/>
      <c r="E182" s="20"/>
      <c r="F182" s="23"/>
      <c r="G182" s="23"/>
      <c r="H182" s="18"/>
      <c r="I182" s="18"/>
      <c r="J182" s="24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5">
      <c r="A183" s="19"/>
      <c r="B183" s="19"/>
      <c r="C183" s="19"/>
      <c r="D183" s="18"/>
      <c r="E183" s="20"/>
      <c r="F183" s="23"/>
      <c r="G183" s="23"/>
      <c r="H183" s="18"/>
      <c r="I183" s="18"/>
      <c r="J183" s="24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5">
      <c r="A184" s="19"/>
      <c r="B184" s="19"/>
      <c r="C184" s="19"/>
      <c r="D184" s="18"/>
      <c r="E184" s="20"/>
      <c r="F184" s="23"/>
      <c r="G184" s="23"/>
      <c r="H184" s="18"/>
      <c r="I184" s="18"/>
      <c r="J184" s="24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5">
      <c r="A185" s="19"/>
      <c r="B185" s="19"/>
      <c r="C185" s="19"/>
      <c r="D185" s="18"/>
      <c r="E185" s="20"/>
      <c r="F185" s="23"/>
      <c r="G185" s="23"/>
      <c r="H185" s="18"/>
      <c r="I185" s="18"/>
      <c r="J185" s="24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5">
      <c r="A186" s="19"/>
      <c r="B186" s="19"/>
      <c r="C186" s="19"/>
      <c r="D186" s="18"/>
      <c r="E186" s="20"/>
      <c r="F186" s="23"/>
      <c r="G186" s="23"/>
      <c r="H186" s="18"/>
      <c r="I186" s="18"/>
      <c r="J186" s="24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5">
      <c r="A187" s="19"/>
      <c r="B187" s="19"/>
      <c r="C187" s="19"/>
      <c r="D187" s="18"/>
      <c r="E187" s="20"/>
      <c r="F187" s="23"/>
      <c r="G187" s="23"/>
      <c r="H187" s="18"/>
      <c r="I187" s="18"/>
      <c r="J187" s="24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5">
      <c r="A188" s="19"/>
      <c r="B188" s="19"/>
      <c r="C188" s="19"/>
      <c r="D188" s="18"/>
      <c r="E188" s="20"/>
      <c r="F188" s="23"/>
      <c r="G188" s="23"/>
      <c r="H188" s="18"/>
      <c r="I188" s="18"/>
      <c r="J188" s="24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5">
      <c r="A189" s="19"/>
      <c r="B189" s="19"/>
      <c r="C189" s="19"/>
      <c r="D189" s="18"/>
      <c r="E189" s="20"/>
      <c r="F189" s="23"/>
      <c r="G189" s="23"/>
      <c r="H189" s="18"/>
      <c r="I189" s="18"/>
      <c r="J189" s="24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5">
      <c r="A190" s="19"/>
      <c r="B190" s="19"/>
      <c r="C190" s="19"/>
      <c r="D190" s="18"/>
      <c r="E190" s="20"/>
      <c r="F190" s="23"/>
      <c r="G190" s="23"/>
      <c r="H190" s="18"/>
      <c r="I190" s="18"/>
      <c r="J190" s="24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5">
      <c r="A191" s="19"/>
      <c r="B191" s="19"/>
      <c r="C191" s="19"/>
      <c r="D191" s="18"/>
      <c r="E191" s="20"/>
      <c r="F191" s="23"/>
      <c r="G191" s="23"/>
      <c r="H191" s="18"/>
      <c r="I191" s="18"/>
      <c r="J191" s="24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5">
      <c r="A192" s="19"/>
      <c r="B192" s="19"/>
      <c r="C192" s="19"/>
      <c r="D192" s="18"/>
      <c r="E192" s="20"/>
      <c r="F192" s="23"/>
      <c r="G192" s="23"/>
      <c r="H192" s="18"/>
      <c r="I192" s="18"/>
      <c r="J192" s="24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5">
      <c r="A193" s="19"/>
      <c r="B193" s="19"/>
      <c r="C193" s="19"/>
      <c r="D193" s="18"/>
      <c r="E193" s="20"/>
      <c r="F193" s="23"/>
      <c r="G193" s="23"/>
      <c r="H193" s="18"/>
      <c r="I193" s="18"/>
      <c r="J193" s="24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5">
      <c r="A194" s="19"/>
      <c r="B194" s="19"/>
      <c r="C194" s="19"/>
      <c r="D194" s="18"/>
      <c r="E194" s="20"/>
      <c r="F194" s="23"/>
      <c r="G194" s="23"/>
      <c r="H194" s="18"/>
      <c r="I194" s="18"/>
      <c r="J194" s="24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5">
      <c r="A195" s="19"/>
      <c r="B195" s="19"/>
      <c r="C195" s="19"/>
      <c r="D195" s="18"/>
      <c r="E195" s="20"/>
      <c r="F195" s="23"/>
      <c r="G195" s="23"/>
      <c r="H195" s="18"/>
      <c r="I195" s="18"/>
      <c r="J195" s="24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5">
      <c r="A196" s="19"/>
      <c r="B196" s="19"/>
      <c r="C196" s="19"/>
      <c r="D196" s="18"/>
      <c r="E196" s="20"/>
      <c r="F196" s="23"/>
      <c r="G196" s="23"/>
      <c r="H196" s="18"/>
      <c r="I196" s="18"/>
      <c r="J196" s="24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5">
      <c r="A197" s="19"/>
      <c r="B197" s="19"/>
      <c r="C197" s="19"/>
      <c r="D197" s="18"/>
      <c r="E197" s="20"/>
      <c r="F197" s="23"/>
      <c r="G197" s="23"/>
      <c r="H197" s="18"/>
      <c r="I197" s="18"/>
      <c r="J197" s="24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5">
      <c r="A198" s="19"/>
      <c r="B198" s="19"/>
      <c r="C198" s="19"/>
      <c r="D198" s="18"/>
      <c r="E198" s="20"/>
      <c r="F198" s="23"/>
      <c r="G198" s="23"/>
      <c r="H198" s="18"/>
      <c r="I198" s="18"/>
      <c r="J198" s="24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5">
      <c r="A199" s="19"/>
      <c r="B199" s="19"/>
      <c r="C199" s="19"/>
      <c r="D199" s="18"/>
      <c r="E199" s="20"/>
      <c r="F199" s="23"/>
      <c r="G199" s="23"/>
      <c r="H199" s="18"/>
      <c r="I199" s="18"/>
      <c r="J199" s="24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5">
      <c r="A200" s="19"/>
      <c r="B200" s="19"/>
      <c r="C200" s="19"/>
      <c r="D200" s="18"/>
      <c r="E200" s="20"/>
      <c r="F200" s="23"/>
      <c r="G200" s="23"/>
      <c r="H200" s="18"/>
      <c r="I200" s="18"/>
      <c r="J200" s="24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5">
      <c r="A201" s="19"/>
      <c r="B201" s="19"/>
      <c r="C201" s="19"/>
      <c r="D201" s="18"/>
      <c r="E201" s="20"/>
      <c r="F201" s="23"/>
      <c r="G201" s="23"/>
      <c r="H201" s="18"/>
      <c r="I201" s="18"/>
      <c r="J201" s="24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5">
      <c r="A202" s="19"/>
      <c r="B202" s="19"/>
      <c r="C202" s="19"/>
      <c r="D202" s="18"/>
      <c r="E202" s="20"/>
      <c r="F202" s="23"/>
      <c r="G202" s="23"/>
      <c r="H202" s="18"/>
      <c r="I202" s="18"/>
      <c r="J202" s="24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5">
      <c r="A203" s="19"/>
      <c r="B203" s="19"/>
      <c r="C203" s="19"/>
      <c r="D203" s="18"/>
      <c r="E203" s="20"/>
      <c r="F203" s="23"/>
      <c r="G203" s="23"/>
      <c r="H203" s="18"/>
      <c r="I203" s="18"/>
      <c r="J203" s="24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5">
      <c r="A204" s="19"/>
      <c r="B204" s="19"/>
      <c r="C204" s="19"/>
      <c r="D204" s="18"/>
      <c r="E204" s="20"/>
      <c r="F204" s="23"/>
      <c r="G204" s="23"/>
      <c r="H204" s="18"/>
      <c r="I204" s="18"/>
      <c r="J204" s="24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5">
      <c r="A205" s="19"/>
      <c r="B205" s="19"/>
      <c r="C205" s="19"/>
      <c r="D205" s="18"/>
      <c r="E205" s="20"/>
      <c r="F205" s="23"/>
      <c r="G205" s="23"/>
      <c r="H205" s="18"/>
      <c r="I205" s="18"/>
      <c r="J205" s="24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5">
      <c r="A206" s="19"/>
      <c r="B206" s="19"/>
      <c r="C206" s="19"/>
      <c r="D206" s="18"/>
      <c r="E206" s="20"/>
      <c r="F206" s="23"/>
      <c r="G206" s="23"/>
      <c r="H206" s="18"/>
      <c r="I206" s="18"/>
      <c r="J206" s="24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5">
      <c r="A207" s="19"/>
      <c r="B207" s="19"/>
      <c r="C207" s="19"/>
      <c r="D207" s="18"/>
      <c r="E207" s="20"/>
      <c r="F207" s="23"/>
      <c r="G207" s="23"/>
      <c r="H207" s="18"/>
      <c r="I207" s="18"/>
      <c r="J207" s="24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5">
      <c r="A208" s="19"/>
      <c r="B208" s="19"/>
      <c r="C208" s="19"/>
      <c r="D208" s="18"/>
      <c r="E208" s="20"/>
      <c r="F208" s="23"/>
      <c r="G208" s="23"/>
      <c r="H208" s="18"/>
      <c r="I208" s="18"/>
      <c r="J208" s="24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5">
      <c r="A209" s="19"/>
      <c r="B209" s="19"/>
      <c r="C209" s="19"/>
      <c r="D209" s="18"/>
      <c r="E209" s="20"/>
      <c r="F209" s="23"/>
      <c r="G209" s="23"/>
      <c r="H209" s="18"/>
      <c r="I209" s="18"/>
      <c r="J209" s="24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5">
      <c r="A210" s="19"/>
      <c r="B210" s="19"/>
      <c r="C210" s="19"/>
      <c r="D210" s="18"/>
      <c r="E210" s="20"/>
      <c r="F210" s="23"/>
      <c r="G210" s="23"/>
      <c r="H210" s="18"/>
      <c r="I210" s="18"/>
      <c r="J210" s="24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5">
      <c r="A211" s="19"/>
      <c r="B211" s="19"/>
      <c r="C211" s="19"/>
      <c r="D211" s="18"/>
      <c r="E211" s="20"/>
      <c r="F211" s="23"/>
      <c r="G211" s="23"/>
      <c r="H211" s="18"/>
      <c r="I211" s="18"/>
      <c r="J211" s="24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5">
      <c r="A212" s="19"/>
      <c r="B212" s="19"/>
      <c r="C212" s="19"/>
      <c r="D212" s="18"/>
      <c r="E212" s="20"/>
      <c r="F212" s="23"/>
      <c r="G212" s="23"/>
      <c r="H212" s="18"/>
      <c r="I212" s="18"/>
      <c r="J212" s="24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5">
      <c r="A213" s="19"/>
      <c r="B213" s="19"/>
      <c r="C213" s="19"/>
      <c r="D213" s="18"/>
      <c r="E213" s="20"/>
      <c r="F213" s="23"/>
      <c r="G213" s="23"/>
      <c r="H213" s="18"/>
      <c r="I213" s="18"/>
      <c r="J213" s="24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5">
      <c r="A214" s="19"/>
      <c r="B214" s="19"/>
      <c r="C214" s="19"/>
      <c r="D214" s="18"/>
      <c r="E214" s="20"/>
      <c r="F214" s="23"/>
      <c r="G214" s="23"/>
      <c r="H214" s="18"/>
      <c r="I214" s="18"/>
      <c r="J214" s="24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5">
      <c r="A215" s="19"/>
      <c r="B215" s="19"/>
      <c r="C215" s="19"/>
      <c r="D215" s="18"/>
      <c r="E215" s="20"/>
      <c r="F215" s="23"/>
      <c r="G215" s="23"/>
      <c r="H215" s="18"/>
      <c r="I215" s="18"/>
      <c r="J215" s="24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5">
      <c r="A216" s="19"/>
      <c r="B216" s="19"/>
      <c r="C216" s="19"/>
      <c r="D216" s="18"/>
      <c r="E216" s="20"/>
      <c r="F216" s="23"/>
      <c r="G216" s="23"/>
      <c r="H216" s="18"/>
      <c r="I216" s="18"/>
      <c r="J216" s="24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5">
      <c r="A217" s="19"/>
      <c r="B217" s="19"/>
      <c r="C217" s="19"/>
      <c r="D217" s="18"/>
      <c r="E217" s="20"/>
      <c r="F217" s="23"/>
      <c r="G217" s="23"/>
      <c r="H217" s="18"/>
      <c r="I217" s="18"/>
      <c r="J217" s="24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5">
      <c r="A218" s="19"/>
      <c r="B218" s="19"/>
      <c r="C218" s="19"/>
      <c r="D218" s="18"/>
      <c r="E218" s="20"/>
      <c r="F218" s="23"/>
      <c r="G218" s="23"/>
      <c r="H218" s="18"/>
      <c r="I218" s="18"/>
      <c r="J218" s="24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5">
      <c r="A219" s="19"/>
      <c r="B219" s="19"/>
      <c r="C219" s="19"/>
      <c r="D219" s="18"/>
      <c r="E219" s="20"/>
      <c r="F219" s="23"/>
      <c r="G219" s="23"/>
      <c r="H219" s="18"/>
      <c r="I219" s="18"/>
      <c r="J219" s="24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5">
      <c r="A220" s="19"/>
      <c r="B220" s="19"/>
      <c r="C220" s="19"/>
      <c r="D220" s="18"/>
      <c r="E220" s="20"/>
      <c r="F220" s="23"/>
      <c r="G220" s="23"/>
      <c r="H220" s="18"/>
      <c r="I220" s="18"/>
      <c r="J220" s="24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5">
      <c r="A221" s="19"/>
      <c r="B221" s="19"/>
      <c r="C221" s="19"/>
      <c r="D221" s="18"/>
      <c r="E221" s="20"/>
      <c r="F221" s="23"/>
      <c r="G221" s="23"/>
      <c r="H221" s="18"/>
      <c r="I221" s="18"/>
      <c r="J221" s="24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5">
      <c r="A222" s="19"/>
      <c r="B222" s="19"/>
      <c r="C222" s="19"/>
      <c r="D222" s="18"/>
      <c r="E222" s="20"/>
      <c r="F222" s="23"/>
      <c r="G222" s="23"/>
      <c r="H222" s="18"/>
      <c r="I222" s="18"/>
      <c r="J222" s="24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5">
      <c r="A223" s="19"/>
      <c r="B223" s="19"/>
      <c r="C223" s="19"/>
      <c r="D223" s="18"/>
      <c r="E223" s="20"/>
      <c r="F223" s="23"/>
      <c r="G223" s="23"/>
      <c r="H223" s="18"/>
      <c r="I223" s="18"/>
      <c r="J223" s="24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5">
      <c r="A224" s="19"/>
      <c r="B224" s="19"/>
      <c r="C224" s="19"/>
      <c r="D224" s="18"/>
      <c r="E224" s="20"/>
      <c r="F224" s="23"/>
      <c r="G224" s="23"/>
      <c r="H224" s="18"/>
      <c r="I224" s="18"/>
      <c r="J224" s="24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5">
      <c r="A225" s="19"/>
      <c r="B225" s="19"/>
      <c r="C225" s="19"/>
      <c r="D225" s="18"/>
      <c r="E225" s="20"/>
      <c r="F225" s="23"/>
      <c r="G225" s="23"/>
      <c r="H225" s="18"/>
      <c r="I225" s="18"/>
      <c r="J225" s="24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5">
      <c r="A226" s="19"/>
      <c r="B226" s="19"/>
      <c r="C226" s="19"/>
      <c r="D226" s="18"/>
      <c r="E226" s="20"/>
      <c r="F226" s="23"/>
      <c r="G226" s="23"/>
      <c r="H226" s="18"/>
      <c r="I226" s="18"/>
      <c r="J226" s="24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5">
      <c r="A227" s="19"/>
      <c r="B227" s="19"/>
      <c r="C227" s="19"/>
      <c r="D227" s="18"/>
      <c r="E227" s="20"/>
      <c r="F227" s="23"/>
      <c r="G227" s="23"/>
      <c r="H227" s="18"/>
      <c r="I227" s="18"/>
      <c r="J227" s="24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5">
      <c r="A228" s="19"/>
      <c r="B228" s="19"/>
      <c r="C228" s="19"/>
      <c r="D228" s="18"/>
      <c r="E228" s="20"/>
      <c r="F228" s="23"/>
      <c r="G228" s="23"/>
      <c r="H228" s="18"/>
      <c r="I228" s="18"/>
      <c r="J228" s="24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5">
      <c r="A229" s="19"/>
      <c r="B229" s="19"/>
      <c r="C229" s="19"/>
      <c r="D229" s="18"/>
      <c r="E229" s="20"/>
      <c r="F229" s="23"/>
      <c r="G229" s="23"/>
      <c r="H229" s="18"/>
      <c r="I229" s="18"/>
      <c r="J229" s="24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5">
      <c r="A230" s="19"/>
      <c r="B230" s="19"/>
      <c r="C230" s="19"/>
      <c r="D230" s="18"/>
      <c r="E230" s="20"/>
      <c r="F230" s="23"/>
      <c r="G230" s="23"/>
      <c r="H230" s="18"/>
      <c r="I230" s="18"/>
      <c r="J230" s="24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5">
      <c r="A231" s="19"/>
      <c r="B231" s="19"/>
      <c r="C231" s="19"/>
      <c r="D231" s="18"/>
      <c r="E231" s="20"/>
      <c r="F231" s="23"/>
      <c r="G231" s="23"/>
      <c r="H231" s="18"/>
      <c r="I231" s="18"/>
      <c r="J231" s="18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5">
      <c r="A232" s="19"/>
      <c r="B232" s="19"/>
      <c r="C232" s="19"/>
      <c r="D232" s="18"/>
      <c r="E232" s="20"/>
      <c r="F232" s="23"/>
      <c r="G232" s="23"/>
      <c r="H232" s="18"/>
      <c r="I232" s="18"/>
      <c r="J232" s="18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5">
      <c r="A233" s="19"/>
      <c r="B233" s="19"/>
      <c r="C233" s="19"/>
      <c r="D233" s="18"/>
      <c r="E233" s="20"/>
      <c r="F233" s="23"/>
      <c r="G233" s="23"/>
      <c r="H233" s="18"/>
      <c r="I233" s="18"/>
      <c r="J233" s="18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5">
      <c r="A234" s="19"/>
      <c r="B234" s="19"/>
      <c r="C234" s="19"/>
      <c r="D234" s="18"/>
      <c r="E234" s="20"/>
      <c r="F234" s="23"/>
      <c r="G234" s="23"/>
      <c r="H234" s="18"/>
      <c r="I234" s="18"/>
      <c r="J234" s="18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5">
      <c r="A235" s="19"/>
      <c r="B235" s="19"/>
      <c r="C235" s="19"/>
      <c r="D235" s="18"/>
      <c r="E235" s="20"/>
      <c r="F235" s="23"/>
      <c r="G235" s="23"/>
      <c r="H235" s="18"/>
      <c r="I235" s="18"/>
      <c r="J235" s="18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5">
      <c r="A236" s="19"/>
      <c r="B236" s="19"/>
      <c r="C236" s="19"/>
      <c r="D236" s="18"/>
      <c r="E236" s="20"/>
      <c r="F236" s="23"/>
      <c r="G236" s="23"/>
      <c r="H236" s="18"/>
      <c r="I236" s="18"/>
      <c r="J236" s="18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5">
      <c r="A237" s="19"/>
      <c r="B237" s="19"/>
      <c r="C237" s="19"/>
      <c r="D237" s="18"/>
      <c r="E237" s="20"/>
      <c r="F237" s="23"/>
      <c r="G237" s="23"/>
      <c r="H237" s="18"/>
      <c r="I237" s="18"/>
      <c r="J237" s="18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5">
      <c r="A238" s="19"/>
      <c r="B238" s="19"/>
      <c r="C238" s="19"/>
      <c r="D238" s="18"/>
      <c r="E238" s="20"/>
      <c r="F238" s="23"/>
      <c r="G238" s="23"/>
      <c r="H238" s="18"/>
      <c r="I238" s="18"/>
      <c r="J238" s="18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5">
      <c r="A239" s="19"/>
      <c r="B239" s="19"/>
      <c r="C239" s="19"/>
      <c r="D239" s="18"/>
      <c r="E239" s="20"/>
      <c r="F239" s="23"/>
      <c r="G239" s="23"/>
      <c r="H239" s="18"/>
      <c r="I239" s="18"/>
      <c r="J239" s="18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5">
      <c r="A240" s="19"/>
      <c r="B240" s="19"/>
      <c r="C240" s="19"/>
      <c r="D240" s="18"/>
      <c r="E240" s="20"/>
      <c r="F240" s="23"/>
      <c r="G240" s="23"/>
      <c r="H240" s="18"/>
      <c r="I240" s="18"/>
      <c r="J240" s="18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5">
      <c r="A241" s="19"/>
      <c r="B241" s="19"/>
      <c r="C241" s="19"/>
      <c r="D241" s="18"/>
      <c r="E241" s="20"/>
      <c r="F241" s="23"/>
      <c r="G241" s="23"/>
      <c r="H241" s="18"/>
      <c r="I241" s="18"/>
      <c r="J241" s="18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5">
      <c r="A242" s="19"/>
      <c r="B242" s="19"/>
      <c r="C242" s="19"/>
      <c r="D242" s="18"/>
      <c r="E242" s="20"/>
      <c r="F242" s="23"/>
      <c r="G242" s="23"/>
      <c r="H242" s="18"/>
      <c r="I242" s="18"/>
      <c r="J242" s="18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5">
      <c r="A243" s="19"/>
      <c r="B243" s="19"/>
      <c r="C243" s="19"/>
      <c r="D243" s="18"/>
      <c r="E243" s="20"/>
      <c r="F243" s="23"/>
      <c r="G243" s="23"/>
      <c r="H243" s="18"/>
      <c r="I243" s="18"/>
      <c r="J243" s="18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5">
      <c r="A244" s="19"/>
      <c r="B244" s="19"/>
      <c r="C244" s="19"/>
      <c r="D244" s="18"/>
      <c r="E244" s="20"/>
      <c r="F244" s="23"/>
      <c r="G244" s="23"/>
      <c r="H244" s="18"/>
      <c r="I244" s="18"/>
      <c r="J244" s="18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5">
      <c r="A245" s="19"/>
      <c r="B245" s="19"/>
      <c r="C245" s="19"/>
      <c r="D245" s="18"/>
      <c r="E245" s="20"/>
      <c r="F245" s="23"/>
      <c r="G245" s="23"/>
      <c r="H245" s="18"/>
      <c r="I245" s="18"/>
      <c r="J245" s="18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5">
      <c r="A246" s="19"/>
      <c r="B246" s="19"/>
      <c r="C246" s="19"/>
      <c r="D246" s="18"/>
      <c r="E246" s="20"/>
      <c r="F246" s="23"/>
      <c r="G246" s="23"/>
      <c r="H246" s="18"/>
      <c r="I246" s="18"/>
      <c r="J246" s="18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5">
      <c r="A247" s="19"/>
      <c r="B247" s="19"/>
      <c r="C247" s="19"/>
      <c r="D247" s="18"/>
      <c r="E247" s="20"/>
      <c r="F247" s="23"/>
      <c r="G247" s="23"/>
      <c r="H247" s="18"/>
      <c r="I247" s="18"/>
      <c r="J247" s="18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5">
      <c r="A248" s="19"/>
      <c r="B248" s="19"/>
      <c r="C248" s="19"/>
      <c r="D248" s="18"/>
      <c r="E248" s="20"/>
      <c r="F248" s="23"/>
      <c r="G248" s="23"/>
      <c r="H248" s="18"/>
      <c r="I248" s="18"/>
      <c r="J248" s="18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5">
      <c r="A249" s="19"/>
      <c r="B249" s="19"/>
      <c r="C249" s="19"/>
      <c r="D249" s="18"/>
      <c r="E249" s="20"/>
      <c r="F249" s="23"/>
      <c r="G249" s="23"/>
      <c r="H249" s="18"/>
      <c r="I249" s="18"/>
      <c r="J249" s="18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5">
      <c r="A250" s="19"/>
      <c r="B250" s="19"/>
      <c r="C250" s="19"/>
      <c r="D250" s="18"/>
      <c r="E250" s="20"/>
      <c r="F250" s="23"/>
      <c r="G250" s="23"/>
      <c r="H250" s="18"/>
      <c r="I250" s="18"/>
      <c r="J250" s="18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5">
      <c r="A251" s="19"/>
      <c r="B251" s="19"/>
      <c r="C251" s="19"/>
      <c r="D251" s="18"/>
      <c r="E251" s="20"/>
      <c r="F251" s="23"/>
      <c r="G251" s="23"/>
      <c r="H251" s="18"/>
      <c r="I251" s="18"/>
      <c r="J251" s="18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5">
      <c r="A252" s="19"/>
      <c r="B252" s="19"/>
      <c r="C252" s="19"/>
      <c r="D252" s="18"/>
      <c r="E252" s="20"/>
      <c r="F252" s="23"/>
      <c r="G252" s="23"/>
      <c r="H252" s="18"/>
      <c r="I252" s="18"/>
      <c r="J252" s="18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5">
      <c r="A253" s="19"/>
      <c r="B253" s="19"/>
      <c r="C253" s="19"/>
      <c r="D253" s="18"/>
      <c r="E253" s="20"/>
      <c r="F253" s="23"/>
      <c r="G253" s="23"/>
      <c r="H253" s="18"/>
      <c r="I253" s="18"/>
      <c r="J253" s="18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5">
      <c r="A254" s="19"/>
      <c r="B254" s="19"/>
      <c r="C254" s="19"/>
      <c r="D254" s="18"/>
      <c r="E254" s="20"/>
      <c r="F254" s="23"/>
      <c r="G254" s="23"/>
      <c r="H254" s="18"/>
      <c r="I254" s="18"/>
      <c r="J254" s="18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5">
      <c r="A255" s="19"/>
      <c r="B255" s="19"/>
      <c r="C255" s="19"/>
      <c r="D255" s="18"/>
      <c r="E255" s="20"/>
      <c r="F255" s="23"/>
      <c r="G255" s="23"/>
      <c r="H255" s="18"/>
      <c r="I255" s="18"/>
      <c r="J255" s="18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5">
      <c r="A256" s="19"/>
      <c r="B256" s="19"/>
      <c r="C256" s="19"/>
      <c r="D256" s="18"/>
      <c r="E256" s="20"/>
      <c r="F256" s="23"/>
      <c r="G256" s="23"/>
      <c r="H256" s="18"/>
      <c r="I256" s="18"/>
      <c r="J256" s="18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5">
      <c r="A257" s="19"/>
      <c r="B257" s="19"/>
      <c r="C257" s="19"/>
      <c r="D257" s="18"/>
      <c r="E257" s="20"/>
      <c r="F257" s="23"/>
      <c r="G257" s="23"/>
      <c r="H257" s="18"/>
      <c r="I257" s="18"/>
      <c r="J257" s="18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5">
      <c r="A258" s="19"/>
      <c r="B258" s="19"/>
      <c r="C258" s="19"/>
      <c r="D258" s="18"/>
      <c r="E258" s="20"/>
      <c r="F258" s="23"/>
      <c r="G258" s="23"/>
      <c r="H258" s="18"/>
      <c r="I258" s="18"/>
      <c r="J258" s="18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5">
      <c r="A259" s="19"/>
      <c r="B259" s="19"/>
      <c r="C259" s="19"/>
      <c r="D259" s="18"/>
      <c r="E259" s="20"/>
      <c r="F259" s="23"/>
      <c r="G259" s="23"/>
      <c r="H259" s="18"/>
      <c r="I259" s="18"/>
      <c r="J259" s="18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5">
      <c r="A260" s="19"/>
      <c r="B260" s="19"/>
      <c r="C260" s="19"/>
      <c r="D260" s="18"/>
      <c r="E260" s="20"/>
      <c r="F260" s="23"/>
      <c r="G260" s="23"/>
      <c r="H260" s="18"/>
      <c r="I260" s="18"/>
      <c r="J260" s="18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5">
      <c r="A261" s="19"/>
      <c r="B261" s="19"/>
      <c r="C261" s="19"/>
      <c r="D261" s="18"/>
      <c r="E261" s="20"/>
      <c r="F261" s="23"/>
      <c r="G261" s="23"/>
      <c r="H261" s="18"/>
      <c r="I261" s="18"/>
      <c r="J261" s="18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5">
      <c r="A262" s="19"/>
      <c r="B262" s="19"/>
      <c r="C262" s="19"/>
      <c r="D262" s="18"/>
      <c r="E262" s="20"/>
      <c r="F262" s="23"/>
      <c r="G262" s="23"/>
      <c r="H262" s="18"/>
      <c r="I262" s="18"/>
      <c r="J262" s="18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5">
      <c r="A263" s="19"/>
      <c r="B263" s="19"/>
      <c r="C263" s="19"/>
      <c r="D263" s="18"/>
      <c r="E263" s="20"/>
      <c r="F263" s="23"/>
      <c r="G263" s="23"/>
      <c r="H263" s="18"/>
      <c r="I263" s="18"/>
      <c r="J263" s="18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5">
      <c r="A264" s="19"/>
      <c r="B264" s="19"/>
      <c r="C264" s="19"/>
      <c r="D264" s="18"/>
      <c r="E264" s="20"/>
      <c r="F264" s="23"/>
      <c r="G264" s="23"/>
      <c r="H264" s="18"/>
      <c r="I264" s="18"/>
      <c r="J264" s="18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5">
      <c r="A265" s="19"/>
      <c r="B265" s="19"/>
      <c r="C265" s="19"/>
      <c r="D265" s="18"/>
      <c r="E265" s="20"/>
      <c r="F265" s="23"/>
      <c r="G265" s="23"/>
      <c r="H265" s="18"/>
      <c r="I265" s="18"/>
      <c r="J265" s="18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5">
      <c r="A266" s="19"/>
      <c r="B266" s="19"/>
      <c r="C266" s="19"/>
      <c r="D266" s="18"/>
      <c r="E266" s="20"/>
      <c r="F266" s="23"/>
      <c r="G266" s="23"/>
      <c r="H266" s="18"/>
      <c r="I266" s="18"/>
      <c r="J266" s="18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5">
      <c r="A267" s="19"/>
      <c r="B267" s="19"/>
      <c r="C267" s="19"/>
      <c r="D267" s="18"/>
      <c r="E267" s="20"/>
      <c r="F267" s="23"/>
      <c r="G267" s="23"/>
      <c r="H267" s="18"/>
      <c r="I267" s="18"/>
      <c r="J267" s="18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5">
      <c r="A268" s="19"/>
      <c r="B268" s="19"/>
      <c r="C268" s="19"/>
      <c r="D268" s="18"/>
      <c r="E268" s="20"/>
      <c r="F268" s="23"/>
      <c r="G268" s="23"/>
      <c r="H268" s="18"/>
      <c r="I268" s="18"/>
      <c r="J268" s="18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5">
      <c r="A269" s="19"/>
      <c r="B269" s="19"/>
      <c r="C269" s="19"/>
      <c r="D269" s="18"/>
      <c r="E269" s="20"/>
      <c r="F269" s="23"/>
      <c r="G269" s="23"/>
      <c r="H269" s="18"/>
      <c r="I269" s="18"/>
      <c r="J269" s="18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5">
      <c r="A270" s="19"/>
      <c r="B270" s="19"/>
      <c r="C270" s="19"/>
      <c r="D270" s="18"/>
      <c r="E270" s="20"/>
      <c r="F270" s="23"/>
      <c r="G270" s="23"/>
      <c r="H270" s="18"/>
      <c r="I270" s="18"/>
      <c r="J270" s="18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5">
      <c r="A271" s="19"/>
      <c r="B271" s="19"/>
      <c r="C271" s="19"/>
      <c r="D271" s="18"/>
      <c r="E271" s="20"/>
      <c r="F271" s="23"/>
      <c r="G271" s="23"/>
      <c r="H271" s="18"/>
      <c r="I271" s="18"/>
      <c r="J271" s="18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5">
      <c r="A272" s="19"/>
      <c r="B272" s="19"/>
      <c r="C272" s="19"/>
      <c r="D272" s="18"/>
      <c r="E272" s="20"/>
      <c r="F272" s="23"/>
      <c r="G272" s="23"/>
      <c r="H272" s="18"/>
      <c r="I272" s="18"/>
      <c r="J272" s="18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5">
      <c r="A273" s="19"/>
      <c r="B273" s="19"/>
      <c r="C273" s="19"/>
      <c r="D273" s="18"/>
      <c r="E273" s="20"/>
      <c r="F273" s="23"/>
      <c r="G273" s="23"/>
      <c r="H273" s="18"/>
      <c r="I273" s="18"/>
      <c r="J273" s="18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5">
      <c r="A274" s="19"/>
      <c r="B274" s="19"/>
      <c r="C274" s="19"/>
      <c r="D274" s="18"/>
      <c r="E274" s="20"/>
      <c r="F274" s="23"/>
      <c r="G274" s="23"/>
      <c r="H274" s="18"/>
      <c r="I274" s="18"/>
      <c r="J274" s="18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5">
      <c r="A275" s="19"/>
      <c r="B275" s="19"/>
      <c r="C275" s="19"/>
      <c r="D275" s="18"/>
      <c r="E275" s="20"/>
      <c r="F275" s="23"/>
      <c r="G275" s="23"/>
      <c r="H275" s="18"/>
      <c r="I275" s="18"/>
      <c r="J275" s="18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5">
      <c r="A276" s="19"/>
      <c r="B276" s="19"/>
      <c r="C276" s="19"/>
      <c r="D276" s="18"/>
      <c r="E276" s="20"/>
      <c r="F276" s="23"/>
      <c r="G276" s="23"/>
      <c r="H276" s="18"/>
      <c r="I276" s="18"/>
      <c r="J276" s="18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5">
      <c r="A277" s="19"/>
      <c r="B277" s="19"/>
      <c r="C277" s="19"/>
      <c r="D277" s="18"/>
      <c r="E277" s="20"/>
      <c r="F277" s="23"/>
      <c r="G277" s="23"/>
      <c r="H277" s="18"/>
      <c r="I277" s="18"/>
      <c r="J277" s="18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3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4.25" customHeight="1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35">
      <c r="E583" s="1"/>
      <c r="F583" s="2"/>
      <c r="G583" s="2"/>
      <c r="H583" s="32"/>
    </row>
    <row r="584" spans="1:26" ht="14.25" customHeight="1" x14ac:dyDescent="0.35">
      <c r="E584" s="1"/>
      <c r="F584" s="2"/>
      <c r="G584" s="2"/>
      <c r="H584" s="32"/>
    </row>
    <row r="585" spans="1:26" ht="14.25" customHeight="1" x14ac:dyDescent="0.35">
      <c r="E585" s="1"/>
      <c r="F585" s="2"/>
      <c r="G585" s="2"/>
      <c r="H585" s="32"/>
    </row>
    <row r="586" spans="1:26" ht="14.25" customHeight="1" x14ac:dyDescent="0.35">
      <c r="E586" s="1"/>
      <c r="F586" s="2"/>
      <c r="G586" s="2"/>
      <c r="H586" s="32"/>
    </row>
    <row r="587" spans="1:26" ht="14.25" customHeight="1" x14ac:dyDescent="0.35">
      <c r="E587" s="1"/>
      <c r="F587" s="2"/>
      <c r="G587" s="2"/>
      <c r="H587" s="32"/>
    </row>
    <row r="588" spans="1:26" ht="14.25" customHeight="1" x14ac:dyDescent="0.35">
      <c r="E588" s="1"/>
      <c r="F588" s="2"/>
      <c r="G588" s="2"/>
      <c r="H588" s="32"/>
    </row>
    <row r="589" spans="1:26" ht="14.25" customHeight="1" x14ac:dyDescent="0.35">
      <c r="E589" s="1"/>
      <c r="F589" s="2"/>
      <c r="G589" s="2"/>
      <c r="H589" s="32"/>
    </row>
    <row r="590" spans="1:26" ht="14.25" customHeight="1" x14ac:dyDescent="0.35">
      <c r="E590" s="1"/>
      <c r="F590" s="2"/>
      <c r="G590" s="2"/>
      <c r="H590" s="32"/>
    </row>
    <row r="591" spans="1:26" ht="14.25" customHeight="1" x14ac:dyDescent="0.35">
      <c r="E591" s="1"/>
      <c r="F591" s="2"/>
      <c r="G591" s="2"/>
      <c r="H591" s="32"/>
    </row>
    <row r="592" spans="1:26" ht="14.25" customHeight="1" x14ac:dyDescent="0.35">
      <c r="E592" s="1"/>
      <c r="F592" s="2"/>
      <c r="G592" s="2"/>
      <c r="H592" s="32"/>
    </row>
    <row r="593" spans="5:8" ht="14.25" customHeight="1" x14ac:dyDescent="0.35">
      <c r="E593" s="1"/>
      <c r="F593" s="2"/>
      <c r="G593" s="2"/>
      <c r="H593" s="32"/>
    </row>
    <row r="594" spans="5:8" ht="14.25" customHeight="1" x14ac:dyDescent="0.35">
      <c r="E594" s="1"/>
      <c r="F594" s="2"/>
      <c r="G594" s="2"/>
      <c r="H594" s="32"/>
    </row>
    <row r="595" spans="5:8" ht="14.25" customHeight="1" x14ac:dyDescent="0.35">
      <c r="E595" s="1"/>
      <c r="F595" s="2"/>
      <c r="G595" s="2"/>
      <c r="H595" s="32"/>
    </row>
    <row r="596" spans="5:8" ht="14.25" customHeight="1" x14ac:dyDescent="0.35">
      <c r="E596" s="1"/>
      <c r="F596" s="2"/>
      <c r="G596" s="2"/>
      <c r="H596" s="32"/>
    </row>
    <row r="597" spans="5:8" ht="14.25" customHeight="1" x14ac:dyDescent="0.35">
      <c r="E597" s="1"/>
      <c r="F597" s="2"/>
      <c r="G597" s="2"/>
      <c r="H597" s="32"/>
    </row>
    <row r="598" spans="5:8" ht="14.25" customHeight="1" x14ac:dyDescent="0.35">
      <c r="E598" s="1"/>
      <c r="F598" s="2"/>
      <c r="G598" s="2"/>
      <c r="H598" s="32"/>
    </row>
    <row r="599" spans="5:8" ht="14.25" customHeight="1" x14ac:dyDescent="0.35">
      <c r="E599" s="1"/>
      <c r="F599" s="2"/>
      <c r="G599" s="2"/>
      <c r="H599" s="32"/>
    </row>
    <row r="600" spans="5:8" ht="14.25" customHeight="1" x14ac:dyDescent="0.35">
      <c r="E600" s="1"/>
      <c r="F600" s="2"/>
      <c r="G600" s="2"/>
      <c r="H600" s="32"/>
    </row>
    <row r="601" spans="5:8" ht="14.25" customHeight="1" x14ac:dyDescent="0.35">
      <c r="E601" s="1"/>
      <c r="F601" s="2"/>
      <c r="G601" s="2"/>
      <c r="H601" s="32"/>
    </row>
    <row r="602" spans="5:8" ht="14.25" customHeight="1" x14ac:dyDescent="0.35">
      <c r="E602" s="1"/>
      <c r="F602" s="2"/>
      <c r="G602" s="2"/>
      <c r="H602" s="32"/>
    </row>
    <row r="603" spans="5:8" ht="14.25" customHeight="1" x14ac:dyDescent="0.35">
      <c r="E603" s="1"/>
      <c r="F603" s="2"/>
      <c r="G603" s="2"/>
      <c r="H603" s="32"/>
    </row>
    <row r="604" spans="5:8" ht="14.25" customHeight="1" x14ac:dyDescent="0.35">
      <c r="E604" s="1"/>
      <c r="F604" s="2"/>
      <c r="G604" s="2"/>
      <c r="H604" s="32"/>
    </row>
    <row r="605" spans="5:8" ht="14.25" customHeight="1" x14ac:dyDescent="0.35">
      <c r="E605" s="1"/>
      <c r="F605" s="2"/>
      <c r="G605" s="2"/>
      <c r="H605" s="32"/>
    </row>
    <row r="606" spans="5:8" ht="14.25" customHeight="1" x14ac:dyDescent="0.35">
      <c r="E606" s="1"/>
      <c r="F606" s="2"/>
      <c r="G606" s="2"/>
      <c r="H606" s="32"/>
    </row>
    <row r="607" spans="5:8" ht="14.25" customHeight="1" x14ac:dyDescent="0.35">
      <c r="E607" s="1"/>
      <c r="F607" s="2"/>
      <c r="G607" s="2"/>
      <c r="H607" s="32"/>
    </row>
    <row r="608" spans="5:8" ht="14.25" customHeight="1" x14ac:dyDescent="0.35">
      <c r="E608" s="1"/>
      <c r="F608" s="2"/>
      <c r="G608" s="2"/>
      <c r="H608" s="32"/>
    </row>
    <row r="609" spans="5:8" ht="14.25" customHeight="1" x14ac:dyDescent="0.35">
      <c r="E609" s="1"/>
      <c r="F609" s="2"/>
      <c r="G609" s="2"/>
      <c r="H609" s="32"/>
    </row>
    <row r="610" spans="5:8" ht="14.25" customHeight="1" x14ac:dyDescent="0.35">
      <c r="E610" s="1"/>
      <c r="F610" s="2"/>
      <c r="G610" s="2"/>
      <c r="H610" s="32"/>
    </row>
    <row r="611" spans="5:8" ht="14.25" customHeight="1" x14ac:dyDescent="0.35">
      <c r="E611" s="1"/>
      <c r="F611" s="2"/>
      <c r="G611" s="2"/>
      <c r="H611" s="32"/>
    </row>
    <row r="612" spans="5:8" ht="14.25" customHeight="1" x14ac:dyDescent="0.35">
      <c r="E612" s="1"/>
      <c r="F612" s="2"/>
      <c r="G612" s="2"/>
      <c r="H612" s="32"/>
    </row>
    <row r="613" spans="5:8" ht="14.25" customHeight="1" x14ac:dyDescent="0.35">
      <c r="E613" s="1"/>
      <c r="F613" s="2"/>
      <c r="G613" s="2"/>
      <c r="H613" s="32"/>
    </row>
    <row r="614" spans="5:8" ht="14.25" customHeight="1" x14ac:dyDescent="0.35">
      <c r="E614" s="1"/>
      <c r="F614" s="2"/>
      <c r="G614" s="2"/>
      <c r="H614" s="32"/>
    </row>
    <row r="615" spans="5:8" ht="14.25" customHeight="1" x14ac:dyDescent="0.35">
      <c r="E615" s="1"/>
      <c r="F615" s="2"/>
      <c r="G615" s="2"/>
      <c r="H615" s="32"/>
    </row>
    <row r="616" spans="5:8" ht="14.25" customHeight="1" x14ac:dyDescent="0.35">
      <c r="E616" s="1"/>
      <c r="F616" s="2"/>
      <c r="G616" s="2"/>
      <c r="H616" s="32"/>
    </row>
    <row r="617" spans="5:8" ht="14.25" customHeight="1" x14ac:dyDescent="0.35">
      <c r="E617" s="1"/>
      <c r="F617" s="2"/>
      <c r="G617" s="2"/>
      <c r="H617" s="32"/>
    </row>
    <row r="618" spans="5:8" ht="14.25" customHeight="1" x14ac:dyDescent="0.35">
      <c r="E618" s="1"/>
      <c r="F618" s="2"/>
      <c r="G618" s="2"/>
      <c r="H618" s="32"/>
    </row>
    <row r="619" spans="5:8" ht="14.25" customHeight="1" x14ac:dyDescent="0.35">
      <c r="E619" s="1"/>
      <c r="F619" s="2"/>
      <c r="G619" s="2"/>
      <c r="H619" s="32"/>
    </row>
    <row r="620" spans="5:8" ht="14.25" customHeight="1" x14ac:dyDescent="0.35">
      <c r="E620" s="1"/>
      <c r="F620" s="2"/>
      <c r="G620" s="2"/>
      <c r="H620" s="32"/>
    </row>
    <row r="621" spans="5:8" ht="14.25" customHeight="1" x14ac:dyDescent="0.35">
      <c r="E621" s="1"/>
      <c r="F621" s="2"/>
      <c r="G621" s="2"/>
      <c r="H621" s="32"/>
    </row>
    <row r="622" spans="5:8" ht="14.25" customHeight="1" x14ac:dyDescent="0.35">
      <c r="E622" s="1"/>
      <c r="F622" s="2"/>
      <c r="G622" s="2"/>
      <c r="H622" s="32"/>
    </row>
    <row r="623" spans="5:8" ht="14.25" customHeight="1" x14ac:dyDescent="0.35">
      <c r="E623" s="1"/>
      <c r="F623" s="2"/>
      <c r="G623" s="2"/>
      <c r="H623" s="32"/>
    </row>
    <row r="624" spans="5:8" ht="14.25" customHeight="1" x14ac:dyDescent="0.35">
      <c r="E624" s="1"/>
      <c r="F624" s="2"/>
      <c r="G624" s="2"/>
      <c r="H624" s="32"/>
    </row>
    <row r="625" spans="5:8" ht="14.25" customHeight="1" x14ac:dyDescent="0.35">
      <c r="E625" s="1"/>
      <c r="F625" s="2"/>
      <c r="G625" s="2"/>
      <c r="H625" s="32"/>
    </row>
    <row r="626" spans="5:8" ht="14.25" customHeight="1" x14ac:dyDescent="0.35">
      <c r="E626" s="1"/>
      <c r="F626" s="2"/>
      <c r="G626" s="2"/>
      <c r="H626" s="32"/>
    </row>
    <row r="627" spans="5:8" ht="14.25" customHeight="1" x14ac:dyDescent="0.35">
      <c r="E627" s="1"/>
      <c r="F627" s="2"/>
      <c r="G627" s="2"/>
      <c r="H627" s="32"/>
    </row>
    <row r="628" spans="5:8" ht="14.25" customHeight="1" x14ac:dyDescent="0.35">
      <c r="E628" s="1"/>
      <c r="F628" s="2"/>
      <c r="G628" s="2"/>
      <c r="H628" s="32"/>
    </row>
    <row r="629" spans="5:8" ht="14.25" customHeight="1" x14ac:dyDescent="0.35">
      <c r="E629" s="1"/>
      <c r="F629" s="2"/>
      <c r="G629" s="2"/>
      <c r="H629" s="32"/>
    </row>
    <row r="630" spans="5:8" ht="14.25" customHeight="1" x14ac:dyDescent="0.35">
      <c r="E630" s="1"/>
      <c r="F630" s="2"/>
      <c r="G630" s="2"/>
      <c r="H630" s="32"/>
    </row>
    <row r="631" spans="5:8" ht="14.25" customHeight="1" x14ac:dyDescent="0.35">
      <c r="E631" s="1"/>
      <c r="F631" s="2"/>
      <c r="G631" s="2"/>
      <c r="H631" s="32"/>
    </row>
    <row r="632" spans="5:8" ht="14.25" customHeight="1" x14ac:dyDescent="0.35">
      <c r="E632" s="1"/>
      <c r="F632" s="2"/>
      <c r="G632" s="2"/>
      <c r="H632" s="32"/>
    </row>
    <row r="633" spans="5:8" ht="14.25" customHeight="1" x14ac:dyDescent="0.35">
      <c r="E633" s="1"/>
      <c r="F633" s="2"/>
      <c r="G633" s="2"/>
      <c r="H633" s="32"/>
    </row>
    <row r="634" spans="5:8" ht="14.25" customHeight="1" x14ac:dyDescent="0.35">
      <c r="E634" s="1"/>
      <c r="F634" s="2"/>
      <c r="G634" s="2"/>
      <c r="H634" s="32"/>
    </row>
    <row r="635" spans="5:8" ht="14.25" customHeight="1" x14ac:dyDescent="0.35">
      <c r="E635" s="1"/>
      <c r="F635" s="2"/>
      <c r="G635" s="2"/>
      <c r="H635" s="32"/>
    </row>
    <row r="636" spans="5:8" ht="14.25" customHeight="1" x14ac:dyDescent="0.35">
      <c r="E636" s="1"/>
      <c r="F636" s="2"/>
      <c r="G636" s="2"/>
      <c r="H636" s="32"/>
    </row>
    <row r="637" spans="5:8" ht="14.25" customHeight="1" x14ac:dyDescent="0.35">
      <c r="E637" s="1"/>
      <c r="F637" s="2"/>
      <c r="G637" s="2"/>
      <c r="H637" s="32"/>
    </row>
    <row r="638" spans="5:8" ht="14.25" customHeight="1" x14ac:dyDescent="0.35">
      <c r="E638" s="1"/>
      <c r="F638" s="2"/>
      <c r="G638" s="2"/>
      <c r="H638" s="32"/>
    </row>
    <row r="639" spans="5:8" ht="14.25" customHeight="1" x14ac:dyDescent="0.35">
      <c r="E639" s="1"/>
      <c r="F639" s="2"/>
      <c r="G639" s="2"/>
      <c r="H639" s="32"/>
    </row>
    <row r="640" spans="5:8" ht="14.25" customHeight="1" x14ac:dyDescent="0.35">
      <c r="E640" s="1"/>
      <c r="F640" s="2"/>
      <c r="G640" s="2"/>
      <c r="H640" s="32"/>
    </row>
    <row r="641" spans="5:8" ht="14.25" customHeight="1" x14ac:dyDescent="0.35">
      <c r="E641" s="1"/>
      <c r="F641" s="2"/>
      <c r="G641" s="2"/>
      <c r="H641" s="32"/>
    </row>
    <row r="642" spans="5:8" ht="14.25" customHeight="1" x14ac:dyDescent="0.35">
      <c r="E642" s="1"/>
      <c r="F642" s="2"/>
      <c r="G642" s="2"/>
      <c r="H642" s="32"/>
    </row>
    <row r="643" spans="5:8" ht="14.25" customHeight="1" x14ac:dyDescent="0.35">
      <c r="E643" s="1"/>
      <c r="F643" s="2"/>
      <c r="G643" s="2"/>
      <c r="H643" s="32"/>
    </row>
    <row r="644" spans="5:8" ht="14.25" customHeight="1" x14ac:dyDescent="0.35">
      <c r="E644" s="1"/>
      <c r="F644" s="2"/>
      <c r="G644" s="2"/>
      <c r="H644" s="32"/>
    </row>
    <row r="645" spans="5:8" ht="14.25" customHeight="1" x14ac:dyDescent="0.35">
      <c r="E645" s="1"/>
      <c r="F645" s="2"/>
      <c r="G645" s="2"/>
      <c r="H645" s="32"/>
    </row>
    <row r="646" spans="5:8" ht="14.25" customHeight="1" x14ac:dyDescent="0.35">
      <c r="E646" s="1"/>
      <c r="F646" s="2"/>
      <c r="G646" s="2"/>
      <c r="H646" s="32"/>
    </row>
    <row r="647" spans="5:8" ht="14.25" customHeight="1" x14ac:dyDescent="0.35">
      <c r="E647" s="1"/>
      <c r="F647" s="2"/>
      <c r="G647" s="2"/>
      <c r="H647" s="32"/>
    </row>
    <row r="648" spans="5:8" ht="14.25" customHeight="1" x14ac:dyDescent="0.35">
      <c r="E648" s="1"/>
      <c r="F648" s="2"/>
      <c r="G648" s="2"/>
      <c r="H648" s="32"/>
    </row>
    <row r="649" spans="5:8" ht="14.25" customHeight="1" x14ac:dyDescent="0.35">
      <c r="E649" s="1"/>
      <c r="F649" s="2"/>
      <c r="G649" s="2"/>
      <c r="H649" s="32"/>
    </row>
    <row r="650" spans="5:8" ht="14.25" customHeight="1" x14ac:dyDescent="0.35">
      <c r="E650" s="1"/>
      <c r="F650" s="2"/>
      <c r="G650" s="2"/>
      <c r="H650" s="32"/>
    </row>
    <row r="651" spans="5:8" ht="14.25" customHeight="1" x14ac:dyDescent="0.35">
      <c r="E651" s="1"/>
      <c r="F651" s="2"/>
      <c r="G651" s="2"/>
      <c r="H651" s="32"/>
    </row>
    <row r="652" spans="5:8" ht="14.25" customHeight="1" x14ac:dyDescent="0.35">
      <c r="E652" s="1"/>
      <c r="F652" s="2"/>
      <c r="G652" s="2"/>
      <c r="H652" s="32"/>
    </row>
    <row r="653" spans="5:8" ht="14.25" customHeight="1" x14ac:dyDescent="0.35">
      <c r="E653" s="1"/>
      <c r="F653" s="2"/>
      <c r="G653" s="2"/>
      <c r="H653" s="32"/>
    </row>
    <row r="654" spans="5:8" ht="14.25" customHeight="1" x14ac:dyDescent="0.35">
      <c r="E654" s="1"/>
      <c r="F654" s="2"/>
      <c r="G654" s="2"/>
      <c r="H654" s="32"/>
    </row>
    <row r="655" spans="5:8" ht="14.25" customHeight="1" x14ac:dyDescent="0.35">
      <c r="E655" s="1"/>
      <c r="F655" s="2"/>
      <c r="G655" s="2"/>
      <c r="H655" s="32"/>
    </row>
    <row r="656" spans="5:8" ht="14.25" customHeight="1" x14ac:dyDescent="0.35">
      <c r="E656" s="1"/>
      <c r="F656" s="2"/>
      <c r="G656" s="2"/>
      <c r="H656" s="32"/>
    </row>
    <row r="657" spans="5:8" ht="14.25" customHeight="1" x14ac:dyDescent="0.35">
      <c r="E657" s="1"/>
      <c r="F657" s="2"/>
      <c r="G657" s="2"/>
      <c r="H657" s="32"/>
    </row>
    <row r="658" spans="5:8" ht="14.25" customHeight="1" x14ac:dyDescent="0.35">
      <c r="E658" s="1"/>
      <c r="F658" s="2"/>
      <c r="G658" s="2"/>
      <c r="H658" s="32"/>
    </row>
    <row r="659" spans="5:8" ht="14.25" customHeight="1" x14ac:dyDescent="0.35">
      <c r="E659" s="1"/>
      <c r="F659" s="2"/>
      <c r="G659" s="2"/>
      <c r="H659" s="32"/>
    </row>
    <row r="660" spans="5:8" ht="14.25" customHeight="1" x14ac:dyDescent="0.35">
      <c r="E660" s="1"/>
      <c r="F660" s="2"/>
      <c r="G660" s="2"/>
      <c r="H660" s="32"/>
    </row>
    <row r="661" spans="5:8" ht="14.25" customHeight="1" x14ac:dyDescent="0.35">
      <c r="E661" s="1"/>
      <c r="F661" s="2"/>
      <c r="G661" s="2"/>
      <c r="H661" s="32"/>
    </row>
    <row r="662" spans="5:8" ht="14.25" customHeight="1" x14ac:dyDescent="0.35">
      <c r="E662" s="1"/>
      <c r="F662" s="2"/>
      <c r="G662" s="2"/>
      <c r="H662" s="32"/>
    </row>
    <row r="663" spans="5:8" ht="14.25" customHeight="1" x14ac:dyDescent="0.35">
      <c r="E663" s="1"/>
      <c r="F663" s="2"/>
      <c r="G663" s="2"/>
      <c r="H663" s="32"/>
    </row>
    <row r="664" spans="5:8" ht="14.25" customHeight="1" x14ac:dyDescent="0.35">
      <c r="E664" s="1"/>
      <c r="F664" s="2"/>
      <c r="G664" s="2"/>
      <c r="H664" s="32"/>
    </row>
    <row r="665" spans="5:8" ht="14.25" customHeight="1" x14ac:dyDescent="0.35">
      <c r="E665" s="1"/>
      <c r="F665" s="2"/>
      <c r="G665" s="2"/>
      <c r="H665" s="32"/>
    </row>
    <row r="666" spans="5:8" ht="14.25" customHeight="1" x14ac:dyDescent="0.35">
      <c r="E666" s="1"/>
      <c r="F666" s="2"/>
      <c r="G666" s="2"/>
      <c r="H666" s="32"/>
    </row>
    <row r="667" spans="5:8" ht="14.25" customHeight="1" x14ac:dyDescent="0.35">
      <c r="E667" s="1"/>
      <c r="F667" s="2"/>
      <c r="G667" s="2"/>
      <c r="H667" s="32"/>
    </row>
    <row r="668" spans="5:8" ht="14.25" customHeight="1" x14ac:dyDescent="0.35">
      <c r="E668" s="1"/>
      <c r="F668" s="2"/>
      <c r="G668" s="2"/>
      <c r="H668" s="32"/>
    </row>
    <row r="669" spans="5:8" ht="14.25" customHeight="1" x14ac:dyDescent="0.35">
      <c r="E669" s="1"/>
      <c r="F669" s="2"/>
      <c r="G669" s="2"/>
      <c r="H669" s="32"/>
    </row>
    <row r="670" spans="5:8" ht="14.25" customHeight="1" x14ac:dyDescent="0.35">
      <c r="E670" s="1"/>
      <c r="F670" s="2"/>
      <c r="G670" s="2"/>
      <c r="H670" s="32"/>
    </row>
    <row r="671" spans="5:8" ht="14.25" customHeight="1" x14ac:dyDescent="0.35">
      <c r="E671" s="1"/>
      <c r="F671" s="2"/>
      <c r="G671" s="2"/>
      <c r="H671" s="32"/>
    </row>
    <row r="672" spans="5:8" ht="14.25" customHeight="1" x14ac:dyDescent="0.35">
      <c r="E672" s="1"/>
      <c r="F672" s="2"/>
      <c r="G672" s="2"/>
      <c r="H672" s="32"/>
    </row>
    <row r="673" spans="5:8" ht="14.25" customHeight="1" x14ac:dyDescent="0.35">
      <c r="E673" s="1"/>
      <c r="F673" s="2"/>
      <c r="G673" s="2"/>
      <c r="H673" s="32"/>
    </row>
    <row r="674" spans="5:8" ht="14.25" customHeight="1" x14ac:dyDescent="0.35">
      <c r="E674" s="1"/>
      <c r="F674" s="2"/>
      <c r="G674" s="2"/>
      <c r="H674" s="32"/>
    </row>
    <row r="675" spans="5:8" ht="14.25" customHeight="1" x14ac:dyDescent="0.35">
      <c r="E675" s="1"/>
      <c r="F675" s="2"/>
      <c r="G675" s="2"/>
      <c r="H675" s="32"/>
    </row>
    <row r="676" spans="5:8" ht="14.25" customHeight="1" x14ac:dyDescent="0.35">
      <c r="E676" s="1"/>
      <c r="F676" s="2"/>
      <c r="G676" s="2"/>
      <c r="H676" s="32"/>
    </row>
    <row r="677" spans="5:8" ht="14.25" customHeight="1" x14ac:dyDescent="0.35">
      <c r="E677" s="1"/>
      <c r="F677" s="2"/>
      <c r="G677" s="2"/>
      <c r="H677" s="32"/>
    </row>
    <row r="678" spans="5:8" ht="14.25" customHeight="1" x14ac:dyDescent="0.35">
      <c r="E678" s="1"/>
      <c r="F678" s="2"/>
      <c r="G678" s="2"/>
      <c r="H678" s="32"/>
    </row>
    <row r="679" spans="5:8" ht="14.25" customHeight="1" x14ac:dyDescent="0.35">
      <c r="E679" s="1"/>
      <c r="F679" s="2"/>
      <c r="G679" s="2"/>
      <c r="H679" s="32"/>
    </row>
    <row r="680" spans="5:8" ht="14.25" customHeight="1" x14ac:dyDescent="0.35">
      <c r="E680" s="1"/>
      <c r="F680" s="2"/>
      <c r="G680" s="2"/>
      <c r="H680" s="32"/>
    </row>
    <row r="681" spans="5:8" ht="14.25" customHeight="1" x14ac:dyDescent="0.35">
      <c r="E681" s="1"/>
      <c r="F681" s="2"/>
      <c r="G681" s="2"/>
      <c r="H681" s="32"/>
    </row>
    <row r="682" spans="5:8" ht="14.25" customHeight="1" x14ac:dyDescent="0.35">
      <c r="E682" s="1"/>
      <c r="F682" s="2"/>
      <c r="G682" s="2"/>
      <c r="H682" s="32"/>
    </row>
    <row r="683" spans="5:8" ht="14.25" customHeight="1" x14ac:dyDescent="0.35">
      <c r="E683" s="1"/>
      <c r="F683" s="2"/>
      <c r="G683" s="2"/>
      <c r="H683" s="32"/>
    </row>
    <row r="684" spans="5:8" ht="14.25" customHeight="1" x14ac:dyDescent="0.35">
      <c r="E684" s="1"/>
      <c r="F684" s="2"/>
      <c r="G684" s="2"/>
      <c r="H684" s="32"/>
    </row>
    <row r="685" spans="5:8" ht="14.25" customHeight="1" x14ac:dyDescent="0.35">
      <c r="E685" s="1"/>
      <c r="F685" s="2"/>
      <c r="G685" s="2"/>
      <c r="H685" s="32"/>
    </row>
    <row r="686" spans="5:8" ht="14.25" customHeight="1" x14ac:dyDescent="0.35">
      <c r="E686" s="1"/>
      <c r="F686" s="2"/>
      <c r="G686" s="2"/>
      <c r="H686" s="32"/>
    </row>
    <row r="687" spans="5:8" ht="14.25" customHeight="1" x14ac:dyDescent="0.35">
      <c r="E687" s="1"/>
      <c r="F687" s="2"/>
      <c r="G687" s="2"/>
      <c r="H687" s="32"/>
    </row>
    <row r="688" spans="5:8" ht="14.25" customHeight="1" x14ac:dyDescent="0.35">
      <c r="E688" s="1"/>
      <c r="F688" s="2"/>
      <c r="G688" s="2"/>
      <c r="H688" s="32"/>
    </row>
    <row r="689" spans="5:8" ht="14.25" customHeight="1" x14ac:dyDescent="0.35">
      <c r="E689" s="1"/>
      <c r="F689" s="2"/>
      <c r="G689" s="2"/>
      <c r="H689" s="32"/>
    </row>
    <row r="690" spans="5:8" ht="14.25" customHeight="1" x14ac:dyDescent="0.35">
      <c r="E690" s="1"/>
      <c r="F690" s="2"/>
      <c r="G690" s="2"/>
      <c r="H690" s="32"/>
    </row>
    <row r="691" spans="5:8" ht="14.25" customHeight="1" x14ac:dyDescent="0.35">
      <c r="E691" s="1"/>
      <c r="F691" s="2"/>
      <c r="G691" s="2"/>
      <c r="H691" s="32"/>
    </row>
    <row r="692" spans="5:8" ht="14.25" customHeight="1" x14ac:dyDescent="0.35">
      <c r="E692" s="1"/>
      <c r="F692" s="2"/>
      <c r="G692" s="2"/>
      <c r="H692" s="32"/>
    </row>
    <row r="693" spans="5:8" ht="14.25" customHeight="1" x14ac:dyDescent="0.35">
      <c r="E693" s="1"/>
      <c r="F693" s="2"/>
      <c r="G693" s="2"/>
      <c r="H693" s="32"/>
    </row>
    <row r="694" spans="5:8" ht="14.25" customHeight="1" x14ac:dyDescent="0.35">
      <c r="E694" s="1"/>
      <c r="F694" s="2"/>
      <c r="G694" s="2"/>
      <c r="H694" s="32"/>
    </row>
    <row r="695" spans="5:8" ht="14.25" customHeight="1" x14ac:dyDescent="0.35">
      <c r="E695" s="1"/>
      <c r="F695" s="2"/>
      <c r="G695" s="2"/>
      <c r="H695" s="32"/>
    </row>
    <row r="696" spans="5:8" ht="14.25" customHeight="1" x14ac:dyDescent="0.35">
      <c r="E696" s="1"/>
      <c r="F696" s="2"/>
      <c r="G696" s="2"/>
      <c r="H696" s="32"/>
    </row>
    <row r="697" spans="5:8" ht="14.25" customHeight="1" x14ac:dyDescent="0.35">
      <c r="E697" s="1"/>
      <c r="F697" s="2"/>
      <c r="G697" s="2"/>
      <c r="H697" s="32"/>
    </row>
    <row r="698" spans="5:8" ht="14.25" customHeight="1" x14ac:dyDescent="0.35">
      <c r="E698" s="1"/>
      <c r="F698" s="2"/>
      <c r="G698" s="2"/>
      <c r="H698" s="32"/>
    </row>
    <row r="699" spans="5:8" ht="14.25" customHeight="1" x14ac:dyDescent="0.35">
      <c r="E699" s="1"/>
      <c r="F699" s="2"/>
      <c r="G699" s="2"/>
      <c r="H699" s="32"/>
    </row>
    <row r="700" spans="5:8" ht="14.25" customHeight="1" x14ac:dyDescent="0.35">
      <c r="E700" s="1"/>
      <c r="F700" s="2"/>
      <c r="G700" s="2"/>
      <c r="H700" s="32"/>
    </row>
    <row r="701" spans="5:8" ht="14.25" customHeight="1" x14ac:dyDescent="0.35">
      <c r="E701" s="1"/>
      <c r="F701" s="2"/>
      <c r="G701" s="2"/>
      <c r="H701" s="32"/>
    </row>
    <row r="702" spans="5:8" ht="14.25" customHeight="1" x14ac:dyDescent="0.35">
      <c r="E702" s="1"/>
      <c r="F702" s="2"/>
      <c r="G702" s="2"/>
      <c r="H702" s="32"/>
    </row>
    <row r="703" spans="5:8" ht="14.25" customHeight="1" x14ac:dyDescent="0.35">
      <c r="E703" s="1"/>
      <c r="F703" s="2"/>
      <c r="G703" s="2"/>
      <c r="H703" s="32"/>
    </row>
    <row r="704" spans="5:8" ht="14.25" customHeight="1" x14ac:dyDescent="0.35">
      <c r="E704" s="1"/>
      <c r="F704" s="2"/>
      <c r="G704" s="2"/>
      <c r="H704" s="32"/>
    </row>
    <row r="705" spans="5:8" ht="14.25" customHeight="1" x14ac:dyDescent="0.35">
      <c r="E705" s="1"/>
      <c r="F705" s="2"/>
      <c r="G705" s="2"/>
      <c r="H705" s="32"/>
    </row>
    <row r="706" spans="5:8" ht="14.25" customHeight="1" x14ac:dyDescent="0.35">
      <c r="E706" s="1"/>
      <c r="F706" s="2"/>
      <c r="G706" s="2"/>
      <c r="H706" s="32"/>
    </row>
    <row r="707" spans="5:8" ht="14.25" customHeight="1" x14ac:dyDescent="0.35">
      <c r="E707" s="1"/>
      <c r="F707" s="2"/>
      <c r="G707" s="2"/>
      <c r="H707" s="32"/>
    </row>
    <row r="708" spans="5:8" ht="14.25" customHeight="1" x14ac:dyDescent="0.35">
      <c r="E708" s="1"/>
      <c r="F708" s="2"/>
      <c r="G708" s="2"/>
      <c r="H708" s="32"/>
    </row>
    <row r="709" spans="5:8" ht="14.25" customHeight="1" x14ac:dyDescent="0.35">
      <c r="E709" s="1"/>
      <c r="F709" s="2"/>
      <c r="G709" s="2"/>
      <c r="H709" s="32"/>
    </row>
    <row r="710" spans="5:8" ht="14.25" customHeight="1" x14ac:dyDescent="0.35">
      <c r="E710" s="1"/>
      <c r="F710" s="2"/>
      <c r="G710" s="2"/>
      <c r="H710" s="32"/>
    </row>
    <row r="711" spans="5:8" ht="14.25" customHeight="1" x14ac:dyDescent="0.35">
      <c r="E711" s="1"/>
      <c r="F711" s="2"/>
      <c r="G711" s="2"/>
      <c r="H711" s="32"/>
    </row>
    <row r="712" spans="5:8" ht="14.25" customHeight="1" x14ac:dyDescent="0.35">
      <c r="E712" s="1"/>
      <c r="F712" s="2"/>
      <c r="G712" s="2"/>
      <c r="H712" s="32"/>
    </row>
    <row r="713" spans="5:8" ht="14.25" customHeight="1" x14ac:dyDescent="0.35">
      <c r="E713" s="1"/>
      <c r="F713" s="2"/>
      <c r="G713" s="2"/>
      <c r="H713" s="32"/>
    </row>
    <row r="714" spans="5:8" ht="14.25" customHeight="1" x14ac:dyDescent="0.35">
      <c r="E714" s="1"/>
      <c r="F714" s="2"/>
      <c r="G714" s="2"/>
      <c r="H714" s="32"/>
    </row>
    <row r="715" spans="5:8" ht="14.25" customHeight="1" x14ac:dyDescent="0.35">
      <c r="E715" s="1"/>
      <c r="F715" s="2"/>
      <c r="G715" s="2"/>
      <c r="H715" s="32"/>
    </row>
    <row r="716" spans="5:8" ht="14.25" customHeight="1" x14ac:dyDescent="0.35">
      <c r="E716" s="1"/>
      <c r="F716" s="2"/>
      <c r="G716" s="2"/>
      <c r="H716" s="32"/>
    </row>
    <row r="717" spans="5:8" ht="14.25" customHeight="1" x14ac:dyDescent="0.35">
      <c r="E717" s="1"/>
      <c r="F717" s="2"/>
      <c r="G717" s="2"/>
      <c r="H717" s="32"/>
    </row>
    <row r="718" spans="5:8" ht="14.25" customHeight="1" x14ac:dyDescent="0.35">
      <c r="E718" s="1"/>
      <c r="F718" s="2"/>
      <c r="G718" s="2"/>
      <c r="H718" s="32"/>
    </row>
    <row r="719" spans="5:8" ht="14.25" customHeight="1" x14ac:dyDescent="0.35">
      <c r="E719" s="1"/>
      <c r="F719" s="2"/>
      <c r="G719" s="2"/>
      <c r="H719" s="32"/>
    </row>
    <row r="720" spans="5:8" ht="14.25" customHeight="1" x14ac:dyDescent="0.35">
      <c r="E720" s="1"/>
      <c r="F720" s="2"/>
      <c r="G720" s="2"/>
      <c r="H720" s="32"/>
    </row>
    <row r="721" spans="5:8" ht="14.25" customHeight="1" x14ac:dyDescent="0.35">
      <c r="E721" s="1"/>
      <c r="F721" s="2"/>
      <c r="G721" s="2"/>
      <c r="H721" s="32"/>
    </row>
    <row r="722" spans="5:8" ht="14.25" customHeight="1" x14ac:dyDescent="0.35">
      <c r="E722" s="1"/>
      <c r="F722" s="2"/>
      <c r="G722" s="2"/>
      <c r="H722" s="32"/>
    </row>
    <row r="723" spans="5:8" ht="14.25" customHeight="1" x14ac:dyDescent="0.35">
      <c r="E723" s="1"/>
      <c r="F723" s="2"/>
      <c r="G723" s="2"/>
      <c r="H723" s="32"/>
    </row>
    <row r="724" spans="5:8" ht="14.25" customHeight="1" x14ac:dyDescent="0.35">
      <c r="E724" s="1"/>
      <c r="F724" s="2"/>
      <c r="G724" s="2"/>
      <c r="H724" s="32"/>
    </row>
    <row r="725" spans="5:8" ht="14.25" customHeight="1" x14ac:dyDescent="0.35">
      <c r="E725" s="1"/>
      <c r="F725" s="2"/>
      <c r="G725" s="2"/>
      <c r="H725" s="32"/>
    </row>
    <row r="726" spans="5:8" ht="14.25" customHeight="1" x14ac:dyDescent="0.35">
      <c r="E726" s="1"/>
      <c r="F726" s="2"/>
      <c r="G726" s="2"/>
      <c r="H726" s="32"/>
    </row>
    <row r="727" spans="5:8" ht="14.25" customHeight="1" x14ac:dyDescent="0.35">
      <c r="E727" s="1"/>
      <c r="F727" s="2"/>
      <c r="G727" s="2"/>
      <c r="H727" s="32"/>
    </row>
    <row r="728" spans="5:8" ht="14.25" customHeight="1" x14ac:dyDescent="0.35">
      <c r="E728" s="1"/>
      <c r="F728" s="2"/>
      <c r="G728" s="2"/>
      <c r="H728" s="32"/>
    </row>
    <row r="729" spans="5:8" ht="14.25" customHeight="1" x14ac:dyDescent="0.35">
      <c r="E729" s="1"/>
      <c r="F729" s="2"/>
      <c r="G729" s="2"/>
      <c r="H729" s="32"/>
    </row>
    <row r="730" spans="5:8" ht="14.25" customHeight="1" x14ac:dyDescent="0.35">
      <c r="E730" s="1"/>
      <c r="F730" s="2"/>
      <c r="G730" s="2"/>
      <c r="H730" s="32"/>
    </row>
    <row r="731" spans="5:8" ht="14.25" customHeight="1" x14ac:dyDescent="0.35">
      <c r="E731" s="1"/>
      <c r="F731" s="2"/>
      <c r="G731" s="2"/>
      <c r="H731" s="32"/>
    </row>
    <row r="732" spans="5:8" ht="14.25" customHeight="1" x14ac:dyDescent="0.35">
      <c r="E732" s="1"/>
      <c r="F732" s="2"/>
      <c r="G732" s="2"/>
      <c r="H732" s="32"/>
    </row>
    <row r="733" spans="5:8" ht="14.25" customHeight="1" x14ac:dyDescent="0.35">
      <c r="E733" s="1"/>
      <c r="F733" s="2"/>
      <c r="G733" s="2"/>
      <c r="H733" s="32"/>
    </row>
    <row r="734" spans="5:8" ht="14.25" customHeight="1" x14ac:dyDescent="0.35">
      <c r="E734" s="1"/>
      <c r="F734" s="2"/>
      <c r="G734" s="2"/>
      <c r="H734" s="32"/>
    </row>
    <row r="735" spans="5:8" ht="14.25" customHeight="1" x14ac:dyDescent="0.35">
      <c r="E735" s="1"/>
      <c r="F735" s="2"/>
      <c r="G735" s="2"/>
      <c r="H735" s="32"/>
    </row>
    <row r="736" spans="5:8" ht="14.25" customHeight="1" x14ac:dyDescent="0.35">
      <c r="E736" s="1"/>
      <c r="F736" s="2"/>
      <c r="G736" s="2"/>
      <c r="H736" s="32"/>
    </row>
    <row r="737" spans="5:8" ht="14.25" customHeight="1" x14ac:dyDescent="0.35">
      <c r="E737" s="1"/>
      <c r="F737" s="2"/>
      <c r="G737" s="2"/>
      <c r="H737" s="32"/>
    </row>
    <row r="738" spans="5:8" ht="14.25" customHeight="1" x14ac:dyDescent="0.35">
      <c r="E738" s="1"/>
      <c r="F738" s="2"/>
      <c r="G738" s="2"/>
      <c r="H738" s="32"/>
    </row>
    <row r="739" spans="5:8" ht="14.25" customHeight="1" x14ac:dyDescent="0.35">
      <c r="E739" s="1"/>
      <c r="F739" s="2"/>
      <c r="G739" s="2"/>
      <c r="H739" s="32"/>
    </row>
    <row r="740" spans="5:8" ht="14.25" customHeight="1" x14ac:dyDescent="0.35">
      <c r="E740" s="1"/>
      <c r="F740" s="2"/>
      <c r="G740" s="2"/>
      <c r="H740" s="32"/>
    </row>
    <row r="741" spans="5:8" ht="14.25" customHeight="1" x14ac:dyDescent="0.35">
      <c r="E741" s="1"/>
      <c r="F741" s="2"/>
      <c r="G741" s="2"/>
      <c r="H741" s="32"/>
    </row>
    <row r="742" spans="5:8" ht="14.25" customHeight="1" x14ac:dyDescent="0.35">
      <c r="E742" s="1"/>
      <c r="F742" s="2"/>
      <c r="G742" s="2"/>
      <c r="H742" s="32"/>
    </row>
    <row r="743" spans="5:8" ht="14.25" customHeight="1" x14ac:dyDescent="0.35">
      <c r="E743" s="1"/>
      <c r="F743" s="2"/>
      <c r="G743" s="2"/>
      <c r="H743" s="32"/>
    </row>
    <row r="744" spans="5:8" ht="14.25" customHeight="1" x14ac:dyDescent="0.35">
      <c r="E744" s="1"/>
      <c r="F744" s="2"/>
      <c r="G744" s="2"/>
      <c r="H744" s="32"/>
    </row>
    <row r="745" spans="5:8" ht="14.25" customHeight="1" x14ac:dyDescent="0.35">
      <c r="E745" s="1"/>
      <c r="F745" s="2"/>
      <c r="G745" s="2"/>
      <c r="H745" s="32"/>
    </row>
    <row r="746" spans="5:8" ht="14.25" customHeight="1" x14ac:dyDescent="0.35">
      <c r="E746" s="1"/>
      <c r="F746" s="2"/>
      <c r="G746" s="2"/>
      <c r="H746" s="32"/>
    </row>
    <row r="747" spans="5:8" ht="14.25" customHeight="1" x14ac:dyDescent="0.35">
      <c r="E747" s="1"/>
      <c r="F747" s="2"/>
      <c r="G747" s="2"/>
      <c r="H747" s="32"/>
    </row>
    <row r="748" spans="5:8" ht="14.25" customHeight="1" x14ac:dyDescent="0.35">
      <c r="E748" s="1"/>
      <c r="F748" s="2"/>
      <c r="G748" s="2"/>
      <c r="H748" s="32"/>
    </row>
    <row r="749" spans="5:8" ht="14.25" customHeight="1" x14ac:dyDescent="0.35">
      <c r="E749" s="1"/>
      <c r="F749" s="2"/>
      <c r="G749" s="2"/>
      <c r="H749" s="32"/>
    </row>
    <row r="750" spans="5:8" ht="14.25" customHeight="1" x14ac:dyDescent="0.35">
      <c r="E750" s="1"/>
      <c r="F750" s="2"/>
      <c r="G750" s="2"/>
      <c r="H750" s="32"/>
    </row>
    <row r="751" spans="5:8" ht="14.25" customHeight="1" x14ac:dyDescent="0.35">
      <c r="E751" s="1"/>
      <c r="F751" s="2"/>
      <c r="G751" s="2"/>
      <c r="H751" s="32"/>
    </row>
    <row r="752" spans="5:8" ht="14.25" customHeight="1" x14ac:dyDescent="0.35">
      <c r="E752" s="1"/>
      <c r="F752" s="2"/>
      <c r="G752" s="2"/>
      <c r="H752" s="32"/>
    </row>
    <row r="753" spans="5:8" ht="14.25" customHeight="1" x14ac:dyDescent="0.35">
      <c r="E753" s="1"/>
      <c r="F753" s="2"/>
      <c r="G753" s="2"/>
      <c r="H753" s="32"/>
    </row>
    <row r="754" spans="5:8" ht="14.25" customHeight="1" x14ac:dyDescent="0.35">
      <c r="E754" s="1"/>
      <c r="F754" s="2"/>
      <c r="G754" s="2"/>
      <c r="H754" s="32"/>
    </row>
    <row r="755" spans="5:8" ht="14.25" customHeight="1" x14ac:dyDescent="0.35">
      <c r="E755" s="1"/>
      <c r="F755" s="2"/>
      <c r="G755" s="2"/>
      <c r="H755" s="32"/>
    </row>
    <row r="756" spans="5:8" ht="14.25" customHeight="1" x14ac:dyDescent="0.35">
      <c r="E756" s="1"/>
      <c r="F756" s="2"/>
      <c r="G756" s="2"/>
      <c r="H756" s="32"/>
    </row>
    <row r="757" spans="5:8" ht="14.25" customHeight="1" x14ac:dyDescent="0.35">
      <c r="E757" s="1"/>
      <c r="F757" s="2"/>
      <c r="G757" s="2"/>
      <c r="H757" s="32"/>
    </row>
    <row r="758" spans="5:8" ht="14.25" customHeight="1" x14ac:dyDescent="0.35">
      <c r="E758" s="1"/>
      <c r="F758" s="2"/>
      <c r="G758" s="2"/>
      <c r="H758" s="32"/>
    </row>
    <row r="759" spans="5:8" ht="14.25" customHeight="1" x14ac:dyDescent="0.35">
      <c r="E759" s="1"/>
      <c r="F759" s="2"/>
      <c r="G759" s="2"/>
      <c r="H759" s="32"/>
    </row>
    <row r="760" spans="5:8" ht="14.25" customHeight="1" x14ac:dyDescent="0.35">
      <c r="E760" s="1"/>
      <c r="F760" s="2"/>
      <c r="G760" s="2"/>
      <c r="H760" s="32"/>
    </row>
    <row r="761" spans="5:8" ht="14.25" customHeight="1" x14ac:dyDescent="0.35">
      <c r="E761" s="1"/>
      <c r="F761" s="2"/>
      <c r="G761" s="2"/>
      <c r="H761" s="32"/>
    </row>
    <row r="762" spans="5:8" ht="14.25" customHeight="1" x14ac:dyDescent="0.35">
      <c r="E762" s="1"/>
      <c r="F762" s="2"/>
      <c r="G762" s="2"/>
      <c r="H762" s="32"/>
    </row>
    <row r="763" spans="5:8" ht="14.25" customHeight="1" x14ac:dyDescent="0.35">
      <c r="E763" s="1"/>
      <c r="F763" s="2"/>
      <c r="G763" s="2"/>
      <c r="H763" s="32"/>
    </row>
    <row r="764" spans="5:8" ht="14.25" customHeight="1" x14ac:dyDescent="0.35">
      <c r="E764" s="1"/>
      <c r="F764" s="2"/>
      <c r="G764" s="2"/>
      <c r="H764" s="32"/>
    </row>
    <row r="765" spans="5:8" ht="14.25" customHeight="1" x14ac:dyDescent="0.35">
      <c r="E765" s="1"/>
      <c r="F765" s="2"/>
      <c r="G765" s="2"/>
      <c r="H765" s="32"/>
    </row>
    <row r="766" spans="5:8" ht="14.25" customHeight="1" x14ac:dyDescent="0.35">
      <c r="E766" s="1"/>
      <c r="F766" s="2"/>
      <c r="G766" s="2"/>
      <c r="H766" s="32"/>
    </row>
    <row r="767" spans="5:8" ht="14.25" customHeight="1" x14ac:dyDescent="0.35">
      <c r="E767" s="1"/>
      <c r="F767" s="2"/>
      <c r="G767" s="2"/>
      <c r="H767" s="32"/>
    </row>
    <row r="768" spans="5:8" ht="14.25" customHeight="1" x14ac:dyDescent="0.35">
      <c r="E768" s="1"/>
      <c r="F768" s="2"/>
      <c r="G768" s="2"/>
      <c r="H768" s="32"/>
    </row>
    <row r="769" spans="5:8" ht="14.25" customHeight="1" x14ac:dyDescent="0.35">
      <c r="E769" s="1"/>
      <c r="F769" s="2"/>
      <c r="G769" s="2"/>
      <c r="H769" s="32"/>
    </row>
    <row r="770" spans="5:8" ht="14.25" customHeight="1" x14ac:dyDescent="0.35">
      <c r="E770" s="1"/>
      <c r="F770" s="2"/>
      <c r="G770" s="2"/>
      <c r="H770" s="32"/>
    </row>
    <row r="771" spans="5:8" ht="14.25" customHeight="1" x14ac:dyDescent="0.35">
      <c r="E771" s="1"/>
      <c r="F771" s="2"/>
      <c r="G771" s="2"/>
      <c r="H771" s="32"/>
    </row>
    <row r="772" spans="5:8" ht="14.25" customHeight="1" x14ac:dyDescent="0.35">
      <c r="E772" s="1"/>
      <c r="F772" s="2"/>
      <c r="G772" s="2"/>
      <c r="H772" s="32"/>
    </row>
    <row r="773" spans="5:8" ht="14.25" customHeight="1" x14ac:dyDescent="0.35">
      <c r="E773" s="1"/>
      <c r="F773" s="2"/>
      <c r="G773" s="2"/>
      <c r="H773" s="32"/>
    </row>
    <row r="774" spans="5:8" ht="14.25" customHeight="1" x14ac:dyDescent="0.35">
      <c r="E774" s="1"/>
      <c r="F774" s="2"/>
      <c r="G774" s="2"/>
      <c r="H774" s="32"/>
    </row>
    <row r="775" spans="5:8" ht="14.25" customHeight="1" x14ac:dyDescent="0.35">
      <c r="E775" s="1"/>
      <c r="F775" s="2"/>
      <c r="G775" s="2"/>
      <c r="H775" s="32"/>
    </row>
    <row r="776" spans="5:8" ht="14.25" customHeight="1" x14ac:dyDescent="0.35">
      <c r="E776" s="1"/>
      <c r="F776" s="2"/>
      <c r="G776" s="2"/>
      <c r="H776" s="32"/>
    </row>
    <row r="777" spans="5:8" ht="14.25" customHeight="1" x14ac:dyDescent="0.35">
      <c r="E777" s="1"/>
      <c r="F777" s="2"/>
      <c r="G777" s="2"/>
      <c r="H777" s="32"/>
    </row>
    <row r="778" spans="5:8" ht="14.25" customHeight="1" x14ac:dyDescent="0.35">
      <c r="E778" s="1"/>
      <c r="F778" s="2"/>
      <c r="G778" s="2"/>
      <c r="H778" s="32"/>
    </row>
    <row r="779" spans="5:8" ht="14.25" customHeight="1" x14ac:dyDescent="0.35">
      <c r="E779" s="1"/>
      <c r="F779" s="2"/>
      <c r="G779" s="2"/>
      <c r="H779" s="32"/>
    </row>
    <row r="780" spans="5:8" ht="14.25" customHeight="1" x14ac:dyDescent="0.35">
      <c r="E780" s="1"/>
      <c r="F780" s="2"/>
      <c r="G780" s="2"/>
      <c r="H780" s="32"/>
    </row>
    <row r="781" spans="5:8" ht="14.25" customHeight="1" x14ac:dyDescent="0.35">
      <c r="E781" s="1"/>
      <c r="F781" s="2"/>
      <c r="G781" s="2"/>
      <c r="H781" s="32"/>
    </row>
    <row r="782" spans="5:8" ht="14.25" customHeight="1" x14ac:dyDescent="0.35">
      <c r="E782" s="1"/>
      <c r="F782" s="2"/>
      <c r="G782" s="2"/>
      <c r="H782" s="32"/>
    </row>
    <row r="783" spans="5:8" ht="14.25" customHeight="1" x14ac:dyDescent="0.35">
      <c r="E783" s="1"/>
      <c r="F783" s="2"/>
      <c r="G783" s="2"/>
      <c r="H783" s="32"/>
    </row>
    <row r="784" spans="5:8" ht="14.25" customHeight="1" x14ac:dyDescent="0.35">
      <c r="E784" s="1"/>
      <c r="F784" s="2"/>
      <c r="G784" s="2"/>
      <c r="H784" s="32"/>
    </row>
    <row r="785" spans="5:8" ht="14.25" customHeight="1" x14ac:dyDescent="0.35">
      <c r="E785" s="1"/>
      <c r="F785" s="2"/>
      <c r="G785" s="2"/>
      <c r="H785" s="32"/>
    </row>
    <row r="786" spans="5:8" ht="14.25" customHeight="1" x14ac:dyDescent="0.35">
      <c r="E786" s="1"/>
      <c r="F786" s="2"/>
      <c r="G786" s="2"/>
      <c r="H786" s="32"/>
    </row>
    <row r="787" spans="5:8" ht="14.25" customHeight="1" x14ac:dyDescent="0.35">
      <c r="E787" s="1"/>
      <c r="F787" s="2"/>
      <c r="G787" s="2"/>
      <c r="H787" s="32"/>
    </row>
    <row r="788" spans="5:8" ht="14.25" customHeight="1" x14ac:dyDescent="0.35">
      <c r="E788" s="1"/>
      <c r="F788" s="2"/>
      <c r="G788" s="2"/>
      <c r="H788" s="32"/>
    </row>
    <row r="789" spans="5:8" ht="14.25" customHeight="1" x14ac:dyDescent="0.35">
      <c r="E789" s="1"/>
      <c r="F789" s="2"/>
      <c r="G789" s="2"/>
      <c r="H789" s="32"/>
    </row>
    <row r="790" spans="5:8" ht="14.25" customHeight="1" x14ac:dyDescent="0.35">
      <c r="E790" s="1"/>
      <c r="F790" s="2"/>
      <c r="G790" s="2"/>
      <c r="H790" s="32"/>
    </row>
    <row r="791" spans="5:8" ht="14.25" customHeight="1" x14ac:dyDescent="0.35">
      <c r="E791" s="1"/>
      <c r="F791" s="2"/>
      <c r="G791" s="2"/>
      <c r="H791" s="32"/>
    </row>
    <row r="792" spans="5:8" ht="14.25" customHeight="1" x14ac:dyDescent="0.35">
      <c r="E792" s="1"/>
      <c r="F792" s="2"/>
      <c r="G792" s="2"/>
      <c r="H792" s="32"/>
    </row>
    <row r="793" spans="5:8" ht="14.25" customHeight="1" x14ac:dyDescent="0.35">
      <c r="E793" s="1"/>
      <c r="F793" s="2"/>
      <c r="G793" s="2"/>
      <c r="H793" s="32"/>
    </row>
    <row r="794" spans="5:8" ht="14.25" customHeight="1" x14ac:dyDescent="0.35">
      <c r="E794" s="1"/>
      <c r="F794" s="2"/>
      <c r="G794" s="2"/>
      <c r="H794" s="32"/>
    </row>
    <row r="795" spans="5:8" ht="14.25" customHeight="1" x14ac:dyDescent="0.35">
      <c r="E795" s="1"/>
      <c r="F795" s="2"/>
      <c r="G795" s="2"/>
      <c r="H795" s="32"/>
    </row>
    <row r="796" spans="5:8" ht="14.25" customHeight="1" x14ac:dyDescent="0.35">
      <c r="E796" s="1"/>
      <c r="F796" s="2"/>
      <c r="G796" s="2"/>
      <c r="H796" s="32"/>
    </row>
    <row r="797" spans="5:8" ht="14.25" customHeight="1" x14ac:dyDescent="0.35">
      <c r="E797" s="1"/>
      <c r="F797" s="2"/>
      <c r="G797" s="2"/>
      <c r="H797" s="32"/>
    </row>
    <row r="798" spans="5:8" ht="14.25" customHeight="1" x14ac:dyDescent="0.35">
      <c r="E798" s="1"/>
      <c r="F798" s="2"/>
      <c r="G798" s="2"/>
      <c r="H798" s="32"/>
    </row>
    <row r="799" spans="5:8" ht="14.25" customHeight="1" x14ac:dyDescent="0.35">
      <c r="E799" s="1"/>
      <c r="F799" s="2"/>
      <c r="G799" s="2"/>
      <c r="H799" s="32"/>
    </row>
    <row r="800" spans="5:8" ht="14.25" customHeight="1" x14ac:dyDescent="0.35">
      <c r="E800" s="1"/>
      <c r="F800" s="2"/>
      <c r="G800" s="2"/>
      <c r="H800" s="32"/>
    </row>
    <row r="801" spans="5:8" ht="14.25" customHeight="1" x14ac:dyDescent="0.35">
      <c r="E801" s="1"/>
      <c r="F801" s="2"/>
      <c r="G801" s="2"/>
      <c r="H801" s="32"/>
    </row>
    <row r="802" spans="5:8" ht="14.25" customHeight="1" x14ac:dyDescent="0.35">
      <c r="E802" s="1"/>
      <c r="F802" s="2"/>
      <c r="G802" s="2"/>
      <c r="H802" s="32"/>
    </row>
    <row r="803" spans="5:8" ht="14.25" customHeight="1" x14ac:dyDescent="0.35">
      <c r="E803" s="1"/>
      <c r="F803" s="2"/>
      <c r="G803" s="2"/>
      <c r="H803" s="32"/>
    </row>
    <row r="804" spans="5:8" ht="14.25" customHeight="1" x14ac:dyDescent="0.35">
      <c r="E804" s="1"/>
      <c r="F804" s="2"/>
      <c r="G804" s="2"/>
      <c r="H804" s="32"/>
    </row>
    <row r="805" spans="5:8" ht="14.25" customHeight="1" x14ac:dyDescent="0.35">
      <c r="E805" s="1"/>
      <c r="F805" s="2"/>
      <c r="G805" s="2"/>
      <c r="H805" s="32"/>
    </row>
    <row r="806" spans="5:8" ht="14.25" customHeight="1" x14ac:dyDescent="0.35">
      <c r="E806" s="1"/>
      <c r="F806" s="2"/>
      <c r="G806" s="2"/>
      <c r="H806" s="32"/>
    </row>
    <row r="807" spans="5:8" ht="14.25" customHeight="1" x14ac:dyDescent="0.35">
      <c r="E807" s="1"/>
      <c r="F807" s="2"/>
      <c r="G807" s="2"/>
      <c r="H807" s="32"/>
    </row>
    <row r="808" spans="5:8" ht="14.25" customHeight="1" x14ac:dyDescent="0.35">
      <c r="E808" s="1"/>
      <c r="F808" s="2"/>
      <c r="G808" s="2"/>
      <c r="H808" s="32"/>
    </row>
    <row r="809" spans="5:8" ht="14.25" customHeight="1" x14ac:dyDescent="0.35">
      <c r="E809" s="1"/>
      <c r="F809" s="2"/>
      <c r="G809" s="2"/>
      <c r="H809" s="32"/>
    </row>
    <row r="810" spans="5:8" ht="14.25" customHeight="1" x14ac:dyDescent="0.35">
      <c r="E810" s="1"/>
      <c r="F810" s="2"/>
      <c r="G810" s="2"/>
      <c r="H810" s="32"/>
    </row>
    <row r="811" spans="5:8" ht="14.25" customHeight="1" x14ac:dyDescent="0.35">
      <c r="E811" s="1"/>
      <c r="F811" s="2"/>
      <c r="G811" s="2"/>
      <c r="H811" s="32"/>
    </row>
    <row r="812" spans="5:8" ht="14.25" customHeight="1" x14ac:dyDescent="0.35">
      <c r="E812" s="1"/>
      <c r="F812" s="2"/>
      <c r="G812" s="2"/>
      <c r="H812" s="32"/>
    </row>
    <row r="813" spans="5:8" ht="14.25" customHeight="1" x14ac:dyDescent="0.35">
      <c r="E813" s="1"/>
      <c r="F813" s="2"/>
      <c r="G813" s="2"/>
      <c r="H813" s="32"/>
    </row>
    <row r="814" spans="5:8" ht="14.25" customHeight="1" x14ac:dyDescent="0.35">
      <c r="E814" s="1"/>
      <c r="F814" s="2"/>
      <c r="G814" s="2"/>
      <c r="H814" s="32"/>
    </row>
    <row r="815" spans="5:8" ht="14.25" customHeight="1" x14ac:dyDescent="0.35">
      <c r="E815" s="1"/>
      <c r="F815" s="2"/>
      <c r="G815" s="2"/>
      <c r="H815" s="32"/>
    </row>
    <row r="816" spans="5:8" ht="14.25" customHeight="1" x14ac:dyDescent="0.35">
      <c r="E816" s="1"/>
      <c r="F816" s="2"/>
      <c r="G816" s="2"/>
      <c r="H816" s="32"/>
    </row>
    <row r="817" spans="5:8" ht="14.25" customHeight="1" x14ac:dyDescent="0.35">
      <c r="E817" s="1"/>
      <c r="F817" s="2"/>
      <c r="G817" s="2"/>
      <c r="H817" s="32"/>
    </row>
    <row r="818" spans="5:8" ht="14.25" customHeight="1" x14ac:dyDescent="0.35">
      <c r="E818" s="1"/>
      <c r="F818" s="2"/>
      <c r="G818" s="2"/>
      <c r="H818" s="32"/>
    </row>
    <row r="819" spans="5:8" ht="14.25" customHeight="1" x14ac:dyDescent="0.35">
      <c r="E819" s="1"/>
      <c r="F819" s="2"/>
      <c r="G819" s="2"/>
      <c r="H819" s="32"/>
    </row>
    <row r="820" spans="5:8" ht="14.25" customHeight="1" x14ac:dyDescent="0.35">
      <c r="E820" s="1"/>
      <c r="F820" s="2"/>
      <c r="G820" s="2"/>
      <c r="H820" s="32"/>
    </row>
    <row r="821" spans="5:8" ht="14.25" customHeight="1" x14ac:dyDescent="0.35">
      <c r="E821" s="1"/>
      <c r="F821" s="2"/>
      <c r="G821" s="2"/>
      <c r="H821" s="32"/>
    </row>
    <row r="822" spans="5:8" ht="14.25" customHeight="1" x14ac:dyDescent="0.35">
      <c r="E822" s="1"/>
      <c r="F822" s="2"/>
      <c r="G822" s="2"/>
      <c r="H822" s="32"/>
    </row>
    <row r="823" spans="5:8" ht="14.25" customHeight="1" x14ac:dyDescent="0.35">
      <c r="E823" s="1"/>
      <c r="F823" s="2"/>
      <c r="G823" s="2"/>
      <c r="H823" s="32"/>
    </row>
    <row r="824" spans="5:8" ht="14.25" customHeight="1" x14ac:dyDescent="0.35">
      <c r="E824" s="1"/>
      <c r="F824" s="2"/>
      <c r="G824" s="2"/>
      <c r="H824" s="32"/>
    </row>
    <row r="825" spans="5:8" ht="14.25" customHeight="1" x14ac:dyDescent="0.35">
      <c r="E825" s="1"/>
      <c r="F825" s="2"/>
      <c r="G825" s="2"/>
      <c r="H825" s="32"/>
    </row>
    <row r="826" spans="5:8" ht="14.25" customHeight="1" x14ac:dyDescent="0.35">
      <c r="E826" s="1"/>
      <c r="F826" s="2"/>
      <c r="G826" s="2"/>
      <c r="H826" s="32"/>
    </row>
    <row r="827" spans="5:8" ht="14.25" customHeight="1" x14ac:dyDescent="0.35">
      <c r="E827" s="1"/>
      <c r="F827" s="2"/>
      <c r="G827" s="2"/>
      <c r="H827" s="32"/>
    </row>
    <row r="828" spans="5:8" ht="14.25" customHeight="1" x14ac:dyDescent="0.35">
      <c r="E828" s="1"/>
      <c r="F828" s="2"/>
      <c r="G828" s="2"/>
      <c r="H828" s="32"/>
    </row>
    <row r="829" spans="5:8" ht="14.25" customHeight="1" x14ac:dyDescent="0.35">
      <c r="E829" s="1"/>
      <c r="F829" s="2"/>
      <c r="G829" s="2"/>
      <c r="H829" s="32"/>
    </row>
    <row r="830" spans="5:8" ht="14.25" customHeight="1" x14ac:dyDescent="0.35">
      <c r="E830" s="1"/>
      <c r="F830" s="2"/>
      <c r="G830" s="2"/>
      <c r="H830" s="32"/>
    </row>
    <row r="831" spans="5:8" ht="14.25" customHeight="1" x14ac:dyDescent="0.35">
      <c r="E831" s="1"/>
      <c r="F831" s="2"/>
      <c r="G831" s="2"/>
      <c r="H831" s="32"/>
    </row>
    <row r="832" spans="5:8" ht="14.25" customHeight="1" x14ac:dyDescent="0.35">
      <c r="E832" s="1"/>
      <c r="F832" s="2"/>
      <c r="G832" s="2"/>
      <c r="H832" s="32"/>
    </row>
    <row r="833" spans="5:8" ht="14.25" customHeight="1" x14ac:dyDescent="0.35">
      <c r="E833" s="1"/>
      <c r="F833" s="2"/>
      <c r="G833" s="2"/>
      <c r="H833" s="32"/>
    </row>
    <row r="834" spans="5:8" ht="14.25" customHeight="1" x14ac:dyDescent="0.35">
      <c r="E834" s="1"/>
      <c r="F834" s="2"/>
      <c r="G834" s="2"/>
      <c r="H834" s="32"/>
    </row>
    <row r="835" spans="5:8" ht="14.25" customHeight="1" x14ac:dyDescent="0.35">
      <c r="E835" s="1"/>
      <c r="F835" s="2"/>
      <c r="G835" s="2"/>
      <c r="H835" s="32"/>
    </row>
    <row r="836" spans="5:8" ht="14.25" customHeight="1" x14ac:dyDescent="0.35">
      <c r="E836" s="1"/>
      <c r="F836" s="2"/>
      <c r="G836" s="2"/>
      <c r="H836" s="32"/>
    </row>
    <row r="837" spans="5:8" ht="14.25" customHeight="1" x14ac:dyDescent="0.35">
      <c r="E837" s="1"/>
      <c r="F837" s="2"/>
      <c r="G837" s="2"/>
      <c r="H837" s="32"/>
    </row>
    <row r="838" spans="5:8" ht="14.25" customHeight="1" x14ac:dyDescent="0.35">
      <c r="E838" s="1"/>
      <c r="F838" s="2"/>
      <c r="G838" s="2"/>
      <c r="H838" s="32"/>
    </row>
    <row r="839" spans="5:8" ht="14.25" customHeight="1" x14ac:dyDescent="0.35">
      <c r="E839" s="1"/>
      <c r="F839" s="2"/>
      <c r="G839" s="2"/>
      <c r="H839" s="32"/>
    </row>
    <row r="840" spans="5:8" ht="14.25" customHeight="1" x14ac:dyDescent="0.35">
      <c r="E840" s="1"/>
      <c r="F840" s="2"/>
      <c r="G840" s="2"/>
      <c r="H840" s="32"/>
    </row>
    <row r="841" spans="5:8" ht="14.25" customHeight="1" x14ac:dyDescent="0.35">
      <c r="E841" s="1"/>
      <c r="F841" s="2"/>
      <c r="G841" s="2"/>
      <c r="H841" s="32"/>
    </row>
    <row r="842" spans="5:8" ht="14.25" customHeight="1" x14ac:dyDescent="0.35">
      <c r="E842" s="1"/>
      <c r="F842" s="2"/>
      <c r="G842" s="2"/>
      <c r="H842" s="32"/>
    </row>
    <row r="843" spans="5:8" ht="14.25" customHeight="1" x14ac:dyDescent="0.35">
      <c r="E843" s="1"/>
      <c r="F843" s="2"/>
      <c r="G843" s="2"/>
      <c r="H843" s="32"/>
    </row>
    <row r="844" spans="5:8" ht="14.25" customHeight="1" x14ac:dyDescent="0.35">
      <c r="E844" s="1"/>
      <c r="F844" s="2"/>
      <c r="G844" s="2"/>
      <c r="H844" s="32"/>
    </row>
    <row r="845" spans="5:8" ht="14.25" customHeight="1" x14ac:dyDescent="0.35">
      <c r="E845" s="1"/>
      <c r="F845" s="2"/>
      <c r="G845" s="2"/>
      <c r="H845" s="32"/>
    </row>
    <row r="846" spans="5:8" ht="14.25" customHeight="1" x14ac:dyDescent="0.35">
      <c r="E846" s="1"/>
      <c r="F846" s="2"/>
      <c r="G846" s="2"/>
      <c r="H846" s="32"/>
    </row>
    <row r="847" spans="5:8" ht="14.25" customHeight="1" x14ac:dyDescent="0.35">
      <c r="E847" s="1"/>
      <c r="F847" s="2"/>
      <c r="G847" s="2"/>
      <c r="H847" s="32"/>
    </row>
    <row r="848" spans="5:8" ht="14.25" customHeight="1" x14ac:dyDescent="0.35">
      <c r="E848" s="1"/>
      <c r="F848" s="2"/>
      <c r="G848" s="2"/>
      <c r="H848" s="32"/>
    </row>
    <row r="849" spans="5:8" ht="14.25" customHeight="1" x14ac:dyDescent="0.35">
      <c r="E849" s="1"/>
      <c r="F849" s="2"/>
      <c r="G849" s="2"/>
      <c r="H849" s="32"/>
    </row>
    <row r="850" spans="5:8" ht="14.25" customHeight="1" x14ac:dyDescent="0.35">
      <c r="E850" s="1"/>
      <c r="F850" s="2"/>
      <c r="G850" s="2"/>
      <c r="H850" s="32"/>
    </row>
    <row r="851" spans="5:8" ht="14.25" customHeight="1" x14ac:dyDescent="0.35">
      <c r="E851" s="1"/>
      <c r="F851" s="2"/>
      <c r="G851" s="2"/>
      <c r="H851" s="32"/>
    </row>
    <row r="852" spans="5:8" ht="14.25" customHeight="1" x14ac:dyDescent="0.35">
      <c r="E852" s="1"/>
      <c r="F852" s="2"/>
      <c r="G852" s="2"/>
      <c r="H852" s="32"/>
    </row>
    <row r="853" spans="5:8" ht="14.25" customHeight="1" x14ac:dyDescent="0.35">
      <c r="E853" s="1"/>
      <c r="F853" s="2"/>
      <c r="G853" s="2"/>
      <c r="H853" s="32"/>
    </row>
    <row r="854" spans="5:8" ht="14.25" customHeight="1" x14ac:dyDescent="0.35">
      <c r="E854" s="1"/>
      <c r="F854" s="2"/>
      <c r="G854" s="2"/>
      <c r="H854" s="32"/>
    </row>
    <row r="855" spans="5:8" ht="14.25" customHeight="1" x14ac:dyDescent="0.35">
      <c r="E855" s="1"/>
      <c r="F855" s="2"/>
      <c r="G855" s="2"/>
      <c r="H855" s="32"/>
    </row>
    <row r="856" spans="5:8" ht="14.25" customHeight="1" x14ac:dyDescent="0.35">
      <c r="E856" s="1"/>
      <c r="F856" s="2"/>
      <c r="G856" s="2"/>
      <c r="H856" s="32"/>
    </row>
    <row r="857" spans="5:8" ht="14.25" customHeight="1" x14ac:dyDescent="0.35">
      <c r="E857" s="1"/>
      <c r="F857" s="2"/>
      <c r="G857" s="2"/>
      <c r="H857" s="32"/>
    </row>
    <row r="858" spans="5:8" ht="14.25" customHeight="1" x14ac:dyDescent="0.35">
      <c r="E858" s="1"/>
      <c r="F858" s="2"/>
      <c r="G858" s="2"/>
      <c r="H858" s="32"/>
    </row>
    <row r="859" spans="5:8" ht="14.25" customHeight="1" x14ac:dyDescent="0.35">
      <c r="E859" s="1"/>
      <c r="F859" s="2"/>
      <c r="G859" s="2"/>
      <c r="H859" s="32"/>
    </row>
    <row r="860" spans="5:8" ht="14.25" customHeight="1" x14ac:dyDescent="0.35">
      <c r="E860" s="1"/>
      <c r="F860" s="2"/>
      <c r="G860" s="2"/>
      <c r="H860" s="32"/>
    </row>
    <row r="861" spans="5:8" ht="14.25" customHeight="1" x14ac:dyDescent="0.35">
      <c r="E861" s="1"/>
      <c r="F861" s="2"/>
      <c r="G861" s="2"/>
      <c r="H861" s="32"/>
    </row>
    <row r="862" spans="5:8" ht="14.25" customHeight="1" x14ac:dyDescent="0.35">
      <c r="E862" s="1"/>
      <c r="F862" s="2"/>
      <c r="G862" s="2"/>
      <c r="H862" s="32"/>
    </row>
    <row r="863" spans="5:8" ht="14.25" customHeight="1" x14ac:dyDescent="0.35">
      <c r="E863" s="1"/>
      <c r="F863" s="2"/>
      <c r="G863" s="2"/>
      <c r="H863" s="32"/>
    </row>
    <row r="864" spans="5:8" ht="14.25" customHeight="1" x14ac:dyDescent="0.35">
      <c r="E864" s="1"/>
      <c r="F864" s="2"/>
      <c r="G864" s="2"/>
      <c r="H864" s="32"/>
    </row>
    <row r="865" spans="5:8" ht="14.25" customHeight="1" x14ac:dyDescent="0.35">
      <c r="E865" s="1"/>
      <c r="F865" s="2"/>
      <c r="G865" s="2"/>
      <c r="H865" s="32"/>
    </row>
    <row r="866" spans="5:8" ht="14.25" customHeight="1" x14ac:dyDescent="0.35">
      <c r="E866" s="1"/>
      <c r="F866" s="2"/>
      <c r="G866" s="2"/>
      <c r="H866" s="32"/>
    </row>
    <row r="867" spans="5:8" ht="14.25" customHeight="1" x14ac:dyDescent="0.35">
      <c r="E867" s="1"/>
      <c r="F867" s="2"/>
      <c r="G867" s="2"/>
      <c r="H867" s="32"/>
    </row>
    <row r="868" spans="5:8" ht="14.25" customHeight="1" x14ac:dyDescent="0.35">
      <c r="E868" s="1"/>
      <c r="F868" s="2"/>
      <c r="G868" s="2"/>
      <c r="H868" s="32"/>
    </row>
    <row r="869" spans="5:8" ht="14.25" customHeight="1" x14ac:dyDescent="0.35">
      <c r="E869" s="1"/>
      <c r="F869" s="2"/>
      <c r="G869" s="2"/>
      <c r="H869" s="32"/>
    </row>
    <row r="870" spans="5:8" ht="14.25" customHeight="1" x14ac:dyDescent="0.35">
      <c r="E870" s="1"/>
      <c r="F870" s="2"/>
      <c r="G870" s="2"/>
      <c r="H870" s="32"/>
    </row>
    <row r="871" spans="5:8" ht="14.25" customHeight="1" x14ac:dyDescent="0.35">
      <c r="E871" s="1"/>
      <c r="F871" s="2"/>
      <c r="G871" s="2"/>
      <c r="H871" s="32"/>
    </row>
    <row r="872" spans="5:8" ht="14.25" customHeight="1" x14ac:dyDescent="0.35">
      <c r="E872" s="1"/>
      <c r="F872" s="2"/>
      <c r="G872" s="2"/>
      <c r="H872" s="32"/>
    </row>
    <row r="873" spans="5:8" ht="14.25" customHeight="1" x14ac:dyDescent="0.35">
      <c r="E873" s="1"/>
      <c r="F873" s="2"/>
      <c r="G873" s="2"/>
      <c r="H873" s="32"/>
    </row>
    <row r="874" spans="5:8" ht="14.25" customHeight="1" x14ac:dyDescent="0.35">
      <c r="E874" s="1"/>
      <c r="F874" s="2"/>
      <c r="G874" s="2"/>
      <c r="H874" s="32"/>
    </row>
    <row r="875" spans="5:8" ht="14.25" customHeight="1" x14ac:dyDescent="0.35">
      <c r="E875" s="1"/>
      <c r="F875" s="2"/>
      <c r="G875" s="2"/>
      <c r="H875" s="32"/>
    </row>
    <row r="876" spans="5:8" ht="14.25" customHeight="1" x14ac:dyDescent="0.35">
      <c r="E876" s="1"/>
      <c r="F876" s="2"/>
      <c r="G876" s="2"/>
      <c r="H876" s="32"/>
    </row>
    <row r="877" spans="5:8" ht="14.25" customHeight="1" x14ac:dyDescent="0.35">
      <c r="E877" s="1"/>
      <c r="F877" s="2"/>
      <c r="G877" s="2"/>
      <c r="H877" s="32"/>
    </row>
    <row r="878" spans="5:8" ht="14.25" customHeight="1" x14ac:dyDescent="0.35">
      <c r="E878" s="1"/>
      <c r="F878" s="2"/>
      <c r="G878" s="2"/>
      <c r="H878" s="32"/>
    </row>
    <row r="879" spans="5:8" ht="14.25" customHeight="1" x14ac:dyDescent="0.35">
      <c r="E879" s="1"/>
      <c r="F879" s="2"/>
      <c r="G879" s="2"/>
      <c r="H879" s="32"/>
    </row>
    <row r="880" spans="5:8" ht="14.25" customHeight="1" x14ac:dyDescent="0.35">
      <c r="E880" s="1"/>
      <c r="F880" s="2"/>
      <c r="G880" s="2"/>
      <c r="H880" s="32"/>
    </row>
    <row r="881" spans="5:8" ht="14.25" customHeight="1" x14ac:dyDescent="0.35">
      <c r="E881" s="1"/>
      <c r="F881" s="2"/>
      <c r="G881" s="2"/>
      <c r="H881" s="32"/>
    </row>
    <row r="882" spans="5:8" ht="14.25" customHeight="1" x14ac:dyDescent="0.35">
      <c r="E882" s="1"/>
      <c r="F882" s="2"/>
      <c r="G882" s="2"/>
      <c r="H882" s="32"/>
    </row>
    <row r="883" spans="5:8" ht="14.25" customHeight="1" x14ac:dyDescent="0.35">
      <c r="E883" s="1"/>
      <c r="F883" s="2"/>
      <c r="G883" s="2"/>
      <c r="H883" s="32"/>
    </row>
    <row r="884" spans="5:8" ht="14.25" customHeight="1" x14ac:dyDescent="0.35">
      <c r="E884" s="1"/>
      <c r="F884" s="2"/>
      <c r="G884" s="2"/>
      <c r="H884" s="32"/>
    </row>
    <row r="885" spans="5:8" ht="14.25" customHeight="1" x14ac:dyDescent="0.35">
      <c r="E885" s="1"/>
      <c r="F885" s="2"/>
      <c r="G885" s="2"/>
      <c r="H885" s="32"/>
    </row>
    <row r="886" spans="5:8" ht="14.25" customHeight="1" x14ac:dyDescent="0.35">
      <c r="E886" s="1"/>
      <c r="F886" s="2"/>
      <c r="G886" s="2"/>
      <c r="H886" s="32"/>
    </row>
    <row r="887" spans="5:8" ht="14.25" customHeight="1" x14ac:dyDescent="0.35">
      <c r="E887" s="1"/>
      <c r="F887" s="2"/>
      <c r="G887" s="2"/>
      <c r="H887" s="32"/>
    </row>
    <row r="888" spans="5:8" ht="14.25" customHeight="1" x14ac:dyDescent="0.35">
      <c r="E888" s="1"/>
      <c r="F888" s="2"/>
      <c r="G888" s="2"/>
      <c r="H888" s="32"/>
    </row>
    <row r="889" spans="5:8" ht="14.25" customHeight="1" x14ac:dyDescent="0.35">
      <c r="E889" s="1"/>
      <c r="F889" s="2"/>
      <c r="G889" s="2"/>
      <c r="H889" s="32"/>
    </row>
    <row r="890" spans="5:8" ht="14.25" customHeight="1" x14ac:dyDescent="0.35">
      <c r="E890" s="1"/>
      <c r="F890" s="2"/>
      <c r="G890" s="2"/>
      <c r="H890" s="32"/>
    </row>
    <row r="891" spans="5:8" ht="14.25" customHeight="1" x14ac:dyDescent="0.35">
      <c r="E891" s="1"/>
      <c r="F891" s="2"/>
      <c r="G891" s="2"/>
      <c r="H891" s="32"/>
    </row>
    <row r="892" spans="5:8" ht="14.25" customHeight="1" x14ac:dyDescent="0.35">
      <c r="E892" s="1"/>
      <c r="F892" s="2"/>
      <c r="G892" s="2"/>
      <c r="H892" s="32"/>
    </row>
    <row r="893" spans="5:8" ht="14.25" customHeight="1" x14ac:dyDescent="0.35">
      <c r="E893" s="1"/>
      <c r="F893" s="2"/>
      <c r="G893" s="2"/>
      <c r="H893" s="32"/>
    </row>
    <row r="894" spans="5:8" ht="14.25" customHeight="1" x14ac:dyDescent="0.35">
      <c r="E894" s="1"/>
      <c r="F894" s="2"/>
      <c r="G894" s="2"/>
      <c r="H894" s="32"/>
    </row>
    <row r="895" spans="5:8" ht="14.25" customHeight="1" x14ac:dyDescent="0.35">
      <c r="E895" s="1"/>
      <c r="F895" s="2"/>
      <c r="G895" s="2"/>
      <c r="H895" s="32"/>
    </row>
    <row r="896" spans="5:8" ht="14.25" customHeight="1" x14ac:dyDescent="0.35">
      <c r="E896" s="1"/>
      <c r="F896" s="2"/>
      <c r="G896" s="2"/>
      <c r="H896" s="32"/>
    </row>
    <row r="897" spans="5:8" ht="14.25" customHeight="1" x14ac:dyDescent="0.35">
      <c r="E897" s="1"/>
      <c r="F897" s="2"/>
      <c r="G897" s="2"/>
      <c r="H897" s="32"/>
    </row>
    <row r="898" spans="5:8" ht="14.25" customHeight="1" x14ac:dyDescent="0.35">
      <c r="E898" s="1"/>
      <c r="F898" s="2"/>
      <c r="G898" s="2"/>
      <c r="H898" s="32"/>
    </row>
    <row r="899" spans="5:8" ht="14.25" customHeight="1" x14ac:dyDescent="0.35">
      <c r="E899" s="1"/>
      <c r="F899" s="2"/>
      <c r="G899" s="2"/>
      <c r="H899" s="32"/>
    </row>
    <row r="900" spans="5:8" ht="14.25" customHeight="1" x14ac:dyDescent="0.35">
      <c r="E900" s="1"/>
      <c r="F900" s="2"/>
      <c r="G900" s="2"/>
      <c r="H900" s="32"/>
    </row>
    <row r="901" spans="5:8" ht="14.25" customHeight="1" x14ac:dyDescent="0.35">
      <c r="E901" s="1"/>
      <c r="F901" s="2"/>
      <c r="G901" s="2"/>
      <c r="H901" s="32"/>
    </row>
    <row r="902" spans="5:8" ht="14.25" customHeight="1" x14ac:dyDescent="0.35">
      <c r="E902" s="1"/>
      <c r="F902" s="2"/>
      <c r="G902" s="2"/>
      <c r="H902" s="32"/>
    </row>
    <row r="903" spans="5:8" ht="14.25" customHeight="1" x14ac:dyDescent="0.35">
      <c r="E903" s="1"/>
      <c r="F903" s="2"/>
      <c r="G903" s="2"/>
      <c r="H903" s="32"/>
    </row>
    <row r="904" spans="5:8" ht="14.25" customHeight="1" x14ac:dyDescent="0.35">
      <c r="E904" s="1"/>
      <c r="F904" s="2"/>
      <c r="G904" s="2"/>
      <c r="H904" s="32"/>
    </row>
    <row r="905" spans="5:8" ht="14.25" customHeight="1" x14ac:dyDescent="0.35">
      <c r="E905" s="1"/>
      <c r="F905" s="2"/>
      <c r="G905" s="2"/>
      <c r="H905" s="32"/>
    </row>
    <row r="906" spans="5:8" ht="14.25" customHeight="1" x14ac:dyDescent="0.35">
      <c r="E906" s="1"/>
      <c r="F906" s="2"/>
      <c r="G906" s="2"/>
      <c r="H906" s="32"/>
    </row>
    <row r="907" spans="5:8" ht="14.25" customHeight="1" x14ac:dyDescent="0.35">
      <c r="E907" s="1"/>
      <c r="F907" s="2"/>
      <c r="G907" s="2"/>
      <c r="H907" s="32"/>
    </row>
    <row r="908" spans="5:8" ht="14.25" customHeight="1" x14ac:dyDescent="0.35">
      <c r="E908" s="1"/>
      <c r="F908" s="2"/>
      <c r="G908" s="2"/>
      <c r="H908" s="32"/>
    </row>
    <row r="909" spans="5:8" ht="14.25" customHeight="1" x14ac:dyDescent="0.35">
      <c r="E909" s="1"/>
      <c r="F909" s="2"/>
      <c r="G909" s="2"/>
      <c r="H909" s="32"/>
    </row>
    <row r="910" spans="5:8" ht="14.25" customHeight="1" x14ac:dyDescent="0.35">
      <c r="E910" s="1"/>
      <c r="F910" s="2"/>
      <c r="G910" s="2"/>
      <c r="H910" s="32"/>
    </row>
    <row r="911" spans="5:8" ht="14.25" customHeight="1" x14ac:dyDescent="0.35">
      <c r="E911" s="1"/>
      <c r="F911" s="2"/>
      <c r="G911" s="2"/>
      <c r="H911" s="32"/>
    </row>
    <row r="912" spans="5:8" ht="14.25" customHeight="1" x14ac:dyDescent="0.35">
      <c r="E912" s="1"/>
      <c r="F912" s="2"/>
      <c r="G912" s="2"/>
      <c r="H912" s="32"/>
    </row>
    <row r="913" spans="5:8" ht="14.25" customHeight="1" x14ac:dyDescent="0.35">
      <c r="E913" s="1"/>
      <c r="F913" s="2"/>
      <c r="G913" s="2"/>
      <c r="H913" s="32"/>
    </row>
    <row r="914" spans="5:8" ht="14.25" customHeight="1" x14ac:dyDescent="0.35">
      <c r="E914" s="1"/>
      <c r="F914" s="2"/>
      <c r="G914" s="2"/>
      <c r="H914" s="32"/>
    </row>
    <row r="915" spans="5:8" ht="14.25" customHeight="1" x14ac:dyDescent="0.35">
      <c r="E915" s="1"/>
      <c r="F915" s="2"/>
      <c r="G915" s="2"/>
      <c r="H915" s="32"/>
    </row>
    <row r="916" spans="5:8" ht="14.25" customHeight="1" x14ac:dyDescent="0.35">
      <c r="E916" s="1"/>
      <c r="F916" s="2"/>
      <c r="G916" s="2"/>
      <c r="H916" s="32"/>
    </row>
    <row r="917" spans="5:8" ht="14.25" customHeight="1" x14ac:dyDescent="0.35">
      <c r="E917" s="1"/>
      <c r="F917" s="2"/>
      <c r="G917" s="2"/>
      <c r="H917" s="32"/>
    </row>
    <row r="918" spans="5:8" ht="14.25" customHeight="1" x14ac:dyDescent="0.35">
      <c r="E918" s="1"/>
      <c r="F918" s="2"/>
      <c r="G918" s="2"/>
      <c r="H918" s="32"/>
    </row>
    <row r="919" spans="5:8" ht="14.25" customHeight="1" x14ac:dyDescent="0.35">
      <c r="E919" s="1"/>
      <c r="F919" s="2"/>
      <c r="G919" s="2"/>
      <c r="H919" s="32"/>
    </row>
    <row r="920" spans="5:8" ht="14.25" customHeight="1" x14ac:dyDescent="0.35">
      <c r="E920" s="1"/>
      <c r="F920" s="2"/>
      <c r="G920" s="2"/>
      <c r="H920" s="32"/>
    </row>
    <row r="921" spans="5:8" ht="14.25" customHeight="1" x14ac:dyDescent="0.35">
      <c r="E921" s="1"/>
      <c r="F921" s="2"/>
      <c r="G921" s="2"/>
      <c r="H921" s="32"/>
    </row>
    <row r="922" spans="5:8" ht="14.25" customHeight="1" x14ac:dyDescent="0.35">
      <c r="E922" s="1"/>
      <c r="F922" s="2"/>
      <c r="G922" s="2"/>
      <c r="H922" s="32"/>
    </row>
    <row r="923" spans="5:8" ht="14.25" customHeight="1" x14ac:dyDescent="0.35">
      <c r="E923" s="1"/>
      <c r="F923" s="2"/>
      <c r="G923" s="2"/>
      <c r="H923" s="32"/>
    </row>
    <row r="924" spans="5:8" ht="14.25" customHeight="1" x14ac:dyDescent="0.35">
      <c r="E924" s="1"/>
      <c r="F924" s="2"/>
      <c r="G924" s="2"/>
      <c r="H924" s="32"/>
    </row>
    <row r="925" spans="5:8" ht="14.25" customHeight="1" x14ac:dyDescent="0.35">
      <c r="E925" s="1"/>
      <c r="F925" s="2"/>
      <c r="G925" s="2"/>
      <c r="H925" s="32"/>
    </row>
    <row r="926" spans="5:8" ht="14.25" customHeight="1" x14ac:dyDescent="0.35">
      <c r="E926" s="1"/>
      <c r="F926" s="2"/>
      <c r="G926" s="2"/>
      <c r="H926" s="32"/>
    </row>
    <row r="927" spans="5:8" ht="14.25" customHeight="1" x14ac:dyDescent="0.35">
      <c r="E927" s="1"/>
      <c r="F927" s="2"/>
      <c r="G927" s="2"/>
      <c r="H927" s="32"/>
    </row>
    <row r="928" spans="5:8" ht="14.25" customHeight="1" x14ac:dyDescent="0.35">
      <c r="E928" s="1"/>
      <c r="F928" s="2"/>
      <c r="G928" s="2"/>
      <c r="H928" s="32"/>
    </row>
    <row r="929" spans="5:8" ht="14.25" customHeight="1" x14ac:dyDescent="0.35">
      <c r="E929" s="1"/>
      <c r="F929" s="2"/>
      <c r="G929" s="2"/>
      <c r="H929" s="32"/>
    </row>
    <row r="930" spans="5:8" ht="14.25" customHeight="1" x14ac:dyDescent="0.35">
      <c r="E930" s="1"/>
      <c r="F930" s="2"/>
      <c r="G930" s="2"/>
      <c r="H930" s="32"/>
    </row>
    <row r="931" spans="5:8" ht="14.25" customHeight="1" x14ac:dyDescent="0.35">
      <c r="E931" s="1"/>
      <c r="F931" s="2"/>
      <c r="G931" s="2"/>
      <c r="H931" s="32"/>
    </row>
    <row r="932" spans="5:8" ht="14.25" customHeight="1" x14ac:dyDescent="0.35">
      <c r="E932" s="1"/>
      <c r="F932" s="2"/>
      <c r="G932" s="2"/>
      <c r="H932" s="32"/>
    </row>
    <row r="933" spans="5:8" ht="14.25" customHeight="1" x14ac:dyDescent="0.35">
      <c r="E933" s="1"/>
      <c r="F933" s="2"/>
      <c r="G933" s="2"/>
      <c r="H933" s="32"/>
    </row>
    <row r="934" spans="5:8" ht="14.25" customHeight="1" x14ac:dyDescent="0.35">
      <c r="E934" s="1"/>
      <c r="F934" s="2"/>
      <c r="G934" s="2"/>
      <c r="H934" s="32"/>
    </row>
    <row r="935" spans="5:8" ht="14.25" customHeight="1" x14ac:dyDescent="0.35">
      <c r="E935" s="1"/>
      <c r="F935" s="2"/>
      <c r="G935" s="2"/>
      <c r="H935" s="32"/>
    </row>
    <row r="936" spans="5:8" ht="14.25" customHeight="1" x14ac:dyDescent="0.35">
      <c r="E936" s="1"/>
      <c r="F936" s="2"/>
      <c r="G936" s="2"/>
      <c r="H936" s="32"/>
    </row>
    <row r="937" spans="5:8" ht="14.25" customHeight="1" x14ac:dyDescent="0.35">
      <c r="E937" s="1"/>
      <c r="F937" s="2"/>
      <c r="G937" s="2"/>
      <c r="H937" s="32"/>
    </row>
    <row r="938" spans="5:8" ht="14.25" customHeight="1" x14ac:dyDescent="0.35">
      <c r="E938" s="1"/>
      <c r="F938" s="2"/>
      <c r="G938" s="2"/>
      <c r="H938" s="32"/>
    </row>
    <row r="939" spans="5:8" ht="14.25" customHeight="1" x14ac:dyDescent="0.35">
      <c r="E939" s="1"/>
      <c r="F939" s="2"/>
      <c r="G939" s="2"/>
      <c r="H939" s="32"/>
    </row>
    <row r="940" spans="5:8" ht="14.25" customHeight="1" x14ac:dyDescent="0.35">
      <c r="E940" s="1"/>
      <c r="F940" s="2"/>
      <c r="G940" s="2"/>
      <c r="H940" s="32"/>
    </row>
    <row r="941" spans="5:8" ht="14.25" customHeight="1" x14ac:dyDescent="0.35">
      <c r="E941" s="1"/>
      <c r="F941" s="2"/>
      <c r="G941" s="2"/>
      <c r="H941" s="32"/>
    </row>
    <row r="942" spans="5:8" ht="14.25" customHeight="1" x14ac:dyDescent="0.35">
      <c r="E942" s="1"/>
      <c r="F942" s="2"/>
      <c r="G942" s="2"/>
      <c r="H942" s="32"/>
    </row>
    <row r="943" spans="5:8" ht="14.25" customHeight="1" x14ac:dyDescent="0.35">
      <c r="E943" s="1"/>
      <c r="F943" s="2"/>
      <c r="G943" s="2"/>
      <c r="H943" s="32"/>
    </row>
    <row r="944" spans="5:8" ht="14.25" customHeight="1" x14ac:dyDescent="0.35">
      <c r="E944" s="1"/>
      <c r="F944" s="2"/>
      <c r="G944" s="2"/>
      <c r="H944" s="32"/>
    </row>
    <row r="945" spans="5:8" ht="14.25" customHeight="1" x14ac:dyDescent="0.35">
      <c r="E945" s="1"/>
      <c r="F945" s="2"/>
      <c r="G945" s="2"/>
      <c r="H945" s="32"/>
    </row>
    <row r="946" spans="5:8" ht="14.25" customHeight="1" x14ac:dyDescent="0.35">
      <c r="E946" s="1"/>
      <c r="F946" s="2"/>
      <c r="G946" s="2"/>
      <c r="H946" s="32"/>
    </row>
    <row r="947" spans="5:8" ht="14.25" customHeight="1" x14ac:dyDescent="0.35">
      <c r="E947" s="1"/>
      <c r="F947" s="2"/>
      <c r="G947" s="2"/>
      <c r="H947" s="32"/>
    </row>
    <row r="948" spans="5:8" ht="14.25" customHeight="1" x14ac:dyDescent="0.35">
      <c r="E948" s="1"/>
      <c r="F948" s="2"/>
      <c r="G948" s="2"/>
      <c r="H948" s="32"/>
    </row>
    <row r="949" spans="5:8" ht="14.25" customHeight="1" x14ac:dyDescent="0.35">
      <c r="E949" s="1"/>
      <c r="F949" s="2"/>
      <c r="G949" s="2"/>
      <c r="H949" s="32"/>
    </row>
    <row r="950" spans="5:8" ht="14.25" customHeight="1" x14ac:dyDescent="0.35">
      <c r="E950" s="1"/>
      <c r="F950" s="2"/>
      <c r="G950" s="2"/>
      <c r="H950" s="32"/>
    </row>
    <row r="951" spans="5:8" ht="14.25" customHeight="1" x14ac:dyDescent="0.35">
      <c r="E951" s="1"/>
      <c r="F951" s="2"/>
      <c r="G951" s="2"/>
      <c r="H951" s="32"/>
    </row>
    <row r="952" spans="5:8" ht="14.25" customHeight="1" x14ac:dyDescent="0.35">
      <c r="E952" s="1"/>
      <c r="F952" s="2"/>
      <c r="G952" s="2"/>
      <c r="H952" s="32"/>
    </row>
    <row r="953" spans="5:8" ht="14.25" customHeight="1" x14ac:dyDescent="0.35">
      <c r="E953" s="1"/>
      <c r="F953" s="2"/>
      <c r="G953" s="2"/>
      <c r="H953" s="32"/>
    </row>
    <row r="954" spans="5:8" ht="14.25" customHeight="1" x14ac:dyDescent="0.35">
      <c r="E954" s="1"/>
      <c r="F954" s="2"/>
      <c r="G954" s="2"/>
      <c r="H954" s="32"/>
    </row>
    <row r="955" spans="5:8" ht="14.25" customHeight="1" x14ac:dyDescent="0.35">
      <c r="E955" s="1"/>
      <c r="F955" s="2"/>
      <c r="G955" s="2"/>
      <c r="H955" s="32"/>
    </row>
    <row r="956" spans="5:8" ht="14.25" customHeight="1" x14ac:dyDescent="0.35">
      <c r="E956" s="1"/>
      <c r="F956" s="2"/>
      <c r="G956" s="2"/>
      <c r="H956" s="32"/>
    </row>
    <row r="957" spans="5:8" ht="14.25" customHeight="1" x14ac:dyDescent="0.35">
      <c r="E957" s="1"/>
      <c r="F957" s="2"/>
      <c r="G957" s="2"/>
      <c r="H957" s="32"/>
    </row>
    <row r="958" spans="5:8" ht="14.25" customHeight="1" x14ac:dyDescent="0.35">
      <c r="E958" s="1"/>
      <c r="F958" s="2"/>
      <c r="G958" s="2"/>
      <c r="H958" s="32"/>
    </row>
    <row r="959" spans="5:8" ht="14.25" customHeight="1" x14ac:dyDescent="0.35">
      <c r="E959" s="1"/>
      <c r="F959" s="2"/>
      <c r="G959" s="2"/>
      <c r="H959" s="32"/>
    </row>
    <row r="960" spans="5:8" ht="14.25" customHeight="1" x14ac:dyDescent="0.35">
      <c r="E960" s="1"/>
      <c r="F960" s="2"/>
      <c r="G960" s="2"/>
      <c r="H960" s="32"/>
    </row>
    <row r="961" spans="5:8" ht="14.25" customHeight="1" x14ac:dyDescent="0.35">
      <c r="E961" s="1"/>
      <c r="F961" s="2"/>
      <c r="G961" s="2"/>
      <c r="H961" s="32"/>
    </row>
    <row r="962" spans="5:8" ht="14.25" customHeight="1" x14ac:dyDescent="0.35">
      <c r="E962" s="1"/>
      <c r="F962" s="2"/>
      <c r="G962" s="2"/>
      <c r="H962" s="32"/>
    </row>
    <row r="963" spans="5:8" ht="14.25" customHeight="1" x14ac:dyDescent="0.35">
      <c r="E963" s="1"/>
      <c r="F963" s="2"/>
      <c r="G963" s="2"/>
      <c r="H963" s="32"/>
    </row>
    <row r="964" spans="5:8" ht="14.25" customHeight="1" x14ac:dyDescent="0.35">
      <c r="E964" s="1"/>
      <c r="F964" s="2"/>
      <c r="G964" s="2"/>
      <c r="H964" s="32"/>
    </row>
    <row r="965" spans="5:8" ht="14.25" customHeight="1" x14ac:dyDescent="0.35">
      <c r="E965" s="1"/>
      <c r="F965" s="2"/>
      <c r="G965" s="2"/>
      <c r="H965" s="32"/>
    </row>
    <row r="966" spans="5:8" ht="14.25" customHeight="1" x14ac:dyDescent="0.35">
      <c r="E966" s="1"/>
      <c r="F966" s="2"/>
      <c r="G966" s="2"/>
      <c r="H966" s="32"/>
    </row>
    <row r="967" spans="5:8" ht="14.25" customHeight="1" x14ac:dyDescent="0.35">
      <c r="E967" s="1"/>
      <c r="F967" s="2"/>
      <c r="G967" s="2"/>
      <c r="H967" s="32"/>
    </row>
    <row r="968" spans="5:8" ht="14.25" customHeight="1" x14ac:dyDescent="0.35">
      <c r="E968" s="1"/>
      <c r="F968" s="2"/>
      <c r="G968" s="2"/>
      <c r="H968" s="32"/>
    </row>
    <row r="969" spans="5:8" ht="14.25" customHeight="1" x14ac:dyDescent="0.35">
      <c r="E969" s="1"/>
      <c r="F969" s="2"/>
      <c r="G969" s="2"/>
      <c r="H969" s="32"/>
    </row>
    <row r="970" spans="5:8" ht="14.25" customHeight="1" x14ac:dyDescent="0.35">
      <c r="E970" s="1"/>
      <c r="F970" s="2"/>
      <c r="G970" s="2"/>
      <c r="H970" s="32"/>
    </row>
    <row r="971" spans="5:8" ht="14.25" customHeight="1" x14ac:dyDescent="0.35">
      <c r="E971" s="1"/>
      <c r="F971" s="2"/>
      <c r="G971" s="2"/>
      <c r="H971" s="32"/>
    </row>
    <row r="972" spans="5:8" ht="14.25" customHeight="1" x14ac:dyDescent="0.35">
      <c r="E972" s="1"/>
      <c r="F972" s="2"/>
      <c r="G972" s="2"/>
      <c r="H972" s="32"/>
    </row>
    <row r="973" spans="5:8" ht="14.25" customHeight="1" x14ac:dyDescent="0.35">
      <c r="E973" s="1"/>
      <c r="F973" s="2"/>
      <c r="G973" s="2"/>
      <c r="H973" s="32"/>
    </row>
    <row r="974" spans="5:8" ht="14.25" customHeight="1" x14ac:dyDescent="0.35">
      <c r="E974" s="1"/>
      <c r="F974" s="2"/>
      <c r="G974" s="2"/>
      <c r="H974" s="32"/>
    </row>
    <row r="975" spans="5:8" ht="14.25" customHeight="1" x14ac:dyDescent="0.35">
      <c r="E975" s="1"/>
      <c r="F975" s="2"/>
      <c r="G975" s="2"/>
      <c r="H975" s="32"/>
    </row>
    <row r="976" spans="5:8" ht="14.25" customHeight="1" x14ac:dyDescent="0.35">
      <c r="E976" s="1"/>
      <c r="F976" s="2"/>
      <c r="G976" s="2"/>
      <c r="H976" s="32"/>
    </row>
    <row r="977" spans="5:8" ht="14.25" customHeight="1" x14ac:dyDescent="0.35">
      <c r="E977" s="1"/>
      <c r="F977" s="2"/>
      <c r="G977" s="2"/>
      <c r="H977" s="32"/>
    </row>
    <row r="978" spans="5:8" ht="14.25" customHeight="1" x14ac:dyDescent="0.35">
      <c r="E978" s="1"/>
      <c r="F978" s="2"/>
      <c r="G978" s="2"/>
      <c r="H978" s="32"/>
    </row>
    <row r="979" spans="5:8" ht="14.25" customHeight="1" x14ac:dyDescent="0.35">
      <c r="E979" s="1"/>
      <c r="F979" s="2"/>
      <c r="G979" s="2"/>
      <c r="H979" s="32"/>
    </row>
    <row r="980" spans="5:8" ht="14.25" customHeight="1" x14ac:dyDescent="0.35">
      <c r="E980" s="1"/>
      <c r="F980" s="2"/>
      <c r="G980" s="2"/>
      <c r="H980" s="32"/>
    </row>
    <row r="981" spans="5:8" ht="14.25" customHeight="1" x14ac:dyDescent="0.35">
      <c r="E981" s="1"/>
      <c r="F981" s="2"/>
      <c r="G981" s="2"/>
      <c r="H981" s="32"/>
    </row>
    <row r="982" spans="5:8" ht="14.25" customHeight="1" x14ac:dyDescent="0.35">
      <c r="E982" s="1"/>
      <c r="F982" s="2"/>
      <c r="G982" s="2"/>
      <c r="H982" s="32"/>
    </row>
    <row r="983" spans="5:8" ht="14.25" customHeight="1" x14ac:dyDescent="0.35">
      <c r="E983" s="1"/>
      <c r="F983" s="2"/>
      <c r="G983" s="2"/>
      <c r="H983" s="32"/>
    </row>
    <row r="984" spans="5:8" ht="14.25" customHeight="1" x14ac:dyDescent="0.35">
      <c r="E984" s="1"/>
      <c r="F984" s="2"/>
      <c r="G984" s="2"/>
      <c r="H984" s="32"/>
    </row>
    <row r="985" spans="5:8" ht="14.25" customHeight="1" x14ac:dyDescent="0.35">
      <c r="E985" s="1"/>
      <c r="F985" s="2"/>
      <c r="G985" s="2"/>
      <c r="H985" s="32"/>
    </row>
    <row r="986" spans="5:8" ht="14.25" customHeight="1" x14ac:dyDescent="0.35">
      <c r="E986" s="1"/>
      <c r="F986" s="2"/>
      <c r="G986" s="2"/>
      <c r="H986" s="32"/>
    </row>
    <row r="987" spans="5:8" ht="14.25" customHeight="1" x14ac:dyDescent="0.35">
      <c r="E987" s="1"/>
      <c r="F987" s="2"/>
      <c r="G987" s="2"/>
      <c r="H987" s="32"/>
    </row>
    <row r="988" spans="5:8" ht="14.25" customHeight="1" x14ac:dyDescent="0.35">
      <c r="E988" s="1"/>
      <c r="F988" s="2"/>
      <c r="G988" s="2"/>
      <c r="H988" s="32"/>
    </row>
    <row r="989" spans="5:8" ht="14.25" customHeight="1" x14ac:dyDescent="0.35">
      <c r="E989" s="1"/>
      <c r="F989" s="2"/>
      <c r="G989" s="2"/>
      <c r="H989" s="32"/>
    </row>
    <row r="990" spans="5:8" ht="14.25" customHeight="1" x14ac:dyDescent="0.35">
      <c r="E990" s="1"/>
      <c r="F990" s="2"/>
      <c r="G990" s="2"/>
      <c r="H990" s="32"/>
    </row>
    <row r="991" spans="5:8" ht="14.25" customHeight="1" x14ac:dyDescent="0.35">
      <c r="E991" s="1"/>
      <c r="F991" s="2"/>
      <c r="G991" s="2"/>
      <c r="H991" s="32"/>
    </row>
    <row r="992" spans="5:8" ht="14.25" customHeight="1" x14ac:dyDescent="0.35">
      <c r="E992" s="1"/>
      <c r="F992" s="2"/>
      <c r="G992" s="2"/>
      <c r="H992" s="32"/>
    </row>
    <row r="993" spans="5:8" ht="14.25" customHeight="1" x14ac:dyDescent="0.35">
      <c r="E993" s="1"/>
      <c r="F993" s="2"/>
      <c r="G993" s="2"/>
      <c r="H993" s="32"/>
    </row>
    <row r="994" spans="5:8" ht="14.25" customHeight="1" x14ac:dyDescent="0.35">
      <c r="E994" s="1"/>
      <c r="F994" s="2"/>
      <c r="G994" s="2"/>
      <c r="H994" s="32"/>
    </row>
    <row r="995" spans="5:8" ht="14.25" customHeight="1" x14ac:dyDescent="0.35">
      <c r="E995" s="1"/>
      <c r="F995" s="2"/>
      <c r="G995" s="2"/>
      <c r="H995" s="32"/>
    </row>
    <row r="996" spans="5:8" ht="14.25" customHeight="1" x14ac:dyDescent="0.35">
      <c r="E996" s="1"/>
      <c r="F996" s="2"/>
      <c r="G996" s="2"/>
      <c r="H996" s="32"/>
    </row>
    <row r="997" spans="5:8" ht="14.25" customHeight="1" x14ac:dyDescent="0.35">
      <c r="E997" s="1"/>
      <c r="F997" s="2"/>
      <c r="G997" s="2"/>
      <c r="H997" s="32"/>
    </row>
    <row r="998" spans="5:8" ht="14.25" customHeight="1" x14ac:dyDescent="0.35">
      <c r="E998" s="1"/>
      <c r="F998" s="2"/>
      <c r="G998" s="2"/>
      <c r="H998" s="32"/>
    </row>
    <row r="999" spans="5:8" ht="14.25" customHeight="1" x14ac:dyDescent="0.35">
      <c r="E999" s="1"/>
      <c r="F999" s="2"/>
      <c r="G999" s="2"/>
      <c r="H999" s="32"/>
    </row>
    <row r="1000" spans="5:8" ht="14.25" customHeight="1" x14ac:dyDescent="0.35">
      <c r="E1000" s="1"/>
      <c r="F1000" s="2"/>
      <c r="G1000" s="2"/>
      <c r="H1000" s="32"/>
    </row>
  </sheetData>
  <autoFilter ref="A2:J582" xr:uid="{00000000-0009-0000-0000-000000000000}"/>
  <conditionalFormatting sqref="J3:J76">
    <cfRule type="notContainsBlanks" dxfId="136" priority="1">
      <formula>LEN(TRIM(J3))&gt;0</formula>
    </cfRule>
  </conditionalFormatting>
  <conditionalFormatting sqref="J3:J76">
    <cfRule type="containsBlanks" dxfId="135" priority="2">
      <formula>LEN(TRIM(J3))=0</formula>
    </cfRule>
  </conditionalFormatting>
  <conditionalFormatting sqref="A22:F76 H22:I76">
    <cfRule type="containsBlanks" dxfId="134" priority="3">
      <formula>LEN(TRIM(A22))=0</formula>
    </cfRule>
  </conditionalFormatting>
  <conditionalFormatting sqref="I3:I76">
    <cfRule type="containsText" dxfId="133" priority="4" operator="containsText" text="BOLETO">
      <formula>NOT(ISERROR(SEARCH(("BOLETO"),(I3))))</formula>
    </cfRule>
  </conditionalFormatting>
  <conditionalFormatting sqref="I3:I76">
    <cfRule type="containsText" dxfId="132" priority="5" operator="containsText" text="CARTÃO ">
      <formula>NOT(ISERROR(SEARCH(("CARTÃO "),(I3))))</formula>
    </cfRule>
  </conditionalFormatting>
  <conditionalFormatting sqref="I3:I76">
    <cfRule type="containsText" dxfId="131" priority="6" operator="containsText" text="DEP C/C">
      <formula>NOT(ISERROR(SEARCH(("DEP C/C"),(I3))))</formula>
    </cfRule>
  </conditionalFormatting>
  <conditionalFormatting sqref="G3:I3 G4:G76 G78:G80 H4:I21">
    <cfRule type="containsBlanks" dxfId="130" priority="7">
      <formula>LEN(TRIM(G3))=0</formula>
    </cfRule>
  </conditionalFormatting>
  <conditionalFormatting sqref="C3:C21">
    <cfRule type="containsBlanks" dxfId="129" priority="8">
      <formula>LEN(TRIM(C3))=0</formula>
    </cfRule>
  </conditionalFormatting>
  <conditionalFormatting sqref="C3:C76">
    <cfRule type="containsText" dxfId="128" priority="9" operator="containsText" text="PENDENTE">
      <formula>NOT(ISERROR(SEARCH(("PENDENTE"),(C3))))</formula>
    </cfRule>
  </conditionalFormatting>
  <conditionalFormatting sqref="B3">
    <cfRule type="timePeriod" dxfId="127" priority="10" timePeriod="yesterday">
      <formula>FLOOR(B3,1)=TODAY()-1</formula>
    </cfRule>
  </conditionalFormatting>
  <conditionalFormatting sqref="B4:B49">
    <cfRule type="timePeriod" dxfId="126" priority="11" timePeriod="yesterday">
      <formula>FLOOR(B4,1)=TODAY()-1</formula>
    </cfRule>
  </conditionalFormatting>
  <conditionalFormatting sqref="B52">
    <cfRule type="timePeriod" dxfId="125" priority="12" timePeriod="yesterday">
      <formula>FLOOR(B52,1)=TODAY()-1</formula>
    </cfRule>
  </conditionalFormatting>
  <pageMargins left="0.511811024" right="0.511811024" top="0.78740157499999996" bottom="0.78740157499999996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>
      <pane ySplit="2" topLeftCell="A3" activePane="bottomLeft" state="frozen"/>
      <selection activeCell="F19" sqref="F19"/>
      <selection pane="bottomLeft" activeCell="F19" sqref="F19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3.8164062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18" customHeight="1" x14ac:dyDescent="0.35">
      <c r="A1" s="32"/>
      <c r="B1" s="32"/>
      <c r="C1" s="32"/>
      <c r="D1" s="33"/>
      <c r="E1" s="1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35">
      <c r="A9" s="11"/>
      <c r="B9" s="11"/>
      <c r="C9" s="11"/>
      <c r="D9" s="5"/>
      <c r="E9" s="8"/>
      <c r="F9" s="12"/>
      <c r="G9" s="12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 x14ac:dyDescent="0.35">
      <c r="A16" s="11"/>
      <c r="B16" s="11"/>
      <c r="C16" s="11"/>
      <c r="D16" s="5"/>
      <c r="E16" s="8"/>
      <c r="F16" s="12"/>
      <c r="G16" s="12"/>
      <c r="H16" s="5"/>
      <c r="I16" s="5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35">
      <c r="A22" s="11"/>
      <c r="B22" s="11"/>
      <c r="C22" s="11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35">
      <c r="A25" s="11"/>
      <c r="B25" s="11"/>
      <c r="C25" s="11"/>
      <c r="D25" s="13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5">
      <c r="A35" s="11"/>
      <c r="B35" s="11"/>
      <c r="C35" s="11"/>
      <c r="D35" s="13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35">
      <c r="A36" s="11"/>
      <c r="B36" s="11"/>
      <c r="C36" s="11"/>
      <c r="D36" s="13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35">
      <c r="A38" s="11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35">
      <c r="A40" s="11"/>
      <c r="B40" s="11"/>
      <c r="C40" s="11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5">
      <c r="A41" s="11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35">
      <c r="A42" s="11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5">
      <c r="A45" s="11"/>
      <c r="B45" s="11"/>
      <c r="C45" s="11"/>
      <c r="D45" s="5"/>
      <c r="E45" s="8"/>
      <c r="F45" s="12"/>
      <c r="G45" s="12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35">
      <c r="A51" s="11"/>
      <c r="B51" s="11"/>
      <c r="C51" s="11"/>
      <c r="D51" s="5"/>
      <c r="E51" s="8"/>
      <c r="F51" s="12"/>
      <c r="G51" s="12"/>
      <c r="H51" s="5"/>
      <c r="I51" s="5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35">
      <c r="A53" s="11">
        <v>46079</v>
      </c>
      <c r="B53" s="11">
        <v>46080</v>
      </c>
      <c r="C53" s="11">
        <v>46077</v>
      </c>
      <c r="D53" s="5">
        <v>23685</v>
      </c>
      <c r="E53" s="8" t="s">
        <v>32</v>
      </c>
      <c r="F53" s="12">
        <v>3981.74</v>
      </c>
      <c r="G53" s="12">
        <f t="shared" ref="G45:G76" si="0">IF(OR(C53 = "",C53="PENDENTE"), 0, IF(OR(C53&lt;=B53,H53=1),F53,(F53*0.1966/100)*(C53-B53)+F53))</f>
        <v>3981.74</v>
      </c>
      <c r="H53" s="5"/>
      <c r="I53" s="5" t="s">
        <v>12</v>
      </c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5">
      <c r="A54" s="11">
        <v>46079</v>
      </c>
      <c r="B54" s="11">
        <v>46107</v>
      </c>
      <c r="C54" s="11">
        <v>46106</v>
      </c>
      <c r="D54" s="5">
        <v>23686</v>
      </c>
      <c r="E54" s="8" t="s">
        <v>33</v>
      </c>
      <c r="F54" s="12">
        <v>6208</v>
      </c>
      <c r="G54" s="12">
        <f t="shared" si="0"/>
        <v>6208</v>
      </c>
      <c r="H54" s="5"/>
      <c r="I54" s="5" t="s">
        <v>10</v>
      </c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35">
      <c r="A55" s="11">
        <v>46079</v>
      </c>
      <c r="B55" s="11">
        <v>46107</v>
      </c>
      <c r="C55" s="11">
        <v>46104</v>
      </c>
      <c r="D55" s="5">
        <v>23687</v>
      </c>
      <c r="E55" s="8" t="s">
        <v>30</v>
      </c>
      <c r="F55" s="12">
        <v>1288</v>
      </c>
      <c r="G55" s="12">
        <f t="shared" si="0"/>
        <v>1288</v>
      </c>
      <c r="H55" s="5"/>
      <c r="I55" s="5" t="s">
        <v>10</v>
      </c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35">
      <c r="A56" s="11"/>
      <c r="B56" s="11"/>
      <c r="C56" s="11"/>
      <c r="D56" s="5"/>
      <c r="E56" s="8"/>
      <c r="F56" s="12"/>
      <c r="G56" s="12">
        <f t="shared" si="0"/>
        <v>0</v>
      </c>
      <c r="H56" s="5"/>
      <c r="I56" s="5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5">
      <c r="A57" s="11"/>
      <c r="B57" s="11"/>
      <c r="C57" s="11"/>
      <c r="D57" s="5"/>
      <c r="E57" s="8"/>
      <c r="F57" s="12"/>
      <c r="G57" s="12">
        <f t="shared" si="0"/>
        <v>0</v>
      </c>
      <c r="H57" s="5"/>
      <c r="I57" s="5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5">
      <c r="A58" s="11"/>
      <c r="B58" s="11"/>
      <c r="C58" s="11"/>
      <c r="D58" s="5"/>
      <c r="E58" s="8"/>
      <c r="F58" s="12"/>
      <c r="G58" s="12">
        <f t="shared" si="0"/>
        <v>0</v>
      </c>
      <c r="H58" s="5"/>
      <c r="I58" s="5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5">
      <c r="A59" s="11"/>
      <c r="B59" s="11"/>
      <c r="C59" s="11"/>
      <c r="D59" s="5"/>
      <c r="E59" s="8"/>
      <c r="F59" s="12"/>
      <c r="G59" s="12">
        <f t="shared" si="0"/>
        <v>0</v>
      </c>
      <c r="H59" s="5"/>
      <c r="I59" s="5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5">
      <c r="A60" s="11"/>
      <c r="B60" s="11"/>
      <c r="C60" s="11"/>
      <c r="D60" s="5"/>
      <c r="E60" s="8"/>
      <c r="F60" s="12"/>
      <c r="G60" s="12">
        <f t="shared" si="0"/>
        <v>0</v>
      </c>
      <c r="H60" s="5"/>
      <c r="I60" s="5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5">
      <c r="A61" s="11"/>
      <c r="B61" s="11"/>
      <c r="C61" s="11"/>
      <c r="D61" s="5"/>
      <c r="E61" s="8"/>
      <c r="F61" s="12"/>
      <c r="G61" s="12">
        <f t="shared" si="0"/>
        <v>0</v>
      </c>
      <c r="H61" s="5"/>
      <c r="I61" s="5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5">
      <c r="A62" s="11"/>
      <c r="B62" s="11"/>
      <c r="C62" s="11"/>
      <c r="D62" s="5"/>
      <c r="E62" s="8"/>
      <c r="F62" s="12"/>
      <c r="G62" s="12">
        <f t="shared" si="0"/>
        <v>0</v>
      </c>
      <c r="H62" s="5"/>
      <c r="I62" s="5"/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5">
      <c r="A63" s="11"/>
      <c r="B63" s="11"/>
      <c r="C63" s="11"/>
      <c r="D63" s="5"/>
      <c r="E63" s="8"/>
      <c r="F63" s="12"/>
      <c r="G63" s="12">
        <f t="shared" si="0"/>
        <v>0</v>
      </c>
      <c r="H63" s="5"/>
      <c r="I63" s="5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5">
      <c r="A77" s="19"/>
      <c r="B77" s="19"/>
      <c r="C77" s="19"/>
      <c r="D77" s="18"/>
      <c r="E77" s="20"/>
      <c r="F77" s="21">
        <f t="shared" ref="F77:G77" si="1">SUM(F3:F76)</f>
        <v>11477.74</v>
      </c>
      <c r="G77" s="21">
        <f t="shared" si="1"/>
        <v>11477.74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5">
      <c r="A78" s="19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5">
      <c r="A79" s="19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5">
      <c r="A80" s="19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19"/>
      <c r="B81" s="19"/>
      <c r="C81" s="19"/>
      <c r="D81" s="18"/>
      <c r="E81" s="20"/>
      <c r="F81" s="23"/>
      <c r="G81" s="23"/>
      <c r="H81" s="18"/>
      <c r="I81" s="18"/>
      <c r="J81" s="18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19"/>
      <c r="B82" s="19"/>
      <c r="C82" s="19"/>
      <c r="D82" s="18"/>
      <c r="E82" s="20"/>
      <c r="F82" s="23"/>
      <c r="G82" s="23"/>
      <c r="H82" s="18"/>
      <c r="I82" s="18"/>
      <c r="J82" s="18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19"/>
      <c r="B83" s="19"/>
      <c r="C83" s="19"/>
      <c r="D83" s="18"/>
      <c r="E83" s="20"/>
      <c r="F83" s="23"/>
      <c r="G83" s="23"/>
      <c r="H83" s="18"/>
      <c r="I83" s="18"/>
      <c r="J83" s="18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19"/>
      <c r="B84" s="19"/>
      <c r="C84" s="19"/>
      <c r="D84" s="18"/>
      <c r="E84" s="20"/>
      <c r="F84" s="23"/>
      <c r="G84" s="23"/>
      <c r="H84" s="18"/>
      <c r="I84" s="18"/>
      <c r="J84" s="18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19"/>
      <c r="B85" s="19"/>
      <c r="C85" s="19"/>
      <c r="D85" s="18"/>
      <c r="E85" s="20"/>
      <c r="F85" s="23"/>
      <c r="G85" s="23"/>
      <c r="H85" s="18"/>
      <c r="I85" s="18"/>
      <c r="J85" s="18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19"/>
      <c r="B86" s="19"/>
      <c r="C86" s="19"/>
      <c r="D86" s="18"/>
      <c r="E86" s="20"/>
      <c r="F86" s="23"/>
      <c r="G86" s="23"/>
      <c r="H86" s="18"/>
      <c r="I86" s="18"/>
      <c r="J86" s="18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19"/>
      <c r="B87" s="19"/>
      <c r="C87" s="19"/>
      <c r="D87" s="18"/>
      <c r="E87" s="20"/>
      <c r="F87" s="23"/>
      <c r="G87" s="23"/>
      <c r="H87" s="18"/>
      <c r="I87" s="18"/>
      <c r="J87" s="18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19"/>
      <c r="B88" s="19"/>
      <c r="C88" s="19"/>
      <c r="D88" s="18"/>
      <c r="E88" s="20"/>
      <c r="F88" s="23"/>
      <c r="G88" s="23"/>
      <c r="H88" s="18"/>
      <c r="I88" s="18"/>
      <c r="J88" s="18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19"/>
      <c r="B89" s="19"/>
      <c r="C89" s="19"/>
      <c r="D89" s="18"/>
      <c r="E89" s="20"/>
      <c r="F89" s="23"/>
      <c r="G89" s="23"/>
      <c r="H89" s="18"/>
      <c r="I89" s="18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19"/>
      <c r="B90" s="19"/>
      <c r="C90" s="19"/>
      <c r="D90" s="18"/>
      <c r="E90" s="20"/>
      <c r="F90" s="23"/>
      <c r="G90" s="23"/>
      <c r="H90" s="18"/>
      <c r="I90" s="18"/>
      <c r="J90" s="18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19"/>
      <c r="B91" s="19"/>
      <c r="C91" s="19"/>
      <c r="D91" s="18"/>
      <c r="E91" s="20"/>
      <c r="F91" s="23"/>
      <c r="G91" s="23"/>
      <c r="H91" s="18"/>
      <c r="I91" s="18"/>
      <c r="J91" s="18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19"/>
      <c r="B92" s="19"/>
      <c r="C92" s="19"/>
      <c r="D92" s="18"/>
      <c r="E92" s="20"/>
      <c r="F92" s="23"/>
      <c r="G92" s="23"/>
      <c r="H92" s="18"/>
      <c r="I92" s="18"/>
      <c r="J92" s="18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19"/>
      <c r="B93" s="19"/>
      <c r="C93" s="19"/>
      <c r="D93" s="18"/>
      <c r="E93" s="20"/>
      <c r="F93" s="23"/>
      <c r="G93" s="23"/>
      <c r="H93" s="18"/>
      <c r="I93" s="18"/>
      <c r="J93" s="18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19"/>
      <c r="B94" s="19"/>
      <c r="C94" s="19"/>
      <c r="D94" s="18"/>
      <c r="E94" s="20"/>
      <c r="F94" s="23"/>
      <c r="G94" s="23"/>
      <c r="H94" s="18"/>
      <c r="I94" s="18"/>
      <c r="J94" s="18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19"/>
      <c r="B95" s="19"/>
      <c r="C95" s="19"/>
      <c r="D95" s="18"/>
      <c r="E95" s="20"/>
      <c r="F95" s="23"/>
      <c r="G95" s="23"/>
      <c r="H95" s="18"/>
      <c r="I95" s="18"/>
      <c r="J95" s="18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19"/>
      <c r="B96" s="19"/>
      <c r="C96" s="19"/>
      <c r="D96" s="18"/>
      <c r="E96" s="20"/>
      <c r="F96" s="23"/>
      <c r="G96" s="23"/>
      <c r="H96" s="18"/>
      <c r="I96" s="18"/>
      <c r="J96" s="18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19"/>
      <c r="B97" s="19"/>
      <c r="C97" s="19"/>
      <c r="D97" s="18"/>
      <c r="E97" s="20"/>
      <c r="F97" s="23"/>
      <c r="G97" s="23"/>
      <c r="H97" s="18"/>
      <c r="I97" s="18"/>
      <c r="J97" s="18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19"/>
      <c r="B98" s="19"/>
      <c r="C98" s="19"/>
      <c r="D98" s="18"/>
      <c r="E98" s="20"/>
      <c r="F98" s="23"/>
      <c r="G98" s="23"/>
      <c r="H98" s="18"/>
      <c r="I98" s="18"/>
      <c r="J98" s="18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 x14ac:dyDescent="0.3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3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4.25" customHeight="1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customHeight="1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customHeight="1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customHeight="1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customHeight="1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customHeight="1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 x14ac:dyDescent="0.35">
      <c r="A784" s="10"/>
      <c r="B784" s="10"/>
      <c r="C784" s="10"/>
      <c r="D784" s="18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 x14ac:dyDescent="0.35">
      <c r="A785" s="10"/>
      <c r="B785" s="10"/>
      <c r="C785" s="10"/>
      <c r="D785" s="18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 x14ac:dyDescent="0.35">
      <c r="A786" s="10"/>
      <c r="B786" s="10"/>
      <c r="C786" s="10"/>
      <c r="D786" s="18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 x14ac:dyDescent="0.35">
      <c r="A787" s="10"/>
      <c r="B787" s="10"/>
      <c r="C787" s="10"/>
      <c r="D787" s="18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 x14ac:dyDescent="0.35">
      <c r="A788" s="10"/>
      <c r="B788" s="10"/>
      <c r="C788" s="10"/>
      <c r="D788" s="18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 x14ac:dyDescent="0.35">
      <c r="A789" s="10"/>
      <c r="B789" s="10"/>
      <c r="C789" s="10"/>
      <c r="D789" s="18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 x14ac:dyDescent="0.35">
      <c r="A790" s="10"/>
      <c r="B790" s="10"/>
      <c r="C790" s="10"/>
      <c r="D790" s="18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 x14ac:dyDescent="0.35">
      <c r="A791" s="10"/>
      <c r="B791" s="10"/>
      <c r="C791" s="10"/>
      <c r="D791" s="18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 x14ac:dyDescent="0.35">
      <c r="A792" s="10"/>
      <c r="B792" s="10"/>
      <c r="C792" s="10"/>
      <c r="D792" s="18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 x14ac:dyDescent="0.35">
      <c r="A793" s="10"/>
      <c r="B793" s="10"/>
      <c r="C793" s="10"/>
      <c r="D793" s="18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 x14ac:dyDescent="0.35">
      <c r="A794" s="10"/>
      <c r="B794" s="10"/>
      <c r="C794" s="10"/>
      <c r="D794" s="18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 x14ac:dyDescent="0.35">
      <c r="A795" s="10"/>
      <c r="B795" s="10"/>
      <c r="C795" s="10"/>
      <c r="D795" s="18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 x14ac:dyDescent="0.35">
      <c r="A796" s="10"/>
      <c r="B796" s="10"/>
      <c r="C796" s="10"/>
      <c r="D796" s="18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 x14ac:dyDescent="0.35">
      <c r="A797" s="10"/>
      <c r="B797" s="10"/>
      <c r="C797" s="10"/>
      <c r="D797" s="18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 x14ac:dyDescent="0.35">
      <c r="A798" s="10"/>
      <c r="B798" s="10"/>
      <c r="C798" s="10"/>
      <c r="D798" s="18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 x14ac:dyDescent="0.35">
      <c r="A799" s="10"/>
      <c r="B799" s="10"/>
      <c r="C799" s="10"/>
      <c r="D799" s="18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 x14ac:dyDescent="0.35">
      <c r="A800" s="10"/>
      <c r="B800" s="10"/>
      <c r="C800" s="10"/>
      <c r="D800" s="18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 x14ac:dyDescent="0.35">
      <c r="A801" s="10"/>
      <c r="B801" s="10"/>
      <c r="C801" s="10"/>
      <c r="D801" s="18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 x14ac:dyDescent="0.35">
      <c r="A802" s="10"/>
      <c r="B802" s="10"/>
      <c r="C802" s="10"/>
      <c r="D802" s="18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 x14ac:dyDescent="0.35">
      <c r="A803" s="10"/>
      <c r="B803" s="10"/>
      <c r="C803" s="10"/>
      <c r="D803" s="18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 x14ac:dyDescent="0.35">
      <c r="A804" s="10"/>
      <c r="B804" s="10"/>
      <c r="C804" s="10"/>
      <c r="D804" s="18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 x14ac:dyDescent="0.35">
      <c r="A805" s="10"/>
      <c r="B805" s="10"/>
      <c r="C805" s="10"/>
      <c r="D805" s="18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 x14ac:dyDescent="0.35">
      <c r="A806" s="10"/>
      <c r="B806" s="10"/>
      <c r="C806" s="10"/>
      <c r="D806" s="18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 x14ac:dyDescent="0.35">
      <c r="A807" s="10"/>
      <c r="B807" s="10"/>
      <c r="C807" s="10"/>
      <c r="D807" s="18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 x14ac:dyDescent="0.35">
      <c r="A808" s="10"/>
      <c r="B808" s="10"/>
      <c r="C808" s="10"/>
      <c r="D808" s="18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 x14ac:dyDescent="0.35">
      <c r="A809" s="10"/>
      <c r="B809" s="10"/>
      <c r="C809" s="10"/>
      <c r="D809" s="18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 x14ac:dyDescent="0.35">
      <c r="A810" s="10"/>
      <c r="B810" s="10"/>
      <c r="C810" s="10"/>
      <c r="D810" s="18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 x14ac:dyDescent="0.35">
      <c r="A811" s="10"/>
      <c r="B811" s="10"/>
      <c r="C811" s="10"/>
      <c r="D811" s="18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 x14ac:dyDescent="0.35">
      <c r="A812" s="10"/>
      <c r="B812" s="10"/>
      <c r="C812" s="10"/>
      <c r="D812" s="18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 x14ac:dyDescent="0.35">
      <c r="A813" s="10"/>
      <c r="B813" s="10"/>
      <c r="C813" s="10"/>
      <c r="D813" s="18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 x14ac:dyDescent="0.35">
      <c r="A814" s="10"/>
      <c r="B814" s="10"/>
      <c r="C814" s="10"/>
      <c r="D814" s="18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 x14ac:dyDescent="0.35">
      <c r="A815" s="10"/>
      <c r="B815" s="10"/>
      <c r="C815" s="10"/>
      <c r="D815" s="18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 x14ac:dyDescent="0.35">
      <c r="A816" s="10"/>
      <c r="B816" s="10"/>
      <c r="C816" s="10"/>
      <c r="D816" s="18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 x14ac:dyDescent="0.35">
      <c r="A817" s="10"/>
      <c r="B817" s="10"/>
      <c r="C817" s="10"/>
      <c r="D817" s="18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 x14ac:dyDescent="0.35">
      <c r="A818" s="10"/>
      <c r="B818" s="10"/>
      <c r="C818" s="10"/>
      <c r="D818" s="18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 x14ac:dyDescent="0.35">
      <c r="A819" s="10"/>
      <c r="B819" s="10"/>
      <c r="C819" s="10"/>
      <c r="D819" s="18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 x14ac:dyDescent="0.35">
      <c r="A820" s="10"/>
      <c r="B820" s="10"/>
      <c r="C820" s="10"/>
      <c r="D820" s="18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 x14ac:dyDescent="0.35">
      <c r="A821" s="10"/>
      <c r="B821" s="10"/>
      <c r="C821" s="10"/>
      <c r="D821" s="18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 x14ac:dyDescent="0.35">
      <c r="A822" s="10"/>
      <c r="B822" s="10"/>
      <c r="C822" s="10"/>
      <c r="D822" s="1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 x14ac:dyDescent="0.35">
      <c r="A823" s="10"/>
      <c r="B823" s="10"/>
      <c r="C823" s="10"/>
      <c r="D823" s="18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 x14ac:dyDescent="0.35">
      <c r="A824" s="10"/>
      <c r="B824" s="10"/>
      <c r="C824" s="10"/>
      <c r="D824" s="18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 x14ac:dyDescent="0.35">
      <c r="A825" s="10"/>
      <c r="B825" s="10"/>
      <c r="C825" s="10"/>
      <c r="D825" s="18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 x14ac:dyDescent="0.35">
      <c r="A826" s="10"/>
      <c r="B826" s="10"/>
      <c r="C826" s="10"/>
      <c r="D826" s="18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 x14ac:dyDescent="0.35">
      <c r="A827" s="10"/>
      <c r="B827" s="10"/>
      <c r="C827" s="10"/>
      <c r="D827" s="18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 x14ac:dyDescent="0.35">
      <c r="A828" s="10"/>
      <c r="B828" s="10"/>
      <c r="C828" s="10"/>
      <c r="D828" s="18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 x14ac:dyDescent="0.35">
      <c r="A829" s="10"/>
      <c r="B829" s="10"/>
      <c r="C829" s="10"/>
      <c r="D829" s="18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 x14ac:dyDescent="0.35">
      <c r="A830" s="10"/>
      <c r="B830" s="10"/>
      <c r="C830" s="10"/>
      <c r="D830" s="18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 x14ac:dyDescent="0.35">
      <c r="A831" s="10"/>
      <c r="B831" s="10"/>
      <c r="C831" s="10"/>
      <c r="D831" s="18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 x14ac:dyDescent="0.35">
      <c r="A832" s="10"/>
      <c r="B832" s="10"/>
      <c r="C832" s="10"/>
      <c r="D832" s="18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 x14ac:dyDescent="0.35">
      <c r="A833" s="10"/>
      <c r="B833" s="10"/>
      <c r="C833" s="10"/>
      <c r="D833" s="18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 x14ac:dyDescent="0.35">
      <c r="A834" s="10"/>
      <c r="B834" s="10"/>
      <c r="C834" s="10"/>
      <c r="D834" s="18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 x14ac:dyDescent="0.35">
      <c r="A835" s="10"/>
      <c r="B835" s="10"/>
      <c r="C835" s="10"/>
      <c r="D835" s="18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 x14ac:dyDescent="0.35">
      <c r="A836" s="10"/>
      <c r="B836" s="10"/>
      <c r="C836" s="10"/>
      <c r="D836" s="18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 x14ac:dyDescent="0.35">
      <c r="A837" s="10"/>
      <c r="B837" s="10"/>
      <c r="C837" s="10"/>
      <c r="D837" s="18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 x14ac:dyDescent="0.35">
      <c r="A838" s="10"/>
      <c r="B838" s="10"/>
      <c r="C838" s="10"/>
      <c r="D838" s="18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 x14ac:dyDescent="0.35">
      <c r="A839" s="10"/>
      <c r="B839" s="10"/>
      <c r="C839" s="10"/>
      <c r="D839" s="18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 x14ac:dyDescent="0.35">
      <c r="A840" s="10"/>
      <c r="B840" s="10"/>
      <c r="C840" s="10"/>
      <c r="D840" s="18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 x14ac:dyDescent="0.35">
      <c r="A841" s="10"/>
      <c r="B841" s="10"/>
      <c r="C841" s="10"/>
      <c r="D841" s="18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 x14ac:dyDescent="0.35">
      <c r="A842" s="10"/>
      <c r="B842" s="10"/>
      <c r="C842" s="10"/>
      <c r="D842" s="18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 x14ac:dyDescent="0.35">
      <c r="A843" s="10"/>
      <c r="B843" s="10"/>
      <c r="C843" s="10"/>
      <c r="D843" s="18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 x14ac:dyDescent="0.35">
      <c r="A844" s="10"/>
      <c r="B844" s="10"/>
      <c r="C844" s="10"/>
      <c r="D844" s="18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 x14ac:dyDescent="0.35">
      <c r="A845" s="10"/>
      <c r="B845" s="10"/>
      <c r="C845" s="10"/>
      <c r="D845" s="18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 x14ac:dyDescent="0.35">
      <c r="A846" s="10"/>
      <c r="B846" s="10"/>
      <c r="C846" s="10"/>
      <c r="D846" s="18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 x14ac:dyDescent="0.35">
      <c r="A847" s="10"/>
      <c r="B847" s="10"/>
      <c r="C847" s="10"/>
      <c r="D847" s="18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 x14ac:dyDescent="0.35">
      <c r="A848" s="10"/>
      <c r="B848" s="10"/>
      <c r="C848" s="10"/>
      <c r="D848" s="18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 x14ac:dyDescent="0.35">
      <c r="A849" s="10"/>
      <c r="B849" s="10"/>
      <c r="C849" s="10"/>
      <c r="D849" s="18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 x14ac:dyDescent="0.35">
      <c r="A850" s="10"/>
      <c r="B850" s="10"/>
      <c r="C850" s="10"/>
      <c r="D850" s="18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 x14ac:dyDescent="0.35">
      <c r="A851" s="10"/>
      <c r="B851" s="10"/>
      <c r="C851" s="10"/>
      <c r="D851" s="18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 x14ac:dyDescent="0.35">
      <c r="A852" s="10"/>
      <c r="B852" s="10"/>
      <c r="C852" s="10"/>
      <c r="D852" s="18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 x14ac:dyDescent="0.35">
      <c r="A853" s="10"/>
      <c r="B853" s="10"/>
      <c r="C853" s="10"/>
      <c r="D853" s="18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 x14ac:dyDescent="0.35">
      <c r="A854" s="10"/>
      <c r="B854" s="10"/>
      <c r="C854" s="10"/>
      <c r="D854" s="1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 x14ac:dyDescent="0.35">
      <c r="A855" s="10"/>
      <c r="B855" s="10"/>
      <c r="C855" s="10"/>
      <c r="D855" s="18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 x14ac:dyDescent="0.35">
      <c r="A856" s="10"/>
      <c r="B856" s="10"/>
      <c r="C856" s="10"/>
      <c r="D856" s="18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 x14ac:dyDescent="0.35">
      <c r="A857" s="10"/>
      <c r="B857" s="10"/>
      <c r="C857" s="10"/>
      <c r="D857" s="18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 x14ac:dyDescent="0.35">
      <c r="A858" s="10"/>
      <c r="B858" s="10"/>
      <c r="C858" s="10"/>
      <c r="D858" s="18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 x14ac:dyDescent="0.35">
      <c r="A859" s="10"/>
      <c r="B859" s="10"/>
      <c r="C859" s="10"/>
      <c r="D859" s="18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 x14ac:dyDescent="0.35">
      <c r="A860" s="10"/>
      <c r="B860" s="10"/>
      <c r="C860" s="10"/>
      <c r="D860" s="18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 x14ac:dyDescent="0.35">
      <c r="A861" s="10"/>
      <c r="B861" s="10"/>
      <c r="C861" s="10"/>
      <c r="D861" s="18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 x14ac:dyDescent="0.35">
      <c r="A862" s="10"/>
      <c r="B862" s="10"/>
      <c r="C862" s="10"/>
      <c r="D862" s="18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 x14ac:dyDescent="0.35">
      <c r="A863" s="10"/>
      <c r="B863" s="10"/>
      <c r="C863" s="10"/>
      <c r="D863" s="18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 x14ac:dyDescent="0.35">
      <c r="A864" s="10"/>
      <c r="B864" s="10"/>
      <c r="C864" s="10"/>
      <c r="D864" s="18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 x14ac:dyDescent="0.35">
      <c r="A865" s="10"/>
      <c r="B865" s="10"/>
      <c r="C865" s="10"/>
      <c r="D865" s="18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 x14ac:dyDescent="0.35">
      <c r="A866" s="10"/>
      <c r="B866" s="10"/>
      <c r="C866" s="10"/>
      <c r="D866" s="18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 x14ac:dyDescent="0.35">
      <c r="A867" s="10"/>
      <c r="B867" s="10"/>
      <c r="C867" s="10"/>
      <c r="D867" s="18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 x14ac:dyDescent="0.35">
      <c r="A868" s="10"/>
      <c r="B868" s="10"/>
      <c r="C868" s="10"/>
      <c r="D868" s="18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 x14ac:dyDescent="0.35">
      <c r="A869" s="10"/>
      <c r="B869" s="10"/>
      <c r="C869" s="10"/>
      <c r="D869" s="18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 x14ac:dyDescent="0.35">
      <c r="A870" s="10"/>
      <c r="B870" s="10"/>
      <c r="C870" s="10"/>
      <c r="D870" s="18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 x14ac:dyDescent="0.35">
      <c r="A871" s="10"/>
      <c r="B871" s="10"/>
      <c r="C871" s="10"/>
      <c r="D871" s="18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 x14ac:dyDescent="0.35">
      <c r="A872" s="10"/>
      <c r="B872" s="10"/>
      <c r="C872" s="10"/>
      <c r="D872" s="18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 x14ac:dyDescent="0.35">
      <c r="A873" s="10"/>
      <c r="B873" s="10"/>
      <c r="C873" s="10"/>
      <c r="D873" s="18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 x14ac:dyDescent="0.35">
      <c r="A874" s="10"/>
      <c r="B874" s="10"/>
      <c r="C874" s="10"/>
      <c r="D874" s="18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 x14ac:dyDescent="0.35">
      <c r="A875" s="10"/>
      <c r="B875" s="10"/>
      <c r="C875" s="10"/>
      <c r="D875" s="18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 x14ac:dyDescent="0.35">
      <c r="A876" s="10"/>
      <c r="B876" s="10"/>
      <c r="C876" s="10"/>
      <c r="D876" s="18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 x14ac:dyDescent="0.35">
      <c r="A877" s="10"/>
      <c r="B877" s="10"/>
      <c r="C877" s="10"/>
      <c r="D877" s="18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 x14ac:dyDescent="0.35">
      <c r="A878" s="10"/>
      <c r="B878" s="10"/>
      <c r="C878" s="10"/>
      <c r="D878" s="18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 x14ac:dyDescent="0.35">
      <c r="A879" s="10"/>
      <c r="B879" s="10"/>
      <c r="C879" s="10"/>
      <c r="D879" s="18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 x14ac:dyDescent="0.35">
      <c r="A880" s="10"/>
      <c r="B880" s="10"/>
      <c r="C880" s="10"/>
      <c r="D880" s="18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 x14ac:dyDescent="0.35">
      <c r="A881" s="10"/>
      <c r="B881" s="10"/>
      <c r="C881" s="10"/>
      <c r="D881" s="18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 x14ac:dyDescent="0.35">
      <c r="A882" s="10"/>
      <c r="B882" s="10"/>
      <c r="C882" s="10"/>
      <c r="D882" s="18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 x14ac:dyDescent="0.35">
      <c r="A883" s="10"/>
      <c r="B883" s="10"/>
      <c r="C883" s="10"/>
      <c r="D883" s="18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 x14ac:dyDescent="0.35">
      <c r="A884" s="10"/>
      <c r="B884" s="10"/>
      <c r="C884" s="10"/>
      <c r="D884" s="18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 x14ac:dyDescent="0.35">
      <c r="A885" s="10"/>
      <c r="B885" s="10"/>
      <c r="C885" s="10"/>
      <c r="D885" s="18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 x14ac:dyDescent="0.35">
      <c r="A886" s="10"/>
      <c r="B886" s="10"/>
      <c r="C886" s="10"/>
      <c r="D886" s="1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customHeight="1" x14ac:dyDescent="0.35">
      <c r="A887" s="10"/>
      <c r="B887" s="10"/>
      <c r="C887" s="10"/>
      <c r="D887" s="18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 x14ac:dyDescent="0.35">
      <c r="A888" s="10"/>
      <c r="B888" s="10"/>
      <c r="C888" s="10"/>
      <c r="D888" s="18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 x14ac:dyDescent="0.35">
      <c r="A889" s="10"/>
      <c r="B889" s="10"/>
      <c r="C889" s="10"/>
      <c r="D889" s="18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 x14ac:dyDescent="0.35">
      <c r="A890" s="10"/>
      <c r="B890" s="10"/>
      <c r="C890" s="10"/>
      <c r="D890" s="18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 x14ac:dyDescent="0.35">
      <c r="A891" s="10"/>
      <c r="B891" s="10"/>
      <c r="C891" s="10"/>
      <c r="D891" s="18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 x14ac:dyDescent="0.35">
      <c r="A892" s="10"/>
      <c r="B892" s="10"/>
      <c r="C892" s="10"/>
      <c r="D892" s="18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 x14ac:dyDescent="0.35">
      <c r="A893" s="10"/>
      <c r="B893" s="10"/>
      <c r="C893" s="10"/>
      <c r="D893" s="18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 x14ac:dyDescent="0.35">
      <c r="A894" s="10"/>
      <c r="B894" s="10"/>
      <c r="C894" s="10"/>
      <c r="D894" s="18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 x14ac:dyDescent="0.35">
      <c r="A895" s="10"/>
      <c r="B895" s="10"/>
      <c r="C895" s="10"/>
      <c r="D895" s="18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 x14ac:dyDescent="0.35">
      <c r="A896" s="10"/>
      <c r="B896" s="10"/>
      <c r="C896" s="10"/>
      <c r="D896" s="18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 x14ac:dyDescent="0.35">
      <c r="A897" s="10"/>
      <c r="B897" s="10"/>
      <c r="C897" s="10"/>
      <c r="D897" s="18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 x14ac:dyDescent="0.35">
      <c r="A898" s="10"/>
      <c r="B898" s="10"/>
      <c r="C898" s="10"/>
      <c r="D898" s="18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 x14ac:dyDescent="0.35">
      <c r="A899" s="10"/>
      <c r="B899" s="10"/>
      <c r="C899" s="10"/>
      <c r="D899" s="18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 x14ac:dyDescent="0.35">
      <c r="A900" s="10"/>
      <c r="B900" s="10"/>
      <c r="C900" s="10"/>
      <c r="D900" s="18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 x14ac:dyDescent="0.35">
      <c r="A901" s="10"/>
      <c r="B901" s="10"/>
      <c r="C901" s="10"/>
      <c r="D901" s="18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 x14ac:dyDescent="0.35">
      <c r="A902" s="10"/>
      <c r="B902" s="10"/>
      <c r="C902" s="10"/>
      <c r="D902" s="18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 x14ac:dyDescent="0.35">
      <c r="A903" s="10"/>
      <c r="B903" s="10"/>
      <c r="C903" s="10"/>
      <c r="D903" s="18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 x14ac:dyDescent="0.35">
      <c r="A904" s="10"/>
      <c r="B904" s="10"/>
      <c r="C904" s="10"/>
      <c r="D904" s="18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 x14ac:dyDescent="0.35">
      <c r="A905" s="10"/>
      <c r="B905" s="10"/>
      <c r="C905" s="10"/>
      <c r="D905" s="18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 x14ac:dyDescent="0.35">
      <c r="A906" s="10"/>
      <c r="B906" s="10"/>
      <c r="C906" s="10"/>
      <c r="D906" s="18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 x14ac:dyDescent="0.35">
      <c r="A907" s="10"/>
      <c r="B907" s="10"/>
      <c r="C907" s="10"/>
      <c r="D907" s="18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 x14ac:dyDescent="0.35">
      <c r="A908" s="10"/>
      <c r="B908" s="10"/>
      <c r="C908" s="10"/>
      <c r="D908" s="18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 x14ac:dyDescent="0.35">
      <c r="A909" s="10"/>
      <c r="B909" s="10"/>
      <c r="C909" s="10"/>
      <c r="D909" s="18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 x14ac:dyDescent="0.35">
      <c r="A910" s="10"/>
      <c r="B910" s="10"/>
      <c r="C910" s="10"/>
      <c r="D910" s="18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 x14ac:dyDescent="0.35">
      <c r="A911" s="10"/>
      <c r="B911" s="10"/>
      <c r="C911" s="10"/>
      <c r="D911" s="18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 x14ac:dyDescent="0.35">
      <c r="A912" s="10"/>
      <c r="B912" s="10"/>
      <c r="C912" s="10"/>
      <c r="D912" s="18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 x14ac:dyDescent="0.35">
      <c r="A913" s="10"/>
      <c r="B913" s="10"/>
      <c r="C913" s="10"/>
      <c r="D913" s="18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 x14ac:dyDescent="0.35">
      <c r="A914" s="10"/>
      <c r="B914" s="10"/>
      <c r="C914" s="10"/>
      <c r="D914" s="18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 x14ac:dyDescent="0.35">
      <c r="A915" s="10"/>
      <c r="B915" s="10"/>
      <c r="C915" s="10"/>
      <c r="D915" s="18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 x14ac:dyDescent="0.35">
      <c r="A916" s="10"/>
      <c r="B916" s="10"/>
      <c r="C916" s="10"/>
      <c r="D916" s="18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 x14ac:dyDescent="0.35">
      <c r="A917" s="10"/>
      <c r="B917" s="10"/>
      <c r="C917" s="10"/>
      <c r="D917" s="18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 x14ac:dyDescent="0.35">
      <c r="A918" s="10"/>
      <c r="B918" s="10"/>
      <c r="C918" s="10"/>
      <c r="D918" s="18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 x14ac:dyDescent="0.35">
      <c r="A919" s="10"/>
      <c r="B919" s="10"/>
      <c r="C919" s="10"/>
      <c r="D919" s="18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 x14ac:dyDescent="0.35">
      <c r="A920" s="10"/>
      <c r="B920" s="10"/>
      <c r="C920" s="10"/>
      <c r="D920" s="18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 x14ac:dyDescent="0.35">
      <c r="A921" s="10"/>
      <c r="B921" s="10"/>
      <c r="C921" s="10"/>
      <c r="D921" s="18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 x14ac:dyDescent="0.35">
      <c r="A922" s="10"/>
      <c r="B922" s="10"/>
      <c r="C922" s="10"/>
      <c r="D922" s="18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 x14ac:dyDescent="0.35">
      <c r="A923" s="10"/>
      <c r="B923" s="10"/>
      <c r="C923" s="10"/>
      <c r="D923" s="18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 x14ac:dyDescent="0.35">
      <c r="A924" s="10"/>
      <c r="B924" s="10"/>
      <c r="C924" s="10"/>
      <c r="D924" s="18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 x14ac:dyDescent="0.35">
      <c r="A925" s="10"/>
      <c r="B925" s="10"/>
      <c r="C925" s="10"/>
      <c r="D925" s="18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 x14ac:dyDescent="0.35">
      <c r="A926" s="10"/>
      <c r="B926" s="10"/>
      <c r="C926" s="10"/>
      <c r="D926" s="18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 x14ac:dyDescent="0.35">
      <c r="A927" s="10"/>
      <c r="B927" s="10"/>
      <c r="C927" s="10"/>
      <c r="D927" s="18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 x14ac:dyDescent="0.35">
      <c r="A928" s="10"/>
      <c r="B928" s="10"/>
      <c r="C928" s="10"/>
      <c r="D928" s="18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 x14ac:dyDescent="0.35">
      <c r="A929" s="10"/>
      <c r="B929" s="10"/>
      <c r="C929" s="10"/>
      <c r="D929" s="18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 x14ac:dyDescent="0.35">
      <c r="A930" s="10"/>
      <c r="B930" s="10"/>
      <c r="C930" s="10"/>
      <c r="D930" s="18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 x14ac:dyDescent="0.35">
      <c r="A931" s="10"/>
      <c r="B931" s="10"/>
      <c r="C931" s="10"/>
      <c r="D931" s="18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 x14ac:dyDescent="0.35">
      <c r="A932" s="10"/>
      <c r="B932" s="10"/>
      <c r="C932" s="10"/>
      <c r="D932" s="18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 x14ac:dyDescent="0.35">
      <c r="A933" s="10"/>
      <c r="B933" s="10"/>
      <c r="C933" s="10"/>
      <c r="D933" s="18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 x14ac:dyDescent="0.35">
      <c r="A934" s="10"/>
      <c r="B934" s="10"/>
      <c r="C934" s="10"/>
      <c r="D934" s="18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 x14ac:dyDescent="0.35">
      <c r="A935" s="10"/>
      <c r="B935" s="10"/>
      <c r="C935" s="10"/>
      <c r="D935" s="18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 x14ac:dyDescent="0.35">
      <c r="A936" s="10"/>
      <c r="B936" s="10"/>
      <c r="C936" s="10"/>
      <c r="D936" s="18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 x14ac:dyDescent="0.35">
      <c r="A937" s="10"/>
      <c r="B937" s="10"/>
      <c r="C937" s="10"/>
      <c r="D937" s="18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 x14ac:dyDescent="0.35">
      <c r="A938" s="10"/>
      <c r="B938" s="10"/>
      <c r="C938" s="10"/>
      <c r="D938" s="18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 x14ac:dyDescent="0.35">
      <c r="A939" s="10"/>
      <c r="B939" s="10"/>
      <c r="C939" s="10"/>
      <c r="D939" s="18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 x14ac:dyDescent="0.35">
      <c r="A940" s="10"/>
      <c r="B940" s="10"/>
      <c r="C940" s="10"/>
      <c r="D940" s="18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 x14ac:dyDescent="0.35">
      <c r="A941" s="10"/>
      <c r="B941" s="10"/>
      <c r="C941" s="10"/>
      <c r="D941" s="18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 x14ac:dyDescent="0.35">
      <c r="A942" s="10"/>
      <c r="B942" s="10"/>
      <c r="C942" s="10"/>
      <c r="D942" s="18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 x14ac:dyDescent="0.35">
      <c r="A943" s="10"/>
      <c r="B943" s="10"/>
      <c r="C943" s="10"/>
      <c r="D943" s="18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 x14ac:dyDescent="0.35">
      <c r="A944" s="10"/>
      <c r="B944" s="10"/>
      <c r="C944" s="10"/>
      <c r="D944" s="18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 x14ac:dyDescent="0.35">
      <c r="A945" s="10"/>
      <c r="B945" s="10"/>
      <c r="C945" s="10"/>
      <c r="D945" s="18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 x14ac:dyDescent="0.35">
      <c r="A946" s="10"/>
      <c r="B946" s="10"/>
      <c r="C946" s="10"/>
      <c r="D946" s="18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 x14ac:dyDescent="0.35">
      <c r="A947" s="10"/>
      <c r="B947" s="10"/>
      <c r="C947" s="10"/>
      <c r="D947" s="18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 x14ac:dyDescent="0.35">
      <c r="A948" s="10"/>
      <c r="B948" s="10"/>
      <c r="C948" s="10"/>
      <c r="D948" s="18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 x14ac:dyDescent="0.35">
      <c r="A949" s="10"/>
      <c r="B949" s="10"/>
      <c r="C949" s="10"/>
      <c r="D949" s="18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 x14ac:dyDescent="0.35">
      <c r="A950" s="10"/>
      <c r="B950" s="10"/>
      <c r="C950" s="10"/>
      <c r="D950" s="18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 x14ac:dyDescent="0.35">
      <c r="A951" s="10"/>
      <c r="B951" s="10"/>
      <c r="C951" s="10"/>
      <c r="D951" s="18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 x14ac:dyDescent="0.35">
      <c r="A952" s="10"/>
      <c r="B952" s="10"/>
      <c r="C952" s="10"/>
      <c r="D952" s="18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 x14ac:dyDescent="0.35">
      <c r="A953" s="10"/>
      <c r="B953" s="10"/>
      <c r="C953" s="10"/>
      <c r="D953" s="18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 x14ac:dyDescent="0.35">
      <c r="A954" s="10"/>
      <c r="B954" s="10"/>
      <c r="C954" s="10"/>
      <c r="D954" s="18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 x14ac:dyDescent="0.35">
      <c r="A955" s="10"/>
      <c r="B955" s="10"/>
      <c r="C955" s="10"/>
      <c r="D955" s="18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 x14ac:dyDescent="0.35">
      <c r="A956" s="10"/>
      <c r="B956" s="10"/>
      <c r="C956" s="10"/>
      <c r="D956" s="18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 x14ac:dyDescent="0.35">
      <c r="A957" s="10"/>
      <c r="B957" s="10"/>
      <c r="C957" s="10"/>
      <c r="D957" s="18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 x14ac:dyDescent="0.35">
      <c r="A958" s="10"/>
      <c r="B958" s="10"/>
      <c r="C958" s="10"/>
      <c r="D958" s="18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 x14ac:dyDescent="0.35">
      <c r="A959" s="10"/>
      <c r="B959" s="10"/>
      <c r="C959" s="10"/>
      <c r="D959" s="18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 x14ac:dyDescent="0.35">
      <c r="A960" s="10"/>
      <c r="B960" s="10"/>
      <c r="C960" s="10"/>
      <c r="D960" s="18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 x14ac:dyDescent="0.35">
      <c r="A961" s="10"/>
      <c r="B961" s="10"/>
      <c r="C961" s="10"/>
      <c r="D961" s="18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 x14ac:dyDescent="0.35">
      <c r="A962" s="10"/>
      <c r="B962" s="10"/>
      <c r="C962" s="10"/>
      <c r="D962" s="18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 x14ac:dyDescent="0.35">
      <c r="A963" s="10"/>
      <c r="B963" s="10"/>
      <c r="C963" s="10"/>
      <c r="D963" s="18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 x14ac:dyDescent="0.35">
      <c r="A964" s="10"/>
      <c r="B964" s="10"/>
      <c r="C964" s="10"/>
      <c r="D964" s="18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 x14ac:dyDescent="0.35">
      <c r="A965" s="10"/>
      <c r="B965" s="10"/>
      <c r="C965" s="10"/>
      <c r="D965" s="18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 x14ac:dyDescent="0.35">
      <c r="A966" s="10"/>
      <c r="B966" s="10"/>
      <c r="C966" s="10"/>
      <c r="D966" s="18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 x14ac:dyDescent="0.35">
      <c r="A967" s="10"/>
      <c r="B967" s="10"/>
      <c r="C967" s="10"/>
      <c r="D967" s="18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 x14ac:dyDescent="0.35">
      <c r="A968" s="10"/>
      <c r="B968" s="10"/>
      <c r="C968" s="10"/>
      <c r="D968" s="18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 x14ac:dyDescent="0.35">
      <c r="A969" s="10"/>
      <c r="B969" s="10"/>
      <c r="C969" s="10"/>
      <c r="D969" s="18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 x14ac:dyDescent="0.35">
      <c r="A970" s="10"/>
      <c r="B970" s="10"/>
      <c r="C970" s="10"/>
      <c r="D970" s="18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 x14ac:dyDescent="0.35">
      <c r="A971" s="10"/>
      <c r="B971" s="10"/>
      <c r="C971" s="10"/>
      <c r="D971" s="18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 x14ac:dyDescent="0.35">
      <c r="A972" s="10"/>
      <c r="B972" s="10"/>
      <c r="C972" s="10"/>
      <c r="D972" s="18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 x14ac:dyDescent="0.35">
      <c r="A973" s="10"/>
      <c r="B973" s="10"/>
      <c r="C973" s="10"/>
      <c r="D973" s="18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 x14ac:dyDescent="0.35">
      <c r="A974" s="10"/>
      <c r="B974" s="10"/>
      <c r="C974" s="10"/>
      <c r="D974" s="18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 x14ac:dyDescent="0.35">
      <c r="A975" s="10"/>
      <c r="B975" s="10"/>
      <c r="C975" s="10"/>
      <c r="D975" s="18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 x14ac:dyDescent="0.35">
      <c r="A976" s="10"/>
      <c r="B976" s="10"/>
      <c r="C976" s="10"/>
      <c r="D976" s="18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 x14ac:dyDescent="0.35">
      <c r="A977" s="10"/>
      <c r="B977" s="10"/>
      <c r="C977" s="10"/>
      <c r="D977" s="18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 x14ac:dyDescent="0.35">
      <c r="A978" s="10"/>
      <c r="B978" s="10"/>
      <c r="C978" s="10"/>
      <c r="D978" s="18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 x14ac:dyDescent="0.35">
      <c r="A979" s="10"/>
      <c r="B979" s="10"/>
      <c r="C979" s="10"/>
      <c r="D979" s="18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 x14ac:dyDescent="0.35">
      <c r="A980" s="10"/>
      <c r="B980" s="10"/>
      <c r="C980" s="10"/>
      <c r="D980" s="18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 x14ac:dyDescent="0.35">
      <c r="A981" s="10"/>
      <c r="B981" s="10"/>
      <c r="C981" s="10"/>
      <c r="D981" s="18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 x14ac:dyDescent="0.35">
      <c r="A982" s="10"/>
      <c r="B982" s="10"/>
      <c r="C982" s="10"/>
      <c r="D982" s="18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 x14ac:dyDescent="0.35">
      <c r="A983" s="10"/>
      <c r="B983" s="10"/>
      <c r="C983" s="10"/>
      <c r="D983" s="18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 x14ac:dyDescent="0.35">
      <c r="A984" s="10"/>
      <c r="B984" s="10"/>
      <c r="C984" s="10"/>
      <c r="D984" s="18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 x14ac:dyDescent="0.35">
      <c r="A985" s="10"/>
      <c r="B985" s="10"/>
      <c r="C985" s="10"/>
      <c r="D985" s="18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 x14ac:dyDescent="0.35">
      <c r="A986" s="10"/>
      <c r="B986" s="10"/>
      <c r="C986" s="10"/>
      <c r="D986" s="18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 x14ac:dyDescent="0.35">
      <c r="A987" s="10"/>
      <c r="B987" s="10"/>
      <c r="C987" s="10"/>
      <c r="D987" s="18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 x14ac:dyDescent="0.35">
      <c r="A988" s="10"/>
      <c r="B988" s="10"/>
      <c r="C988" s="10"/>
      <c r="D988" s="18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 x14ac:dyDescent="0.35">
      <c r="A989" s="10"/>
      <c r="B989" s="10"/>
      <c r="C989" s="10"/>
      <c r="D989" s="18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 x14ac:dyDescent="0.35">
      <c r="A990" s="10"/>
      <c r="B990" s="10"/>
      <c r="C990" s="10"/>
      <c r="D990" s="18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 x14ac:dyDescent="0.35">
      <c r="A991" s="10"/>
      <c r="B991" s="10"/>
      <c r="C991" s="10"/>
      <c r="D991" s="18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 x14ac:dyDescent="0.35">
      <c r="A992" s="10"/>
      <c r="B992" s="10"/>
      <c r="C992" s="10"/>
      <c r="D992" s="18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 x14ac:dyDescent="0.35">
      <c r="A993" s="10"/>
      <c r="B993" s="10"/>
      <c r="C993" s="10"/>
      <c r="D993" s="18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 x14ac:dyDescent="0.35">
      <c r="A994" s="10"/>
      <c r="B994" s="10"/>
      <c r="C994" s="10"/>
      <c r="D994" s="18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 x14ac:dyDescent="0.35">
      <c r="A995" s="10"/>
      <c r="B995" s="10"/>
      <c r="C995" s="10"/>
      <c r="D995" s="18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 x14ac:dyDescent="0.35">
      <c r="A996" s="10"/>
      <c r="B996" s="10"/>
      <c r="C996" s="10"/>
      <c r="D996" s="18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 x14ac:dyDescent="0.35">
      <c r="A997" s="10"/>
      <c r="B997" s="10"/>
      <c r="C997" s="10"/>
      <c r="D997" s="18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 x14ac:dyDescent="0.35">
      <c r="A998" s="10"/>
      <c r="B998" s="10"/>
      <c r="C998" s="10"/>
      <c r="D998" s="18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 x14ac:dyDescent="0.35">
      <c r="A999" s="10"/>
      <c r="B999" s="10"/>
      <c r="C999" s="10"/>
      <c r="D999" s="18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 x14ac:dyDescent="0.35">
      <c r="A1000" s="10"/>
      <c r="B1000" s="10"/>
      <c r="C1000" s="10"/>
      <c r="D1000" s="18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A2:J783" xr:uid="{00000000-0009-0000-0000-000001000000}"/>
  <conditionalFormatting sqref="J3:J76">
    <cfRule type="notContainsBlanks" dxfId="124" priority="1">
      <formula>LEN(TRIM(J3))&gt;0</formula>
    </cfRule>
  </conditionalFormatting>
  <conditionalFormatting sqref="J3:J76">
    <cfRule type="containsBlanks" dxfId="123" priority="2">
      <formula>LEN(TRIM(J3))=0</formula>
    </cfRule>
  </conditionalFormatting>
  <conditionalFormatting sqref="A22:F76 H22:I76">
    <cfRule type="containsBlanks" dxfId="122" priority="3">
      <formula>LEN(TRIM(A22))=0</formula>
    </cfRule>
  </conditionalFormatting>
  <conditionalFormatting sqref="I3:I76">
    <cfRule type="containsText" dxfId="121" priority="4" operator="containsText" text="BOLETO">
      <formula>NOT(ISERROR(SEARCH(("BOLETO"),(I3))))</formula>
    </cfRule>
  </conditionalFormatting>
  <conditionalFormatting sqref="I3:I76">
    <cfRule type="containsText" dxfId="120" priority="5" operator="containsText" text="CARTÃO ">
      <formula>NOT(ISERROR(SEARCH(("CARTÃO "),(I3))))</formula>
    </cfRule>
  </conditionalFormatting>
  <conditionalFormatting sqref="I3:I76">
    <cfRule type="containsText" dxfId="119" priority="6" operator="containsText" text="DEP C/C">
      <formula>NOT(ISERROR(SEARCH(("DEP C/C"),(I3))))</formula>
    </cfRule>
  </conditionalFormatting>
  <conditionalFormatting sqref="G3:I3 G4:G76 G78:G80 H4:I21">
    <cfRule type="containsBlanks" dxfId="118" priority="7">
      <formula>LEN(TRIM(G3))=0</formula>
    </cfRule>
  </conditionalFormatting>
  <conditionalFormatting sqref="C3:C21">
    <cfRule type="containsBlanks" dxfId="117" priority="8">
      <formula>LEN(TRIM(C3))=0</formula>
    </cfRule>
  </conditionalFormatting>
  <conditionalFormatting sqref="C3:C76">
    <cfRule type="containsText" dxfId="116" priority="9" stopIfTrue="1" operator="containsText" text="PENDENTE">
      <formula>NOT(ISERROR(SEARCH(("PENDENTE"),(C3))))</formula>
    </cfRule>
  </conditionalFormatting>
  <conditionalFormatting sqref="B12:B76">
    <cfRule type="timePeriod" dxfId="115" priority="10" timePeriod="yesterday">
      <formula>FLOOR(B12,1)=TODAY()-1</formula>
    </cfRule>
  </conditionalFormatting>
  <conditionalFormatting sqref="B3:B11">
    <cfRule type="timePeriod" dxfId="114" priority="11" timePeriod="yesterday">
      <formula>FLOOR(B3,1)=TODAY()-1</formula>
    </cfRule>
  </conditionalFormatting>
  <conditionalFormatting sqref="B13">
    <cfRule type="timePeriod" dxfId="113" priority="12" timePeriod="today">
      <formula>FLOOR(B13,1)=TODAY()</formula>
    </cfRule>
  </conditionalFormatting>
  <pageMargins left="0.511811024" right="0.511811024" top="0.78740157499999996" bottom="0.78740157499999996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>
      <pane ySplit="2" topLeftCell="A3" activePane="bottomLeft" state="frozen"/>
      <selection activeCell="F19" sqref="F19"/>
      <selection pane="bottomLeft" activeCell="F19" sqref="F19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3.8164062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18" customHeight="1" x14ac:dyDescent="0.35">
      <c r="A1" s="32"/>
      <c r="B1" s="32"/>
      <c r="C1" s="32"/>
      <c r="D1" s="32"/>
      <c r="E1" s="1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35">
      <c r="A9" s="34"/>
      <c r="B9" s="34"/>
      <c r="C9" s="34"/>
      <c r="D9" s="35"/>
      <c r="E9" s="36"/>
      <c r="F9" s="37"/>
      <c r="G9" s="37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 x14ac:dyDescent="0.35">
      <c r="A16" s="11"/>
      <c r="B16" s="11"/>
      <c r="C16" s="11"/>
      <c r="D16" s="5"/>
      <c r="E16" s="8"/>
      <c r="F16" s="12"/>
      <c r="G16" s="12"/>
      <c r="H16" s="5"/>
      <c r="I16" s="5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35">
      <c r="A22" s="11"/>
      <c r="B22" s="11"/>
      <c r="C22" s="38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35">
      <c r="A25" s="11"/>
      <c r="B25" s="11"/>
      <c r="C25" s="11"/>
      <c r="D25" s="5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5">
      <c r="A35" s="11"/>
      <c r="B35" s="11"/>
      <c r="C35" s="11"/>
      <c r="D35" s="5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35">
      <c r="A36" s="11"/>
      <c r="B36" s="11"/>
      <c r="C36" s="38"/>
      <c r="D36" s="5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35">
      <c r="A38" s="39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35">
      <c r="A40" s="39"/>
      <c r="B40" s="11"/>
      <c r="C40" s="38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5">
      <c r="A41" s="39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35">
      <c r="A42" s="39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5">
      <c r="A45" s="11"/>
      <c r="B45" s="11"/>
      <c r="C45" s="11"/>
      <c r="D45" s="5"/>
      <c r="E45" s="8"/>
      <c r="F45" s="12"/>
      <c r="G45" s="12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35">
      <c r="A51" s="40"/>
      <c r="B51" s="40"/>
      <c r="C51" s="40"/>
      <c r="D51" s="41"/>
      <c r="E51" s="42"/>
      <c r="F51" s="43"/>
      <c r="G51" s="43"/>
      <c r="H51" s="41"/>
      <c r="I51" s="41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35">
      <c r="A53" s="11">
        <v>46105</v>
      </c>
      <c r="B53" s="11">
        <v>46161</v>
      </c>
      <c r="C53" s="11" t="s">
        <v>27</v>
      </c>
      <c r="D53" s="5" t="s">
        <v>36</v>
      </c>
      <c r="E53" s="8" t="s">
        <v>35</v>
      </c>
      <c r="F53" s="12">
        <v>4087.5</v>
      </c>
      <c r="G53" s="12">
        <f t="shared" ref="G35:G76" si="0">IF(OR(C53 = "",C53="PENDENTE"), 0, IF(OR(C53&lt;=B53,H53=1),F53,(F53*0.1966/100)*(C53-B53)+F53))</f>
        <v>0</v>
      </c>
      <c r="H53" s="5"/>
      <c r="I53" s="5" t="s">
        <v>10</v>
      </c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5">
      <c r="A54" s="11">
        <v>46106</v>
      </c>
      <c r="B54" s="11">
        <v>46134</v>
      </c>
      <c r="C54" s="11">
        <v>46134</v>
      </c>
      <c r="D54" s="5">
        <v>23733</v>
      </c>
      <c r="E54" s="8" t="s">
        <v>37</v>
      </c>
      <c r="F54" s="12">
        <v>3149</v>
      </c>
      <c r="G54" s="12">
        <f t="shared" si="0"/>
        <v>3149</v>
      </c>
      <c r="H54" s="5"/>
      <c r="I54" s="5" t="s">
        <v>12</v>
      </c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35">
      <c r="A55" s="11">
        <v>46106</v>
      </c>
      <c r="B55" s="11">
        <v>46134</v>
      </c>
      <c r="C55" s="11">
        <v>46134</v>
      </c>
      <c r="D55" s="5">
        <v>23734</v>
      </c>
      <c r="E55" s="8" t="s">
        <v>38</v>
      </c>
      <c r="F55" s="12">
        <v>1258</v>
      </c>
      <c r="G55" s="12">
        <f t="shared" si="0"/>
        <v>1258</v>
      </c>
      <c r="H55" s="5"/>
      <c r="I55" s="5" t="s">
        <v>12</v>
      </c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35">
      <c r="A56" s="11">
        <v>46107</v>
      </c>
      <c r="B56" s="11">
        <v>46142</v>
      </c>
      <c r="C56" s="11" t="s">
        <v>27</v>
      </c>
      <c r="D56" s="5">
        <v>23735</v>
      </c>
      <c r="E56" s="8" t="s">
        <v>22</v>
      </c>
      <c r="F56" s="12">
        <v>1476.11</v>
      </c>
      <c r="G56" s="12">
        <f t="shared" si="0"/>
        <v>0</v>
      </c>
      <c r="H56" s="5"/>
      <c r="I56" s="5" t="s">
        <v>10</v>
      </c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5">
      <c r="A57" s="11">
        <v>46107</v>
      </c>
      <c r="B57" s="11">
        <v>46149</v>
      </c>
      <c r="C57" s="11" t="s">
        <v>27</v>
      </c>
      <c r="D57" s="5">
        <v>23736</v>
      </c>
      <c r="E57" s="8" t="s">
        <v>39</v>
      </c>
      <c r="F57" s="12">
        <v>3076</v>
      </c>
      <c r="G57" s="12">
        <f t="shared" si="0"/>
        <v>0</v>
      </c>
      <c r="H57" s="5"/>
      <c r="I57" s="5" t="s">
        <v>10</v>
      </c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5">
      <c r="A58" s="11">
        <v>46107</v>
      </c>
      <c r="B58" s="11">
        <v>46142</v>
      </c>
      <c r="C58" s="11" t="s">
        <v>27</v>
      </c>
      <c r="D58" s="5">
        <v>23737</v>
      </c>
      <c r="E58" s="8" t="s">
        <v>22</v>
      </c>
      <c r="F58" s="12">
        <v>1118</v>
      </c>
      <c r="G58" s="12">
        <f t="shared" si="0"/>
        <v>0</v>
      </c>
      <c r="H58" s="5"/>
      <c r="I58" s="5" t="s">
        <v>10</v>
      </c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5">
      <c r="A59" s="11">
        <v>46107</v>
      </c>
      <c r="B59" s="11">
        <v>46167</v>
      </c>
      <c r="C59" s="11" t="s">
        <v>27</v>
      </c>
      <c r="D59" s="5">
        <v>23738</v>
      </c>
      <c r="E59" s="8" t="s">
        <v>40</v>
      </c>
      <c r="F59" s="12">
        <v>942</v>
      </c>
      <c r="G59" s="12">
        <f t="shared" si="0"/>
        <v>0</v>
      </c>
      <c r="H59" s="5"/>
      <c r="I59" s="5" t="s">
        <v>12</v>
      </c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5">
      <c r="A60" s="11">
        <v>46107</v>
      </c>
      <c r="B60" s="11">
        <v>46167</v>
      </c>
      <c r="C60" s="11" t="s">
        <v>27</v>
      </c>
      <c r="D60" s="5">
        <v>23739</v>
      </c>
      <c r="E60" s="8" t="s">
        <v>41</v>
      </c>
      <c r="F60" s="12">
        <v>1832.2</v>
      </c>
      <c r="G60" s="12">
        <f t="shared" si="0"/>
        <v>0</v>
      </c>
      <c r="H60" s="5"/>
      <c r="I60" s="5" t="s">
        <v>12</v>
      </c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5">
      <c r="A61" s="11">
        <v>46111</v>
      </c>
      <c r="B61" s="11">
        <v>46139</v>
      </c>
      <c r="C61" s="11" t="s">
        <v>27</v>
      </c>
      <c r="D61" s="5">
        <v>23740</v>
      </c>
      <c r="E61" s="8" t="s">
        <v>42</v>
      </c>
      <c r="F61" s="12">
        <v>2754</v>
      </c>
      <c r="G61" s="12">
        <f t="shared" si="0"/>
        <v>0</v>
      </c>
      <c r="H61" s="5"/>
      <c r="I61" s="5" t="s">
        <v>10</v>
      </c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5">
      <c r="A62" s="11">
        <v>46111</v>
      </c>
      <c r="B62" s="11">
        <v>46139</v>
      </c>
      <c r="C62" s="11">
        <v>46134</v>
      </c>
      <c r="D62" s="5">
        <v>23741</v>
      </c>
      <c r="E62" s="8" t="s">
        <v>43</v>
      </c>
      <c r="F62" s="12">
        <v>4642</v>
      </c>
      <c r="G62" s="12">
        <f t="shared" si="0"/>
        <v>4642</v>
      </c>
      <c r="H62" s="5"/>
      <c r="I62" s="5" t="s">
        <v>12</v>
      </c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5">
      <c r="A63" s="11">
        <v>46111</v>
      </c>
      <c r="B63" s="11">
        <v>46139</v>
      </c>
      <c r="C63" s="11" t="s">
        <v>27</v>
      </c>
      <c r="D63" s="5">
        <v>23742</v>
      </c>
      <c r="E63" s="8" t="s">
        <v>35</v>
      </c>
      <c r="F63" s="12">
        <v>1333</v>
      </c>
      <c r="G63" s="12">
        <f t="shared" si="0"/>
        <v>0</v>
      </c>
      <c r="H63" s="5"/>
      <c r="I63" s="5" t="s">
        <v>10</v>
      </c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5">
      <c r="A77" s="44"/>
      <c r="B77" s="19"/>
      <c r="C77" s="19"/>
      <c r="D77" s="18"/>
      <c r="E77" s="20"/>
      <c r="F77" s="21">
        <f t="shared" ref="F77:G77" si="1">SUM(F3:F76)</f>
        <v>25667.81</v>
      </c>
      <c r="G77" s="21">
        <f t="shared" si="1"/>
        <v>9049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5">
      <c r="A78" s="44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5">
      <c r="A79" s="44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5">
      <c r="A80" s="44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44"/>
      <c r="B81" s="19"/>
      <c r="C81" s="19"/>
      <c r="D81" s="18"/>
      <c r="E81" s="20"/>
      <c r="F81" s="23"/>
      <c r="G81" s="23"/>
      <c r="H81" s="18"/>
      <c r="I81" s="18"/>
      <c r="J81" s="18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44"/>
      <c r="B82" s="19"/>
      <c r="C82" s="19"/>
      <c r="D82" s="18"/>
      <c r="E82" s="20"/>
      <c r="F82" s="23"/>
      <c r="G82" s="23"/>
      <c r="H82" s="18"/>
      <c r="I82" s="18"/>
      <c r="J82" s="18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44"/>
      <c r="B83" s="19"/>
      <c r="C83" s="19"/>
      <c r="D83" s="18"/>
      <c r="E83" s="20"/>
      <c r="F83" s="23"/>
      <c r="G83" s="23"/>
      <c r="H83" s="18"/>
      <c r="I83" s="18"/>
      <c r="J83" s="18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44"/>
      <c r="B84" s="19"/>
      <c r="C84" s="19"/>
      <c r="D84" s="18"/>
      <c r="E84" s="20"/>
      <c r="F84" s="23"/>
      <c r="G84" s="23"/>
      <c r="H84" s="18"/>
      <c r="I84" s="18"/>
      <c r="J84" s="18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44"/>
      <c r="B85" s="19"/>
      <c r="C85" s="19"/>
      <c r="D85" s="18"/>
      <c r="E85" s="20"/>
      <c r="F85" s="23"/>
      <c r="G85" s="23"/>
      <c r="H85" s="18"/>
      <c r="I85" s="18"/>
      <c r="J85" s="18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44"/>
      <c r="B86" s="19"/>
      <c r="C86" s="19"/>
      <c r="D86" s="18"/>
      <c r="E86" s="20"/>
      <c r="F86" s="23"/>
      <c r="G86" s="23"/>
      <c r="H86" s="18"/>
      <c r="I86" s="18"/>
      <c r="J86" s="18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44"/>
      <c r="B87" s="19"/>
      <c r="C87" s="19"/>
      <c r="D87" s="18"/>
      <c r="E87" s="20"/>
      <c r="F87" s="23"/>
      <c r="G87" s="23"/>
      <c r="H87" s="18"/>
      <c r="I87" s="18"/>
      <c r="J87" s="18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44"/>
      <c r="B88" s="19"/>
      <c r="C88" s="19"/>
      <c r="D88" s="18"/>
      <c r="E88" s="20"/>
      <c r="F88" s="23"/>
      <c r="G88" s="23"/>
      <c r="H88" s="18"/>
      <c r="I88" s="18"/>
      <c r="J88" s="18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44"/>
      <c r="B89" s="19"/>
      <c r="C89" s="19"/>
      <c r="D89" s="18"/>
      <c r="E89" s="20"/>
      <c r="F89" s="23"/>
      <c r="G89" s="23"/>
      <c r="H89" s="18"/>
      <c r="I89" s="18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44"/>
      <c r="B90" s="19"/>
      <c r="C90" s="19"/>
      <c r="D90" s="18"/>
      <c r="E90" s="20"/>
      <c r="F90" s="23"/>
      <c r="G90" s="23"/>
      <c r="H90" s="18"/>
      <c r="I90" s="18"/>
      <c r="J90" s="18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44"/>
      <c r="B91" s="19"/>
      <c r="C91" s="19"/>
      <c r="D91" s="18"/>
      <c r="E91" s="20"/>
      <c r="F91" s="23"/>
      <c r="G91" s="23"/>
      <c r="H91" s="18"/>
      <c r="I91" s="18"/>
      <c r="J91" s="18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44"/>
      <c r="B92" s="19"/>
      <c r="C92" s="19"/>
      <c r="D92" s="18"/>
      <c r="E92" s="20"/>
      <c r="F92" s="23"/>
      <c r="G92" s="23"/>
      <c r="H92" s="18"/>
      <c r="I92" s="18"/>
      <c r="J92" s="18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44"/>
      <c r="B93" s="19"/>
      <c r="C93" s="19"/>
      <c r="D93" s="18"/>
      <c r="E93" s="20"/>
      <c r="F93" s="23"/>
      <c r="G93" s="23"/>
      <c r="H93" s="18"/>
      <c r="I93" s="18"/>
      <c r="J93" s="18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44"/>
      <c r="B94" s="19"/>
      <c r="C94" s="19"/>
      <c r="D94" s="18"/>
      <c r="E94" s="20"/>
      <c r="F94" s="23"/>
      <c r="G94" s="23"/>
      <c r="H94" s="18"/>
      <c r="I94" s="18"/>
      <c r="J94" s="18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44"/>
      <c r="B95" s="19"/>
      <c r="C95" s="19"/>
      <c r="D95" s="18"/>
      <c r="E95" s="20"/>
      <c r="F95" s="23"/>
      <c r="G95" s="23"/>
      <c r="H95" s="18"/>
      <c r="I95" s="18"/>
      <c r="J95" s="18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44"/>
      <c r="B96" s="19"/>
      <c r="C96" s="19"/>
      <c r="D96" s="18"/>
      <c r="E96" s="20"/>
      <c r="F96" s="23"/>
      <c r="G96" s="23"/>
      <c r="H96" s="18"/>
      <c r="I96" s="18"/>
      <c r="J96" s="18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44"/>
      <c r="B97" s="19"/>
      <c r="C97" s="19"/>
      <c r="D97" s="18"/>
      <c r="E97" s="20"/>
      <c r="F97" s="23"/>
      <c r="G97" s="23"/>
      <c r="H97" s="18"/>
      <c r="I97" s="18"/>
      <c r="J97" s="18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44"/>
      <c r="B98" s="19"/>
      <c r="C98" s="19"/>
      <c r="D98" s="18"/>
      <c r="E98" s="20"/>
      <c r="F98" s="23"/>
      <c r="G98" s="23"/>
      <c r="H98" s="18"/>
      <c r="I98" s="18"/>
      <c r="J98" s="18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44"/>
      <c r="B99" s="19"/>
      <c r="C99" s="19"/>
      <c r="D99" s="18"/>
      <c r="E99" s="20"/>
      <c r="F99" s="23"/>
      <c r="G99" s="23"/>
      <c r="H99" s="18"/>
      <c r="I99" s="18"/>
      <c r="J99" s="18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44"/>
      <c r="B100" s="19"/>
      <c r="C100" s="19"/>
      <c r="D100" s="18"/>
      <c r="E100" s="20"/>
      <c r="F100" s="23"/>
      <c r="G100" s="23"/>
      <c r="H100" s="18"/>
      <c r="I100" s="18"/>
      <c r="J100" s="18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44"/>
      <c r="B101" s="19"/>
      <c r="C101" s="19"/>
      <c r="D101" s="18"/>
      <c r="E101" s="20"/>
      <c r="F101" s="23"/>
      <c r="G101" s="23"/>
      <c r="H101" s="18"/>
      <c r="I101" s="18"/>
      <c r="J101" s="18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44"/>
      <c r="B102" s="19"/>
      <c r="C102" s="19"/>
      <c r="D102" s="18"/>
      <c r="E102" s="20"/>
      <c r="F102" s="23"/>
      <c r="G102" s="23"/>
      <c r="H102" s="18"/>
      <c r="I102" s="18"/>
      <c r="J102" s="18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44"/>
      <c r="B103" s="19"/>
      <c r="C103" s="19"/>
      <c r="D103" s="18"/>
      <c r="E103" s="20"/>
      <c r="F103" s="23"/>
      <c r="G103" s="23"/>
      <c r="H103" s="18"/>
      <c r="I103" s="18"/>
      <c r="J103" s="18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44"/>
      <c r="B104" s="19"/>
      <c r="C104" s="19"/>
      <c r="D104" s="18"/>
      <c r="E104" s="20"/>
      <c r="F104" s="23"/>
      <c r="G104" s="23"/>
      <c r="H104" s="18"/>
      <c r="I104" s="18"/>
      <c r="J104" s="18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44"/>
      <c r="B105" s="19"/>
      <c r="C105" s="19"/>
      <c r="D105" s="18"/>
      <c r="E105" s="20"/>
      <c r="F105" s="23"/>
      <c r="G105" s="23"/>
      <c r="H105" s="18"/>
      <c r="I105" s="18"/>
      <c r="J105" s="18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5">
      <c r="A106" s="44"/>
      <c r="B106" s="19"/>
      <c r="C106" s="19"/>
      <c r="D106" s="18"/>
      <c r="E106" s="20"/>
      <c r="F106" s="23"/>
      <c r="G106" s="23"/>
      <c r="H106" s="18"/>
      <c r="I106" s="18"/>
      <c r="J106" s="18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5">
      <c r="A107" s="44"/>
      <c r="B107" s="19"/>
      <c r="C107" s="19"/>
      <c r="D107" s="18"/>
      <c r="E107" s="20"/>
      <c r="F107" s="23"/>
      <c r="G107" s="23"/>
      <c r="H107" s="18"/>
      <c r="I107" s="18"/>
      <c r="J107" s="18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5">
      <c r="A108" s="44"/>
      <c r="B108" s="19"/>
      <c r="C108" s="19"/>
      <c r="D108" s="18"/>
      <c r="E108" s="20"/>
      <c r="F108" s="23"/>
      <c r="G108" s="23"/>
      <c r="H108" s="18"/>
      <c r="I108" s="18"/>
      <c r="J108" s="18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5">
      <c r="A109" s="44"/>
      <c r="B109" s="19"/>
      <c r="C109" s="19"/>
      <c r="D109" s="18"/>
      <c r="E109" s="20"/>
      <c r="F109" s="23"/>
      <c r="G109" s="23"/>
      <c r="H109" s="18"/>
      <c r="I109" s="18"/>
      <c r="J109" s="18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5">
      <c r="A110" s="44"/>
      <c r="B110" s="19"/>
      <c r="C110" s="19"/>
      <c r="D110" s="18"/>
      <c r="E110" s="20"/>
      <c r="F110" s="23"/>
      <c r="G110" s="23"/>
      <c r="H110" s="18"/>
      <c r="I110" s="18"/>
      <c r="J110" s="18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5">
      <c r="A111" s="44"/>
      <c r="B111" s="19"/>
      <c r="C111" s="19"/>
      <c r="D111" s="18"/>
      <c r="E111" s="20"/>
      <c r="F111" s="23"/>
      <c r="G111" s="23"/>
      <c r="H111" s="18"/>
      <c r="I111" s="18"/>
      <c r="J111" s="18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5">
      <c r="A112" s="44"/>
      <c r="B112" s="19"/>
      <c r="C112" s="19"/>
      <c r="D112" s="18"/>
      <c r="E112" s="20"/>
      <c r="F112" s="23"/>
      <c r="G112" s="23"/>
      <c r="H112" s="18"/>
      <c r="I112" s="18"/>
      <c r="J112" s="18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5">
      <c r="A113" s="44"/>
      <c r="B113" s="19"/>
      <c r="C113" s="19"/>
      <c r="D113" s="18"/>
      <c r="E113" s="20"/>
      <c r="F113" s="23"/>
      <c r="G113" s="23"/>
      <c r="H113" s="18"/>
      <c r="I113" s="18"/>
      <c r="J113" s="18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5">
      <c r="A114" s="44"/>
      <c r="B114" s="19"/>
      <c r="C114" s="19"/>
      <c r="D114" s="18"/>
      <c r="E114" s="20"/>
      <c r="F114" s="23"/>
      <c r="G114" s="23"/>
      <c r="H114" s="18"/>
      <c r="I114" s="18"/>
      <c r="J114" s="18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5">
      <c r="A115" s="44"/>
      <c r="B115" s="19"/>
      <c r="C115" s="19"/>
      <c r="D115" s="18"/>
      <c r="E115" s="20"/>
      <c r="F115" s="23"/>
      <c r="G115" s="23"/>
      <c r="H115" s="18"/>
      <c r="I115" s="18"/>
      <c r="J115" s="18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5">
      <c r="A116" s="44"/>
      <c r="B116" s="19"/>
      <c r="C116" s="19"/>
      <c r="D116" s="18"/>
      <c r="E116" s="20"/>
      <c r="F116" s="23"/>
      <c r="G116" s="23"/>
      <c r="H116" s="18"/>
      <c r="I116" s="18"/>
      <c r="J116" s="18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5">
      <c r="A117" s="44"/>
      <c r="B117" s="19"/>
      <c r="C117" s="19"/>
      <c r="D117" s="18"/>
      <c r="E117" s="20"/>
      <c r="F117" s="23"/>
      <c r="G117" s="23"/>
      <c r="H117" s="18"/>
      <c r="I117" s="18"/>
      <c r="J117" s="18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5">
      <c r="A118" s="44"/>
      <c r="B118" s="19"/>
      <c r="C118" s="19"/>
      <c r="D118" s="18"/>
      <c r="E118" s="20"/>
      <c r="F118" s="23"/>
      <c r="G118" s="23"/>
      <c r="H118" s="18"/>
      <c r="I118" s="18"/>
      <c r="J118" s="18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5">
      <c r="A119" s="44"/>
      <c r="B119" s="19"/>
      <c r="C119" s="19"/>
      <c r="D119" s="18"/>
      <c r="E119" s="20"/>
      <c r="F119" s="23"/>
      <c r="G119" s="23"/>
      <c r="H119" s="18"/>
      <c r="I119" s="18"/>
      <c r="J119" s="18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5">
      <c r="A120" s="44"/>
      <c r="B120" s="19"/>
      <c r="C120" s="19"/>
      <c r="D120" s="18"/>
      <c r="E120" s="20"/>
      <c r="F120" s="23"/>
      <c r="G120" s="23"/>
      <c r="H120" s="18"/>
      <c r="I120" s="18"/>
      <c r="J120" s="18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5">
      <c r="A121" s="44"/>
      <c r="B121" s="19"/>
      <c r="C121" s="19"/>
      <c r="D121" s="18"/>
      <c r="E121" s="20"/>
      <c r="F121" s="23"/>
      <c r="G121" s="23"/>
      <c r="H121" s="18"/>
      <c r="I121" s="18"/>
      <c r="J121" s="18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5">
      <c r="A122" s="44"/>
      <c r="B122" s="19"/>
      <c r="C122" s="19"/>
      <c r="D122" s="18"/>
      <c r="E122" s="20"/>
      <c r="F122" s="23"/>
      <c r="G122" s="23"/>
      <c r="H122" s="18"/>
      <c r="I122" s="18"/>
      <c r="J122" s="18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5">
      <c r="A123" s="44"/>
      <c r="B123" s="19"/>
      <c r="C123" s="19"/>
      <c r="D123" s="18"/>
      <c r="E123" s="20"/>
      <c r="F123" s="23"/>
      <c r="G123" s="23"/>
      <c r="H123" s="18"/>
      <c r="I123" s="18"/>
      <c r="J123" s="18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5">
      <c r="A124" s="45"/>
      <c r="B124" s="25"/>
      <c r="C124" s="25"/>
      <c r="D124" s="26"/>
      <c r="E124" s="27"/>
      <c r="F124" s="28"/>
      <c r="G124" s="28"/>
      <c r="H124" s="26"/>
      <c r="I124" s="26"/>
      <c r="J124" s="26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 x14ac:dyDescent="0.35">
      <c r="A125" s="44"/>
      <c r="B125" s="19"/>
      <c r="C125" s="19"/>
      <c r="D125" s="18"/>
      <c r="E125" s="20"/>
      <c r="F125" s="23"/>
      <c r="G125" s="23"/>
      <c r="H125" s="18"/>
      <c r="I125" s="18"/>
      <c r="J125" s="18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5">
      <c r="A126" s="44"/>
      <c r="B126" s="19"/>
      <c r="C126" s="19"/>
      <c r="D126" s="18"/>
      <c r="E126" s="20"/>
      <c r="F126" s="23"/>
      <c r="G126" s="23"/>
      <c r="H126" s="18"/>
      <c r="I126" s="18"/>
      <c r="J126" s="18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5">
      <c r="A127" s="44"/>
      <c r="B127" s="19"/>
      <c r="C127" s="19"/>
      <c r="D127" s="18"/>
      <c r="E127" s="20"/>
      <c r="F127" s="23"/>
      <c r="G127" s="23"/>
      <c r="H127" s="18"/>
      <c r="I127" s="18"/>
      <c r="J127" s="18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5">
      <c r="A128" s="44"/>
      <c r="B128" s="19"/>
      <c r="C128" s="19"/>
      <c r="D128" s="18"/>
      <c r="E128" s="20"/>
      <c r="F128" s="23"/>
      <c r="G128" s="23"/>
      <c r="H128" s="18"/>
      <c r="I128" s="18"/>
      <c r="J128" s="18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5">
      <c r="A129" s="44"/>
      <c r="B129" s="19"/>
      <c r="C129" s="19"/>
      <c r="D129" s="18"/>
      <c r="E129" s="20"/>
      <c r="F129" s="23"/>
      <c r="G129" s="23"/>
      <c r="H129" s="18"/>
      <c r="I129" s="18"/>
      <c r="J129" s="18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5">
      <c r="A130" s="44"/>
      <c r="B130" s="19"/>
      <c r="C130" s="19"/>
      <c r="D130" s="18"/>
      <c r="E130" s="20"/>
      <c r="F130" s="23"/>
      <c r="G130" s="23"/>
      <c r="H130" s="18"/>
      <c r="I130" s="18"/>
      <c r="J130" s="18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5">
      <c r="A131" s="44"/>
      <c r="B131" s="19"/>
      <c r="C131" s="19"/>
      <c r="D131" s="18"/>
      <c r="E131" s="20"/>
      <c r="F131" s="23"/>
      <c r="G131" s="23"/>
      <c r="H131" s="18"/>
      <c r="I131" s="18"/>
      <c r="J131" s="18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5">
      <c r="A132" s="45"/>
      <c r="B132" s="25"/>
      <c r="C132" s="25"/>
      <c r="D132" s="26"/>
      <c r="E132" s="27"/>
      <c r="F132" s="28"/>
      <c r="G132" s="28"/>
      <c r="H132" s="26"/>
      <c r="I132" s="26"/>
      <c r="J132" s="26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 x14ac:dyDescent="0.35">
      <c r="A133" s="44"/>
      <c r="B133" s="19"/>
      <c r="C133" s="19"/>
      <c r="D133" s="18"/>
      <c r="E133" s="20"/>
      <c r="F133" s="23"/>
      <c r="G133" s="30"/>
      <c r="H133" s="24"/>
      <c r="I133" s="18"/>
      <c r="J133" s="24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5">
      <c r="A134" s="44"/>
      <c r="B134" s="19"/>
      <c r="C134" s="19"/>
      <c r="D134" s="18"/>
      <c r="E134" s="20"/>
      <c r="F134" s="23"/>
      <c r="G134" s="23"/>
      <c r="H134" s="18"/>
      <c r="I134" s="18"/>
      <c r="J134" s="18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5">
      <c r="A135" s="44"/>
      <c r="B135" s="19"/>
      <c r="C135" s="19"/>
      <c r="D135" s="18"/>
      <c r="E135" s="20"/>
      <c r="F135" s="23"/>
      <c r="G135" s="23"/>
      <c r="H135" s="18"/>
      <c r="I135" s="18"/>
      <c r="J135" s="18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5">
      <c r="A136" s="44"/>
      <c r="B136" s="19"/>
      <c r="C136" s="19"/>
      <c r="D136" s="18"/>
      <c r="E136" s="20"/>
      <c r="F136" s="23"/>
      <c r="G136" s="23"/>
      <c r="H136" s="18"/>
      <c r="I136" s="18"/>
      <c r="J136" s="18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5">
      <c r="A137" s="44"/>
      <c r="B137" s="19"/>
      <c r="C137" s="19"/>
      <c r="D137" s="18"/>
      <c r="E137" s="20"/>
      <c r="F137" s="23"/>
      <c r="G137" s="23"/>
      <c r="H137" s="18"/>
      <c r="I137" s="18"/>
      <c r="J137" s="18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5">
      <c r="A138" s="44"/>
      <c r="B138" s="19"/>
      <c r="C138" s="19"/>
      <c r="D138" s="18"/>
      <c r="E138" s="20"/>
      <c r="F138" s="23"/>
      <c r="G138" s="23"/>
      <c r="H138" s="18"/>
      <c r="I138" s="18"/>
      <c r="J138" s="18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5">
      <c r="A139" s="44"/>
      <c r="B139" s="19"/>
      <c r="C139" s="19"/>
      <c r="D139" s="18"/>
      <c r="E139" s="20"/>
      <c r="F139" s="23"/>
      <c r="G139" s="23"/>
      <c r="H139" s="18"/>
      <c r="I139" s="18"/>
      <c r="J139" s="18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5">
      <c r="A140" s="44"/>
      <c r="B140" s="19"/>
      <c r="C140" s="19"/>
      <c r="D140" s="18"/>
      <c r="E140" s="20"/>
      <c r="F140" s="23"/>
      <c r="G140" s="23"/>
      <c r="H140" s="18"/>
      <c r="I140" s="18"/>
      <c r="J140" s="18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5">
      <c r="A141" s="44"/>
      <c r="B141" s="19"/>
      <c r="C141" s="19"/>
      <c r="D141" s="18"/>
      <c r="E141" s="20"/>
      <c r="F141" s="23"/>
      <c r="G141" s="23"/>
      <c r="H141" s="18"/>
      <c r="I141" s="18"/>
      <c r="J141" s="18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5">
      <c r="A142" s="44"/>
      <c r="B142" s="19"/>
      <c r="C142" s="19"/>
      <c r="D142" s="18"/>
      <c r="E142" s="20"/>
      <c r="F142" s="23"/>
      <c r="G142" s="23"/>
      <c r="H142" s="18"/>
      <c r="I142" s="18"/>
      <c r="J142" s="18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5">
      <c r="A143" s="44"/>
      <c r="B143" s="19"/>
      <c r="C143" s="19"/>
      <c r="D143" s="18"/>
      <c r="E143" s="20"/>
      <c r="F143" s="23"/>
      <c r="G143" s="23"/>
      <c r="H143" s="18"/>
      <c r="I143" s="18"/>
      <c r="J143" s="18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5">
      <c r="A144" s="44"/>
      <c r="B144" s="19"/>
      <c r="C144" s="19"/>
      <c r="D144" s="18"/>
      <c r="E144" s="20"/>
      <c r="F144" s="23"/>
      <c r="G144" s="23"/>
      <c r="H144" s="18"/>
      <c r="I144" s="18"/>
      <c r="J144" s="18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5">
      <c r="A145" s="44"/>
      <c r="B145" s="19"/>
      <c r="C145" s="19"/>
      <c r="D145" s="18"/>
      <c r="E145" s="20"/>
      <c r="F145" s="23"/>
      <c r="G145" s="23"/>
      <c r="H145" s="18"/>
      <c r="I145" s="18"/>
      <c r="J145" s="18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5">
      <c r="A146" s="44"/>
      <c r="B146" s="19"/>
      <c r="C146" s="19"/>
      <c r="D146" s="18"/>
      <c r="E146" s="20"/>
      <c r="F146" s="23"/>
      <c r="G146" s="23"/>
      <c r="H146" s="18"/>
      <c r="I146" s="18"/>
      <c r="J146" s="18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5">
      <c r="A147" s="44"/>
      <c r="B147" s="19"/>
      <c r="C147" s="19"/>
      <c r="D147" s="18"/>
      <c r="E147" s="20"/>
      <c r="F147" s="23"/>
      <c r="G147" s="23"/>
      <c r="H147" s="18"/>
      <c r="I147" s="18"/>
      <c r="J147" s="18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5">
      <c r="A148" s="44"/>
      <c r="B148" s="19"/>
      <c r="C148" s="19"/>
      <c r="D148" s="18"/>
      <c r="E148" s="20"/>
      <c r="F148" s="23"/>
      <c r="G148" s="23"/>
      <c r="H148" s="18"/>
      <c r="I148" s="18"/>
      <c r="J148" s="18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5">
      <c r="A149" s="44"/>
      <c r="B149" s="19"/>
      <c r="C149" s="19"/>
      <c r="D149" s="18"/>
      <c r="E149" s="20"/>
      <c r="F149" s="23"/>
      <c r="G149" s="23"/>
      <c r="H149" s="18"/>
      <c r="I149" s="18"/>
      <c r="J149" s="18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5">
      <c r="A150" s="44"/>
      <c r="B150" s="19"/>
      <c r="C150" s="19"/>
      <c r="D150" s="18"/>
      <c r="E150" s="20"/>
      <c r="F150" s="23"/>
      <c r="G150" s="23"/>
      <c r="H150" s="18"/>
      <c r="I150" s="18"/>
      <c r="J150" s="18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5">
      <c r="A151" s="44"/>
      <c r="B151" s="19"/>
      <c r="C151" s="19"/>
      <c r="D151" s="18"/>
      <c r="E151" s="20"/>
      <c r="F151" s="23"/>
      <c r="G151" s="23"/>
      <c r="H151" s="18"/>
      <c r="I151" s="18"/>
      <c r="J151" s="18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5">
      <c r="A152" s="44"/>
      <c r="B152" s="19"/>
      <c r="C152" s="19"/>
      <c r="D152" s="18"/>
      <c r="E152" s="20"/>
      <c r="F152" s="23"/>
      <c r="G152" s="23"/>
      <c r="H152" s="18"/>
      <c r="I152" s="18"/>
      <c r="J152" s="18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5">
      <c r="A153" s="44"/>
      <c r="B153" s="19"/>
      <c r="C153" s="19"/>
      <c r="D153" s="18"/>
      <c r="E153" s="20"/>
      <c r="F153" s="23"/>
      <c r="G153" s="23"/>
      <c r="H153" s="18"/>
      <c r="I153" s="18"/>
      <c r="J153" s="18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5">
      <c r="A154" s="44"/>
      <c r="B154" s="19"/>
      <c r="C154" s="19"/>
      <c r="D154" s="18"/>
      <c r="E154" s="20"/>
      <c r="F154" s="23"/>
      <c r="G154" s="23"/>
      <c r="H154" s="18"/>
      <c r="I154" s="18"/>
      <c r="J154" s="18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5">
      <c r="A155" s="44"/>
      <c r="B155" s="19"/>
      <c r="C155" s="19"/>
      <c r="D155" s="18"/>
      <c r="E155" s="20"/>
      <c r="F155" s="23"/>
      <c r="G155" s="23"/>
      <c r="H155" s="18"/>
      <c r="I155" s="18"/>
      <c r="J155" s="18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5">
      <c r="A156" s="44"/>
      <c r="B156" s="19"/>
      <c r="C156" s="19"/>
      <c r="D156" s="18"/>
      <c r="E156" s="20"/>
      <c r="F156" s="23"/>
      <c r="G156" s="23"/>
      <c r="H156" s="18"/>
      <c r="I156" s="18"/>
      <c r="J156" s="18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5">
      <c r="A157" s="44"/>
      <c r="B157" s="19"/>
      <c r="C157" s="19"/>
      <c r="D157" s="18"/>
      <c r="E157" s="20"/>
      <c r="F157" s="23"/>
      <c r="G157" s="23"/>
      <c r="H157" s="18"/>
      <c r="I157" s="18"/>
      <c r="J157" s="18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5">
      <c r="A158" s="44"/>
      <c r="B158" s="19"/>
      <c r="C158" s="19"/>
      <c r="D158" s="18"/>
      <c r="E158" s="20"/>
      <c r="F158" s="23"/>
      <c r="G158" s="23"/>
      <c r="H158" s="18"/>
      <c r="I158" s="18"/>
      <c r="J158" s="18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5">
      <c r="A159" s="44"/>
      <c r="B159" s="19"/>
      <c r="C159" s="19"/>
      <c r="D159" s="18"/>
      <c r="E159" s="20"/>
      <c r="F159" s="23"/>
      <c r="G159" s="23"/>
      <c r="H159" s="18"/>
      <c r="I159" s="18"/>
      <c r="J159" s="18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5">
      <c r="A160" s="44"/>
      <c r="B160" s="19"/>
      <c r="C160" s="19"/>
      <c r="D160" s="18"/>
      <c r="E160" s="20"/>
      <c r="F160" s="23"/>
      <c r="G160" s="23"/>
      <c r="H160" s="18"/>
      <c r="I160" s="18"/>
      <c r="J160" s="18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5">
      <c r="A161" s="44"/>
      <c r="B161" s="19"/>
      <c r="C161" s="19"/>
      <c r="D161" s="18"/>
      <c r="E161" s="20"/>
      <c r="F161" s="23"/>
      <c r="G161" s="23"/>
      <c r="H161" s="18"/>
      <c r="I161" s="18"/>
      <c r="J161" s="18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5">
      <c r="A162" s="44"/>
      <c r="B162" s="19"/>
      <c r="C162" s="19"/>
      <c r="D162" s="18"/>
      <c r="E162" s="20"/>
      <c r="F162" s="23"/>
      <c r="G162" s="23"/>
      <c r="H162" s="18"/>
      <c r="I162" s="18"/>
      <c r="J162" s="18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5">
      <c r="A163" s="44"/>
      <c r="B163" s="19"/>
      <c r="C163" s="19"/>
      <c r="D163" s="18"/>
      <c r="E163" s="20"/>
      <c r="F163" s="23"/>
      <c r="G163" s="23"/>
      <c r="H163" s="18"/>
      <c r="I163" s="18"/>
      <c r="J163" s="18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5">
      <c r="A164" s="44"/>
      <c r="B164" s="19"/>
      <c r="C164" s="19"/>
      <c r="D164" s="18"/>
      <c r="E164" s="20"/>
      <c r="F164" s="23"/>
      <c r="G164" s="23"/>
      <c r="H164" s="18"/>
      <c r="I164" s="18"/>
      <c r="J164" s="18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5">
      <c r="A165" s="44"/>
      <c r="B165" s="19"/>
      <c r="C165" s="19"/>
      <c r="D165" s="18"/>
      <c r="E165" s="20"/>
      <c r="F165" s="23"/>
      <c r="G165" s="23"/>
      <c r="H165" s="18"/>
      <c r="I165" s="18"/>
      <c r="J165" s="18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5">
      <c r="A166" s="44"/>
      <c r="B166" s="19"/>
      <c r="C166" s="19"/>
      <c r="D166" s="18"/>
      <c r="E166" s="20"/>
      <c r="F166" s="23"/>
      <c r="G166" s="23"/>
      <c r="H166" s="18"/>
      <c r="I166" s="18"/>
      <c r="J166" s="18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5">
      <c r="A167" s="44"/>
      <c r="B167" s="19"/>
      <c r="C167" s="19"/>
      <c r="D167" s="18"/>
      <c r="E167" s="20"/>
      <c r="F167" s="23"/>
      <c r="G167" s="23"/>
      <c r="H167" s="18"/>
      <c r="I167" s="18"/>
      <c r="J167" s="18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5">
      <c r="A168" s="44"/>
      <c r="B168" s="19"/>
      <c r="C168" s="19"/>
      <c r="D168" s="18"/>
      <c r="E168" s="20"/>
      <c r="F168" s="23"/>
      <c r="G168" s="23"/>
      <c r="H168" s="18"/>
      <c r="I168" s="18"/>
      <c r="J168" s="18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5">
      <c r="A169" s="44"/>
      <c r="B169" s="19"/>
      <c r="C169" s="19"/>
      <c r="D169" s="18"/>
      <c r="E169" s="20"/>
      <c r="F169" s="23"/>
      <c r="G169" s="23"/>
      <c r="H169" s="18"/>
      <c r="I169" s="18"/>
      <c r="J169" s="18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5">
      <c r="A170" s="44"/>
      <c r="B170" s="19"/>
      <c r="C170" s="19"/>
      <c r="D170" s="18"/>
      <c r="E170" s="20"/>
      <c r="F170" s="23"/>
      <c r="G170" s="23"/>
      <c r="H170" s="18"/>
      <c r="I170" s="18"/>
      <c r="J170" s="18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5">
      <c r="A171" s="44"/>
      <c r="B171" s="19"/>
      <c r="C171" s="19"/>
      <c r="D171" s="18"/>
      <c r="E171" s="20"/>
      <c r="F171" s="23"/>
      <c r="G171" s="23"/>
      <c r="H171" s="18"/>
      <c r="I171" s="18"/>
      <c r="J171" s="18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5">
      <c r="A172" s="45"/>
      <c r="B172" s="25"/>
      <c r="C172" s="25"/>
      <c r="D172" s="26"/>
      <c r="E172" s="27"/>
      <c r="F172" s="28"/>
      <c r="G172" s="28"/>
      <c r="H172" s="26"/>
      <c r="I172" s="26"/>
      <c r="J172" s="26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 x14ac:dyDescent="0.35">
      <c r="A173" s="44"/>
      <c r="B173" s="19"/>
      <c r="C173" s="19"/>
      <c r="D173" s="18"/>
      <c r="E173" s="20"/>
      <c r="F173" s="23"/>
      <c r="G173" s="23"/>
      <c r="H173" s="18"/>
      <c r="I173" s="18"/>
      <c r="J173" s="18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5">
      <c r="A174" s="44"/>
      <c r="B174" s="19"/>
      <c r="C174" s="19"/>
      <c r="D174" s="18"/>
      <c r="E174" s="20"/>
      <c r="F174" s="23"/>
      <c r="G174" s="23"/>
      <c r="H174" s="18"/>
      <c r="I174" s="18"/>
      <c r="J174" s="18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5">
      <c r="A175" s="44"/>
      <c r="B175" s="19"/>
      <c r="C175" s="19"/>
      <c r="D175" s="18"/>
      <c r="E175" s="20"/>
      <c r="F175" s="23"/>
      <c r="G175" s="23"/>
      <c r="H175" s="18"/>
      <c r="I175" s="18"/>
      <c r="J175" s="24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5">
      <c r="A176" s="44"/>
      <c r="B176" s="19"/>
      <c r="C176" s="19"/>
      <c r="D176" s="18"/>
      <c r="E176" s="20"/>
      <c r="F176" s="23"/>
      <c r="G176" s="23"/>
      <c r="H176" s="18"/>
      <c r="I176" s="18"/>
      <c r="J176" s="24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5">
      <c r="A177" s="44"/>
      <c r="B177" s="19"/>
      <c r="C177" s="19"/>
      <c r="D177" s="18"/>
      <c r="E177" s="20"/>
      <c r="F177" s="23"/>
      <c r="G177" s="23"/>
      <c r="H177" s="18"/>
      <c r="I177" s="18"/>
      <c r="J177" s="24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5">
      <c r="A178" s="44"/>
      <c r="B178" s="19"/>
      <c r="C178" s="19"/>
      <c r="D178" s="18"/>
      <c r="E178" s="20"/>
      <c r="F178" s="23"/>
      <c r="G178" s="23"/>
      <c r="H178" s="18"/>
      <c r="I178" s="18"/>
      <c r="J178" s="24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5">
      <c r="A179" s="44"/>
      <c r="B179" s="19"/>
      <c r="C179" s="19"/>
      <c r="D179" s="18"/>
      <c r="E179" s="20"/>
      <c r="F179" s="23"/>
      <c r="G179" s="23"/>
      <c r="H179" s="18"/>
      <c r="I179" s="18"/>
      <c r="J179" s="24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5">
      <c r="A180" s="44"/>
      <c r="B180" s="19"/>
      <c r="C180" s="19"/>
      <c r="D180" s="18"/>
      <c r="E180" s="20"/>
      <c r="F180" s="23"/>
      <c r="G180" s="23"/>
      <c r="H180" s="18"/>
      <c r="I180" s="18"/>
      <c r="J180" s="24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5">
      <c r="A181" s="44"/>
      <c r="B181" s="19"/>
      <c r="C181" s="19"/>
      <c r="D181" s="18"/>
      <c r="E181" s="20"/>
      <c r="F181" s="23"/>
      <c r="G181" s="23"/>
      <c r="H181" s="18"/>
      <c r="I181" s="18"/>
      <c r="J181" s="24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5">
      <c r="A182" s="44"/>
      <c r="B182" s="19"/>
      <c r="C182" s="19"/>
      <c r="D182" s="18"/>
      <c r="E182" s="20"/>
      <c r="F182" s="23"/>
      <c r="G182" s="23"/>
      <c r="H182" s="18"/>
      <c r="I182" s="18"/>
      <c r="J182" s="24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5">
      <c r="A183" s="44"/>
      <c r="B183" s="19"/>
      <c r="C183" s="19"/>
      <c r="D183" s="18"/>
      <c r="E183" s="20"/>
      <c r="F183" s="23"/>
      <c r="G183" s="23"/>
      <c r="H183" s="18"/>
      <c r="I183" s="18"/>
      <c r="J183" s="24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5">
      <c r="A184" s="44"/>
      <c r="B184" s="19"/>
      <c r="C184" s="19"/>
      <c r="D184" s="18"/>
      <c r="E184" s="20"/>
      <c r="F184" s="23"/>
      <c r="G184" s="23"/>
      <c r="H184" s="18"/>
      <c r="I184" s="18"/>
      <c r="J184" s="24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5">
      <c r="A185" s="44"/>
      <c r="B185" s="19"/>
      <c r="C185" s="19"/>
      <c r="D185" s="18"/>
      <c r="E185" s="20"/>
      <c r="F185" s="23"/>
      <c r="G185" s="23"/>
      <c r="H185" s="18"/>
      <c r="I185" s="18"/>
      <c r="J185" s="24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5">
      <c r="A186" s="44"/>
      <c r="B186" s="19"/>
      <c r="C186" s="19"/>
      <c r="D186" s="18"/>
      <c r="E186" s="20"/>
      <c r="F186" s="23"/>
      <c r="G186" s="23"/>
      <c r="H186" s="18"/>
      <c r="I186" s="18"/>
      <c r="J186" s="24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5">
      <c r="A187" s="44"/>
      <c r="B187" s="19"/>
      <c r="C187" s="19"/>
      <c r="D187" s="18"/>
      <c r="E187" s="20"/>
      <c r="F187" s="23"/>
      <c r="G187" s="23"/>
      <c r="H187" s="18"/>
      <c r="I187" s="18"/>
      <c r="J187" s="24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5">
      <c r="A188" s="44"/>
      <c r="B188" s="19"/>
      <c r="C188" s="19"/>
      <c r="D188" s="18"/>
      <c r="E188" s="20"/>
      <c r="F188" s="23"/>
      <c r="G188" s="23"/>
      <c r="H188" s="18"/>
      <c r="I188" s="18"/>
      <c r="J188" s="24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5">
      <c r="A189" s="44"/>
      <c r="B189" s="19"/>
      <c r="C189" s="19"/>
      <c r="D189" s="18"/>
      <c r="E189" s="20"/>
      <c r="F189" s="23"/>
      <c r="G189" s="23"/>
      <c r="H189" s="18"/>
      <c r="I189" s="18"/>
      <c r="J189" s="24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5">
      <c r="A190" s="44"/>
      <c r="B190" s="19"/>
      <c r="C190" s="19"/>
      <c r="D190" s="18"/>
      <c r="E190" s="20"/>
      <c r="F190" s="23"/>
      <c r="G190" s="23"/>
      <c r="H190" s="18"/>
      <c r="I190" s="18"/>
      <c r="J190" s="24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5">
      <c r="A191" s="44"/>
      <c r="B191" s="19"/>
      <c r="C191" s="19"/>
      <c r="D191" s="18"/>
      <c r="E191" s="20"/>
      <c r="F191" s="23"/>
      <c r="G191" s="23"/>
      <c r="H191" s="18"/>
      <c r="I191" s="18"/>
      <c r="J191" s="24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5">
      <c r="A192" s="44"/>
      <c r="B192" s="19"/>
      <c r="C192" s="19"/>
      <c r="D192" s="18"/>
      <c r="E192" s="20"/>
      <c r="F192" s="23"/>
      <c r="G192" s="23"/>
      <c r="H192" s="18"/>
      <c r="I192" s="18"/>
      <c r="J192" s="24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5">
      <c r="A193" s="44"/>
      <c r="B193" s="19"/>
      <c r="C193" s="19"/>
      <c r="D193" s="18"/>
      <c r="E193" s="20"/>
      <c r="F193" s="23"/>
      <c r="G193" s="23"/>
      <c r="H193" s="18"/>
      <c r="I193" s="18"/>
      <c r="J193" s="24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5">
      <c r="A194" s="44"/>
      <c r="B194" s="19"/>
      <c r="C194" s="19"/>
      <c r="D194" s="18"/>
      <c r="E194" s="20"/>
      <c r="F194" s="23"/>
      <c r="G194" s="23"/>
      <c r="H194" s="18"/>
      <c r="I194" s="18"/>
      <c r="J194" s="24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5">
      <c r="A195" s="44"/>
      <c r="B195" s="19"/>
      <c r="C195" s="19"/>
      <c r="D195" s="18"/>
      <c r="E195" s="20"/>
      <c r="F195" s="23"/>
      <c r="G195" s="23"/>
      <c r="H195" s="18"/>
      <c r="I195" s="18"/>
      <c r="J195" s="24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5">
      <c r="A196" s="44"/>
      <c r="B196" s="19"/>
      <c r="C196" s="19"/>
      <c r="D196" s="18"/>
      <c r="E196" s="20"/>
      <c r="F196" s="23"/>
      <c r="G196" s="23"/>
      <c r="H196" s="18"/>
      <c r="I196" s="18"/>
      <c r="J196" s="24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5">
      <c r="A197" s="44"/>
      <c r="B197" s="19"/>
      <c r="C197" s="19"/>
      <c r="D197" s="18"/>
      <c r="E197" s="20"/>
      <c r="F197" s="23"/>
      <c r="G197" s="23"/>
      <c r="H197" s="18"/>
      <c r="I197" s="18"/>
      <c r="J197" s="24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5">
      <c r="A198" s="44"/>
      <c r="B198" s="19"/>
      <c r="C198" s="19"/>
      <c r="D198" s="18"/>
      <c r="E198" s="20"/>
      <c r="F198" s="23"/>
      <c r="G198" s="23"/>
      <c r="H198" s="18"/>
      <c r="I198" s="18"/>
      <c r="J198" s="24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5">
      <c r="A199" s="44"/>
      <c r="B199" s="19"/>
      <c r="C199" s="19"/>
      <c r="D199" s="18"/>
      <c r="E199" s="20"/>
      <c r="F199" s="23"/>
      <c r="G199" s="23"/>
      <c r="H199" s="18"/>
      <c r="I199" s="18"/>
      <c r="J199" s="24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5">
      <c r="A200" s="44"/>
      <c r="B200" s="19"/>
      <c r="C200" s="19"/>
      <c r="D200" s="18"/>
      <c r="E200" s="20"/>
      <c r="F200" s="23"/>
      <c r="G200" s="23"/>
      <c r="H200" s="18"/>
      <c r="I200" s="18"/>
      <c r="J200" s="24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5">
      <c r="A201" s="44"/>
      <c r="B201" s="19"/>
      <c r="C201" s="19"/>
      <c r="D201" s="18"/>
      <c r="E201" s="20"/>
      <c r="F201" s="23"/>
      <c r="G201" s="23"/>
      <c r="H201" s="18"/>
      <c r="I201" s="18"/>
      <c r="J201" s="24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5">
      <c r="A202" s="44"/>
      <c r="B202" s="19"/>
      <c r="C202" s="19"/>
      <c r="D202" s="18"/>
      <c r="E202" s="20"/>
      <c r="F202" s="23"/>
      <c r="G202" s="23"/>
      <c r="H202" s="18"/>
      <c r="I202" s="18"/>
      <c r="J202" s="24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5">
      <c r="A203" s="44"/>
      <c r="B203" s="19"/>
      <c r="C203" s="19"/>
      <c r="D203" s="18"/>
      <c r="E203" s="20"/>
      <c r="F203" s="23"/>
      <c r="G203" s="23"/>
      <c r="H203" s="18"/>
      <c r="I203" s="18"/>
      <c r="J203" s="24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5">
      <c r="A204" s="44"/>
      <c r="B204" s="19"/>
      <c r="C204" s="19"/>
      <c r="D204" s="18"/>
      <c r="E204" s="20"/>
      <c r="F204" s="23"/>
      <c r="G204" s="23"/>
      <c r="H204" s="18"/>
      <c r="I204" s="18"/>
      <c r="J204" s="24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5">
      <c r="A205" s="44"/>
      <c r="B205" s="19"/>
      <c r="C205" s="19"/>
      <c r="D205" s="18"/>
      <c r="E205" s="20"/>
      <c r="F205" s="23"/>
      <c r="G205" s="23"/>
      <c r="H205" s="18"/>
      <c r="I205" s="18"/>
      <c r="J205" s="24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5">
      <c r="A206" s="44"/>
      <c r="B206" s="19"/>
      <c r="C206" s="19"/>
      <c r="D206" s="18"/>
      <c r="E206" s="20"/>
      <c r="F206" s="23"/>
      <c r="G206" s="23"/>
      <c r="H206" s="18"/>
      <c r="I206" s="18"/>
      <c r="J206" s="24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5">
      <c r="A207" s="44"/>
      <c r="B207" s="19"/>
      <c r="C207" s="19"/>
      <c r="D207" s="18"/>
      <c r="E207" s="20"/>
      <c r="F207" s="23"/>
      <c r="G207" s="23"/>
      <c r="H207" s="18"/>
      <c r="I207" s="18"/>
      <c r="J207" s="24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5">
      <c r="A208" s="44"/>
      <c r="B208" s="19"/>
      <c r="C208" s="19"/>
      <c r="D208" s="18"/>
      <c r="E208" s="20"/>
      <c r="F208" s="23"/>
      <c r="G208" s="23"/>
      <c r="H208" s="18"/>
      <c r="I208" s="18"/>
      <c r="J208" s="24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5">
      <c r="A209" s="44"/>
      <c r="B209" s="19"/>
      <c r="C209" s="19"/>
      <c r="D209" s="18"/>
      <c r="E209" s="20"/>
      <c r="F209" s="23"/>
      <c r="G209" s="23"/>
      <c r="H209" s="18"/>
      <c r="I209" s="18"/>
      <c r="J209" s="24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5">
      <c r="A210" s="44"/>
      <c r="B210" s="19"/>
      <c r="C210" s="19"/>
      <c r="D210" s="18"/>
      <c r="E210" s="20"/>
      <c r="F210" s="23"/>
      <c r="G210" s="23"/>
      <c r="H210" s="18"/>
      <c r="I210" s="18"/>
      <c r="J210" s="24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5">
      <c r="A211" s="44"/>
      <c r="B211" s="19"/>
      <c r="C211" s="19"/>
      <c r="D211" s="18"/>
      <c r="E211" s="20"/>
      <c r="F211" s="23"/>
      <c r="G211" s="23"/>
      <c r="H211" s="18"/>
      <c r="I211" s="18"/>
      <c r="J211" s="24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5">
      <c r="A212" s="44"/>
      <c r="B212" s="19"/>
      <c r="C212" s="19"/>
      <c r="D212" s="18"/>
      <c r="E212" s="20"/>
      <c r="F212" s="23"/>
      <c r="G212" s="23"/>
      <c r="H212" s="18"/>
      <c r="I212" s="18"/>
      <c r="J212" s="24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5">
      <c r="A213" s="44"/>
      <c r="B213" s="19"/>
      <c r="C213" s="19"/>
      <c r="D213" s="18"/>
      <c r="E213" s="20"/>
      <c r="F213" s="23"/>
      <c r="G213" s="23"/>
      <c r="H213" s="18"/>
      <c r="I213" s="18"/>
      <c r="J213" s="24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5">
      <c r="A214" s="44"/>
      <c r="B214" s="19"/>
      <c r="C214" s="19"/>
      <c r="D214" s="18"/>
      <c r="E214" s="20"/>
      <c r="F214" s="23"/>
      <c r="G214" s="23"/>
      <c r="H214" s="18"/>
      <c r="I214" s="18"/>
      <c r="J214" s="24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5">
      <c r="A215" s="44"/>
      <c r="B215" s="19"/>
      <c r="C215" s="19"/>
      <c r="D215" s="18"/>
      <c r="E215" s="20"/>
      <c r="F215" s="23"/>
      <c r="G215" s="23"/>
      <c r="H215" s="18"/>
      <c r="I215" s="18"/>
      <c r="J215" s="24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5">
      <c r="A216" s="44"/>
      <c r="B216" s="19"/>
      <c r="C216" s="19"/>
      <c r="D216" s="18"/>
      <c r="E216" s="20"/>
      <c r="F216" s="23"/>
      <c r="G216" s="23"/>
      <c r="H216" s="18"/>
      <c r="I216" s="18"/>
      <c r="J216" s="24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5">
      <c r="A217" s="44"/>
      <c r="B217" s="19"/>
      <c r="C217" s="19"/>
      <c r="D217" s="18"/>
      <c r="E217" s="20"/>
      <c r="F217" s="23"/>
      <c r="G217" s="23"/>
      <c r="H217" s="18"/>
      <c r="I217" s="18"/>
      <c r="J217" s="24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5">
      <c r="A218" s="44"/>
      <c r="B218" s="19"/>
      <c r="C218" s="19"/>
      <c r="D218" s="18"/>
      <c r="E218" s="20"/>
      <c r="F218" s="23"/>
      <c r="G218" s="23"/>
      <c r="H218" s="18"/>
      <c r="I218" s="18"/>
      <c r="J218" s="24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5">
      <c r="A219" s="44"/>
      <c r="B219" s="19"/>
      <c r="C219" s="19"/>
      <c r="D219" s="18"/>
      <c r="E219" s="20"/>
      <c r="F219" s="23"/>
      <c r="G219" s="23"/>
      <c r="H219" s="18"/>
      <c r="I219" s="18"/>
      <c r="J219" s="24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5">
      <c r="A220" s="44"/>
      <c r="B220" s="19"/>
      <c r="C220" s="19"/>
      <c r="D220" s="18"/>
      <c r="E220" s="20"/>
      <c r="F220" s="23"/>
      <c r="G220" s="23"/>
      <c r="H220" s="18"/>
      <c r="I220" s="18"/>
      <c r="J220" s="24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5">
      <c r="A221" s="44"/>
      <c r="B221" s="19"/>
      <c r="C221" s="19"/>
      <c r="D221" s="18"/>
      <c r="E221" s="20"/>
      <c r="F221" s="23"/>
      <c r="G221" s="23"/>
      <c r="H221" s="18"/>
      <c r="I221" s="18"/>
      <c r="J221" s="24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5">
      <c r="A222" s="44"/>
      <c r="B222" s="19"/>
      <c r="C222" s="19"/>
      <c r="D222" s="18"/>
      <c r="E222" s="20"/>
      <c r="F222" s="23"/>
      <c r="G222" s="23"/>
      <c r="H222" s="18"/>
      <c r="I222" s="18"/>
      <c r="J222" s="24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5">
      <c r="A223" s="44"/>
      <c r="B223" s="19"/>
      <c r="C223" s="19"/>
      <c r="D223" s="18"/>
      <c r="E223" s="20"/>
      <c r="F223" s="23"/>
      <c r="G223" s="23"/>
      <c r="H223" s="18"/>
      <c r="I223" s="18"/>
      <c r="J223" s="24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5">
      <c r="A224" s="44"/>
      <c r="B224" s="19"/>
      <c r="C224" s="19"/>
      <c r="D224" s="18"/>
      <c r="E224" s="20"/>
      <c r="F224" s="23"/>
      <c r="G224" s="23"/>
      <c r="H224" s="18"/>
      <c r="I224" s="18"/>
      <c r="J224" s="24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5">
      <c r="A225" s="44"/>
      <c r="B225" s="19"/>
      <c r="C225" s="19"/>
      <c r="D225" s="18"/>
      <c r="E225" s="20"/>
      <c r="F225" s="23"/>
      <c r="G225" s="23"/>
      <c r="H225" s="18"/>
      <c r="I225" s="18"/>
      <c r="J225" s="24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5">
      <c r="A226" s="44"/>
      <c r="B226" s="19"/>
      <c r="C226" s="19"/>
      <c r="D226" s="18"/>
      <c r="E226" s="20"/>
      <c r="F226" s="23"/>
      <c r="G226" s="23"/>
      <c r="H226" s="18"/>
      <c r="I226" s="18"/>
      <c r="J226" s="24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5">
      <c r="A227" s="44"/>
      <c r="B227" s="19"/>
      <c r="C227" s="19"/>
      <c r="D227" s="18"/>
      <c r="E227" s="20"/>
      <c r="F227" s="23"/>
      <c r="G227" s="23"/>
      <c r="H227" s="18"/>
      <c r="I227" s="18"/>
      <c r="J227" s="24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5">
      <c r="A228" s="44"/>
      <c r="B228" s="19"/>
      <c r="C228" s="19"/>
      <c r="D228" s="18"/>
      <c r="E228" s="20"/>
      <c r="F228" s="23"/>
      <c r="G228" s="23"/>
      <c r="H228" s="18"/>
      <c r="I228" s="18"/>
      <c r="J228" s="24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5">
      <c r="A229" s="44"/>
      <c r="B229" s="19"/>
      <c r="C229" s="19"/>
      <c r="D229" s="18"/>
      <c r="E229" s="20"/>
      <c r="F229" s="23"/>
      <c r="G229" s="23"/>
      <c r="H229" s="18"/>
      <c r="I229" s="18"/>
      <c r="J229" s="24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5">
      <c r="A230" s="44"/>
      <c r="B230" s="19"/>
      <c r="C230" s="19"/>
      <c r="D230" s="18"/>
      <c r="E230" s="20"/>
      <c r="F230" s="23"/>
      <c r="G230" s="23"/>
      <c r="H230" s="18"/>
      <c r="I230" s="18"/>
      <c r="J230" s="24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5">
      <c r="A231" s="44"/>
      <c r="B231" s="19"/>
      <c r="C231" s="19"/>
      <c r="D231" s="18"/>
      <c r="E231" s="20"/>
      <c r="F231" s="23"/>
      <c r="G231" s="23"/>
      <c r="H231" s="18"/>
      <c r="I231" s="18"/>
      <c r="J231" s="18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5">
      <c r="A232" s="44"/>
      <c r="B232" s="19"/>
      <c r="C232" s="19"/>
      <c r="D232" s="18"/>
      <c r="E232" s="20"/>
      <c r="F232" s="23"/>
      <c r="G232" s="23"/>
      <c r="H232" s="18"/>
      <c r="I232" s="18"/>
      <c r="J232" s="18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5">
      <c r="A233" s="44"/>
      <c r="B233" s="19"/>
      <c r="C233" s="19"/>
      <c r="D233" s="18"/>
      <c r="E233" s="20"/>
      <c r="F233" s="23"/>
      <c r="G233" s="23"/>
      <c r="H233" s="18"/>
      <c r="I233" s="18"/>
      <c r="J233" s="18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5">
      <c r="A234" s="44"/>
      <c r="B234" s="19"/>
      <c r="C234" s="19"/>
      <c r="D234" s="18"/>
      <c r="E234" s="20"/>
      <c r="F234" s="23"/>
      <c r="G234" s="23"/>
      <c r="H234" s="18"/>
      <c r="I234" s="18"/>
      <c r="J234" s="18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5">
      <c r="A235" s="44"/>
      <c r="B235" s="19"/>
      <c r="C235" s="19"/>
      <c r="D235" s="18"/>
      <c r="E235" s="20"/>
      <c r="F235" s="23"/>
      <c r="G235" s="23"/>
      <c r="H235" s="18"/>
      <c r="I235" s="18"/>
      <c r="J235" s="18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5">
      <c r="A236" s="44"/>
      <c r="B236" s="19"/>
      <c r="C236" s="19"/>
      <c r="D236" s="18"/>
      <c r="E236" s="20"/>
      <c r="F236" s="23"/>
      <c r="G236" s="23"/>
      <c r="H236" s="18"/>
      <c r="I236" s="18"/>
      <c r="J236" s="18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5">
      <c r="A237" s="44"/>
      <c r="B237" s="19"/>
      <c r="C237" s="19"/>
      <c r="D237" s="18"/>
      <c r="E237" s="20"/>
      <c r="F237" s="23"/>
      <c r="G237" s="23"/>
      <c r="H237" s="18"/>
      <c r="I237" s="18"/>
      <c r="J237" s="18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5">
      <c r="A238" s="44"/>
      <c r="B238" s="19"/>
      <c r="C238" s="19"/>
      <c r="D238" s="18"/>
      <c r="E238" s="20"/>
      <c r="F238" s="23"/>
      <c r="G238" s="23"/>
      <c r="H238" s="18"/>
      <c r="I238" s="18"/>
      <c r="J238" s="18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5">
      <c r="A239" s="44"/>
      <c r="B239" s="19"/>
      <c r="C239" s="19"/>
      <c r="D239" s="18"/>
      <c r="E239" s="20"/>
      <c r="F239" s="23"/>
      <c r="G239" s="23"/>
      <c r="H239" s="18"/>
      <c r="I239" s="18"/>
      <c r="J239" s="18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5">
      <c r="A240" s="44"/>
      <c r="B240" s="19"/>
      <c r="C240" s="19"/>
      <c r="D240" s="18"/>
      <c r="E240" s="20"/>
      <c r="F240" s="23"/>
      <c r="G240" s="23"/>
      <c r="H240" s="18"/>
      <c r="I240" s="18"/>
      <c r="J240" s="18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5">
      <c r="A241" s="44"/>
      <c r="B241" s="19"/>
      <c r="C241" s="19"/>
      <c r="D241" s="18"/>
      <c r="E241" s="20"/>
      <c r="F241" s="23"/>
      <c r="G241" s="23"/>
      <c r="H241" s="18"/>
      <c r="I241" s="18"/>
      <c r="J241" s="18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5">
      <c r="A242" s="44"/>
      <c r="B242" s="19"/>
      <c r="C242" s="19"/>
      <c r="D242" s="18"/>
      <c r="E242" s="20"/>
      <c r="F242" s="23"/>
      <c r="G242" s="23"/>
      <c r="H242" s="18"/>
      <c r="I242" s="18"/>
      <c r="J242" s="18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5">
      <c r="A243" s="44"/>
      <c r="B243" s="19"/>
      <c r="C243" s="19"/>
      <c r="D243" s="18"/>
      <c r="E243" s="20"/>
      <c r="F243" s="23"/>
      <c r="G243" s="23"/>
      <c r="H243" s="18"/>
      <c r="I243" s="18"/>
      <c r="J243" s="18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5">
      <c r="A244" s="44"/>
      <c r="B244" s="19"/>
      <c r="C244" s="19"/>
      <c r="D244" s="18"/>
      <c r="E244" s="20"/>
      <c r="F244" s="23"/>
      <c r="G244" s="23"/>
      <c r="H244" s="18"/>
      <c r="I244" s="18"/>
      <c r="J244" s="18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5">
      <c r="A245" s="44"/>
      <c r="B245" s="19"/>
      <c r="C245" s="19"/>
      <c r="D245" s="18"/>
      <c r="E245" s="20"/>
      <c r="F245" s="23"/>
      <c r="G245" s="23"/>
      <c r="H245" s="18"/>
      <c r="I245" s="18"/>
      <c r="J245" s="18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5">
      <c r="A246" s="44"/>
      <c r="B246" s="19"/>
      <c r="C246" s="19"/>
      <c r="D246" s="18"/>
      <c r="E246" s="20"/>
      <c r="F246" s="23"/>
      <c r="G246" s="23"/>
      <c r="H246" s="18"/>
      <c r="I246" s="18"/>
      <c r="J246" s="18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5">
      <c r="A247" s="44"/>
      <c r="B247" s="19"/>
      <c r="C247" s="19"/>
      <c r="D247" s="18"/>
      <c r="E247" s="20"/>
      <c r="F247" s="23"/>
      <c r="G247" s="23"/>
      <c r="H247" s="18"/>
      <c r="I247" s="18"/>
      <c r="J247" s="18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5">
      <c r="A248" s="44"/>
      <c r="B248" s="19"/>
      <c r="C248" s="19"/>
      <c r="D248" s="18"/>
      <c r="E248" s="20"/>
      <c r="F248" s="23"/>
      <c r="G248" s="23"/>
      <c r="H248" s="18"/>
      <c r="I248" s="18"/>
      <c r="J248" s="18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5">
      <c r="A249" s="44"/>
      <c r="B249" s="19"/>
      <c r="C249" s="19"/>
      <c r="D249" s="18"/>
      <c r="E249" s="20"/>
      <c r="F249" s="23"/>
      <c r="G249" s="23"/>
      <c r="H249" s="18"/>
      <c r="I249" s="18"/>
      <c r="J249" s="18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5">
      <c r="A250" s="44"/>
      <c r="B250" s="19"/>
      <c r="C250" s="19"/>
      <c r="D250" s="18"/>
      <c r="E250" s="20"/>
      <c r="F250" s="23"/>
      <c r="G250" s="23"/>
      <c r="H250" s="18"/>
      <c r="I250" s="18"/>
      <c r="J250" s="18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5">
      <c r="A251" s="44"/>
      <c r="B251" s="19"/>
      <c r="C251" s="19"/>
      <c r="D251" s="18"/>
      <c r="E251" s="20"/>
      <c r="F251" s="23"/>
      <c r="G251" s="23"/>
      <c r="H251" s="18"/>
      <c r="I251" s="18"/>
      <c r="J251" s="18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5">
      <c r="A252" s="44"/>
      <c r="B252" s="19"/>
      <c r="C252" s="19"/>
      <c r="D252" s="18"/>
      <c r="E252" s="20"/>
      <c r="F252" s="23"/>
      <c r="G252" s="23"/>
      <c r="H252" s="18"/>
      <c r="I252" s="18"/>
      <c r="J252" s="18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5">
      <c r="A253" s="44"/>
      <c r="B253" s="19"/>
      <c r="C253" s="19"/>
      <c r="D253" s="18"/>
      <c r="E253" s="20"/>
      <c r="F253" s="23"/>
      <c r="G253" s="23"/>
      <c r="H253" s="18"/>
      <c r="I253" s="18"/>
      <c r="J253" s="18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5">
      <c r="A254" s="44"/>
      <c r="B254" s="19"/>
      <c r="C254" s="19"/>
      <c r="D254" s="18"/>
      <c r="E254" s="20"/>
      <c r="F254" s="23"/>
      <c r="G254" s="23"/>
      <c r="H254" s="18"/>
      <c r="I254" s="18"/>
      <c r="J254" s="18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5">
      <c r="A255" s="44"/>
      <c r="B255" s="19"/>
      <c r="C255" s="19"/>
      <c r="D255" s="18"/>
      <c r="E255" s="20"/>
      <c r="F255" s="23"/>
      <c r="G255" s="23"/>
      <c r="H255" s="18"/>
      <c r="I255" s="18"/>
      <c r="J255" s="18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5">
      <c r="A256" s="44"/>
      <c r="B256" s="19"/>
      <c r="C256" s="19"/>
      <c r="D256" s="18"/>
      <c r="E256" s="20"/>
      <c r="F256" s="23"/>
      <c r="G256" s="23"/>
      <c r="H256" s="18"/>
      <c r="I256" s="18"/>
      <c r="J256" s="18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5">
      <c r="A257" s="44"/>
      <c r="B257" s="19"/>
      <c r="C257" s="19"/>
      <c r="D257" s="18"/>
      <c r="E257" s="20"/>
      <c r="F257" s="23"/>
      <c r="G257" s="23"/>
      <c r="H257" s="18"/>
      <c r="I257" s="18"/>
      <c r="J257" s="18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5">
      <c r="A258" s="44"/>
      <c r="B258" s="19"/>
      <c r="C258" s="19"/>
      <c r="D258" s="18"/>
      <c r="E258" s="20"/>
      <c r="F258" s="23"/>
      <c r="G258" s="23"/>
      <c r="H258" s="18"/>
      <c r="I258" s="18"/>
      <c r="J258" s="18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5">
      <c r="A259" s="44"/>
      <c r="B259" s="19"/>
      <c r="C259" s="19"/>
      <c r="D259" s="18"/>
      <c r="E259" s="20"/>
      <c r="F259" s="23"/>
      <c r="G259" s="23"/>
      <c r="H259" s="18"/>
      <c r="I259" s="18"/>
      <c r="J259" s="18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5">
      <c r="A260" s="44"/>
      <c r="B260" s="19"/>
      <c r="C260" s="19"/>
      <c r="D260" s="18"/>
      <c r="E260" s="20"/>
      <c r="F260" s="23"/>
      <c r="G260" s="23"/>
      <c r="H260" s="18"/>
      <c r="I260" s="18"/>
      <c r="J260" s="18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5">
      <c r="A261" s="44"/>
      <c r="B261" s="19"/>
      <c r="C261" s="19"/>
      <c r="D261" s="18"/>
      <c r="E261" s="20"/>
      <c r="F261" s="23"/>
      <c r="G261" s="23"/>
      <c r="H261" s="18"/>
      <c r="I261" s="18"/>
      <c r="J261" s="18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5">
      <c r="A262" s="44"/>
      <c r="B262" s="19"/>
      <c r="C262" s="19"/>
      <c r="D262" s="18"/>
      <c r="E262" s="20"/>
      <c r="F262" s="23"/>
      <c r="G262" s="23"/>
      <c r="H262" s="18"/>
      <c r="I262" s="18"/>
      <c r="J262" s="18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5">
      <c r="A263" s="44"/>
      <c r="B263" s="19"/>
      <c r="C263" s="19"/>
      <c r="D263" s="18"/>
      <c r="E263" s="20"/>
      <c r="F263" s="23"/>
      <c r="G263" s="23"/>
      <c r="H263" s="18"/>
      <c r="I263" s="18"/>
      <c r="J263" s="18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5">
      <c r="A264" s="44"/>
      <c r="B264" s="19"/>
      <c r="C264" s="19"/>
      <c r="D264" s="18"/>
      <c r="E264" s="20"/>
      <c r="F264" s="23"/>
      <c r="G264" s="23"/>
      <c r="H264" s="18"/>
      <c r="I264" s="18"/>
      <c r="J264" s="18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5">
      <c r="A265" s="44"/>
      <c r="B265" s="19"/>
      <c r="C265" s="19"/>
      <c r="D265" s="18"/>
      <c r="E265" s="20"/>
      <c r="F265" s="23"/>
      <c r="G265" s="23"/>
      <c r="H265" s="18"/>
      <c r="I265" s="18"/>
      <c r="J265" s="18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5">
      <c r="A266" s="44"/>
      <c r="B266" s="19"/>
      <c r="C266" s="19"/>
      <c r="D266" s="18"/>
      <c r="E266" s="20"/>
      <c r="F266" s="23"/>
      <c r="G266" s="23"/>
      <c r="H266" s="18"/>
      <c r="I266" s="18"/>
      <c r="J266" s="18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5">
      <c r="A267" s="44"/>
      <c r="B267" s="19"/>
      <c r="C267" s="19"/>
      <c r="D267" s="18"/>
      <c r="E267" s="20"/>
      <c r="F267" s="23"/>
      <c r="G267" s="23"/>
      <c r="H267" s="18"/>
      <c r="I267" s="18"/>
      <c r="J267" s="18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5">
      <c r="A268" s="44"/>
      <c r="B268" s="19"/>
      <c r="C268" s="19"/>
      <c r="D268" s="18"/>
      <c r="E268" s="20"/>
      <c r="F268" s="23"/>
      <c r="G268" s="23"/>
      <c r="H268" s="18"/>
      <c r="I268" s="18"/>
      <c r="J268" s="18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5">
      <c r="A269" s="44"/>
      <c r="B269" s="19"/>
      <c r="C269" s="19"/>
      <c r="D269" s="18"/>
      <c r="E269" s="20"/>
      <c r="F269" s="23"/>
      <c r="G269" s="23"/>
      <c r="H269" s="18"/>
      <c r="I269" s="18"/>
      <c r="J269" s="18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5">
      <c r="A270" s="44"/>
      <c r="B270" s="19"/>
      <c r="C270" s="19"/>
      <c r="D270" s="18"/>
      <c r="E270" s="20"/>
      <c r="F270" s="23"/>
      <c r="G270" s="23"/>
      <c r="H270" s="18"/>
      <c r="I270" s="18"/>
      <c r="J270" s="18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5">
      <c r="A271" s="44"/>
      <c r="B271" s="19"/>
      <c r="C271" s="19"/>
      <c r="D271" s="18"/>
      <c r="E271" s="20"/>
      <c r="F271" s="23"/>
      <c r="G271" s="23"/>
      <c r="H271" s="18"/>
      <c r="I271" s="18"/>
      <c r="J271" s="18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5">
      <c r="A272" s="44"/>
      <c r="B272" s="19"/>
      <c r="C272" s="19"/>
      <c r="D272" s="18"/>
      <c r="E272" s="20"/>
      <c r="F272" s="23"/>
      <c r="G272" s="23"/>
      <c r="H272" s="18"/>
      <c r="I272" s="18"/>
      <c r="J272" s="18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5">
      <c r="A273" s="44"/>
      <c r="B273" s="19"/>
      <c r="C273" s="19"/>
      <c r="D273" s="18"/>
      <c r="E273" s="20"/>
      <c r="F273" s="23"/>
      <c r="G273" s="23"/>
      <c r="H273" s="18"/>
      <c r="I273" s="18"/>
      <c r="J273" s="18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5">
      <c r="A274" s="44"/>
      <c r="B274" s="19"/>
      <c r="C274" s="19"/>
      <c r="D274" s="18"/>
      <c r="E274" s="20"/>
      <c r="F274" s="23"/>
      <c r="G274" s="23"/>
      <c r="H274" s="18"/>
      <c r="I274" s="18"/>
      <c r="J274" s="18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5">
      <c r="A275" s="44"/>
      <c r="B275" s="19"/>
      <c r="C275" s="19"/>
      <c r="D275" s="18"/>
      <c r="E275" s="20"/>
      <c r="F275" s="23"/>
      <c r="G275" s="23"/>
      <c r="H275" s="18"/>
      <c r="I275" s="18"/>
      <c r="J275" s="18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5">
      <c r="A276" s="44"/>
      <c r="B276" s="19"/>
      <c r="C276" s="19"/>
      <c r="D276" s="18"/>
      <c r="E276" s="20"/>
      <c r="F276" s="23"/>
      <c r="G276" s="23"/>
      <c r="H276" s="18"/>
      <c r="I276" s="18"/>
      <c r="J276" s="18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5">
      <c r="A277" s="44"/>
      <c r="B277" s="19"/>
      <c r="C277" s="19"/>
      <c r="D277" s="18"/>
      <c r="E277" s="20"/>
      <c r="F277" s="23"/>
      <c r="G277" s="23"/>
      <c r="H277" s="18"/>
      <c r="I277" s="18"/>
      <c r="J277" s="18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5">
      <c r="A278" s="44"/>
      <c r="B278" s="19"/>
      <c r="C278" s="19"/>
      <c r="D278" s="18"/>
      <c r="E278" s="20"/>
      <c r="F278" s="23"/>
      <c r="G278" s="23"/>
      <c r="H278" s="18"/>
      <c r="I278" s="18"/>
      <c r="J278" s="18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5">
      <c r="A279" s="44"/>
      <c r="B279" s="19"/>
      <c r="C279" s="19"/>
      <c r="D279" s="18"/>
      <c r="E279" s="20"/>
      <c r="F279" s="23"/>
      <c r="G279" s="23"/>
      <c r="H279" s="18"/>
      <c r="I279" s="18"/>
      <c r="J279" s="18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5">
      <c r="A280" s="44"/>
      <c r="B280" s="19"/>
      <c r="C280" s="19"/>
      <c r="D280" s="18"/>
      <c r="E280" s="20"/>
      <c r="F280" s="23"/>
      <c r="G280" s="23"/>
      <c r="H280" s="18"/>
      <c r="I280" s="18"/>
      <c r="J280" s="18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5">
      <c r="A281" s="44"/>
      <c r="B281" s="19"/>
      <c r="C281" s="19"/>
      <c r="D281" s="18"/>
      <c r="E281" s="20"/>
      <c r="F281" s="23"/>
      <c r="G281" s="23"/>
      <c r="H281" s="18"/>
      <c r="I281" s="18"/>
      <c r="J281" s="18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5">
      <c r="A282" s="44"/>
      <c r="B282" s="19"/>
      <c r="C282" s="19"/>
      <c r="D282" s="18"/>
      <c r="E282" s="20"/>
      <c r="F282" s="23"/>
      <c r="G282" s="23"/>
      <c r="H282" s="18"/>
      <c r="I282" s="18"/>
      <c r="J282" s="18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5">
      <c r="A283" s="44"/>
      <c r="B283" s="19"/>
      <c r="C283" s="19"/>
      <c r="D283" s="18"/>
      <c r="E283" s="20"/>
      <c r="F283" s="23"/>
      <c r="G283" s="23"/>
      <c r="H283" s="18"/>
      <c r="I283" s="18"/>
      <c r="J283" s="18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5">
      <c r="A284" s="44"/>
      <c r="B284" s="19"/>
      <c r="C284" s="19"/>
      <c r="D284" s="18"/>
      <c r="E284" s="20"/>
      <c r="F284" s="23"/>
      <c r="G284" s="23"/>
      <c r="H284" s="18"/>
      <c r="I284" s="18"/>
      <c r="J284" s="18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5">
      <c r="A285" s="44"/>
      <c r="B285" s="19"/>
      <c r="C285" s="19"/>
      <c r="D285" s="18"/>
      <c r="E285" s="20"/>
      <c r="F285" s="23"/>
      <c r="G285" s="23"/>
      <c r="H285" s="18"/>
      <c r="I285" s="18"/>
      <c r="J285" s="18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5">
      <c r="A286" s="44"/>
      <c r="B286" s="19"/>
      <c r="C286" s="19"/>
      <c r="D286" s="18"/>
      <c r="E286" s="20"/>
      <c r="F286" s="23"/>
      <c r="G286" s="23"/>
      <c r="H286" s="18"/>
      <c r="I286" s="18"/>
      <c r="J286" s="18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5">
      <c r="A287" s="44"/>
      <c r="B287" s="19"/>
      <c r="C287" s="19"/>
      <c r="D287" s="18"/>
      <c r="E287" s="20"/>
      <c r="F287" s="23"/>
      <c r="G287" s="23"/>
      <c r="H287" s="18"/>
      <c r="I287" s="18"/>
      <c r="J287" s="18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5">
      <c r="A288" s="44"/>
      <c r="B288" s="19"/>
      <c r="C288" s="19"/>
      <c r="D288" s="18"/>
      <c r="E288" s="20"/>
      <c r="F288" s="23"/>
      <c r="G288" s="23"/>
      <c r="H288" s="18"/>
      <c r="I288" s="18"/>
      <c r="J288" s="18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5">
      <c r="A289" s="44"/>
      <c r="B289" s="19"/>
      <c r="C289" s="19"/>
      <c r="D289" s="18"/>
      <c r="E289" s="20"/>
      <c r="F289" s="23"/>
      <c r="G289" s="23"/>
      <c r="H289" s="18"/>
      <c r="I289" s="18"/>
      <c r="J289" s="18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5">
      <c r="A290" s="44"/>
      <c r="B290" s="19"/>
      <c r="C290" s="19"/>
      <c r="D290" s="18"/>
      <c r="E290" s="20"/>
      <c r="F290" s="23"/>
      <c r="G290" s="23"/>
      <c r="H290" s="18"/>
      <c r="I290" s="18"/>
      <c r="J290" s="18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5">
      <c r="A291" s="44"/>
      <c r="B291" s="19"/>
      <c r="C291" s="19"/>
      <c r="D291" s="18"/>
      <c r="E291" s="20"/>
      <c r="F291" s="23"/>
      <c r="G291" s="23"/>
      <c r="H291" s="18"/>
      <c r="I291" s="18"/>
      <c r="J291" s="18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5">
      <c r="A292" s="44"/>
      <c r="B292" s="19"/>
      <c r="C292" s="19"/>
      <c r="D292" s="18"/>
      <c r="E292" s="20"/>
      <c r="F292" s="23"/>
      <c r="G292" s="23"/>
      <c r="H292" s="18"/>
      <c r="I292" s="18"/>
      <c r="J292" s="18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5">
      <c r="A293" s="44"/>
      <c r="B293" s="19"/>
      <c r="C293" s="19"/>
      <c r="D293" s="18"/>
      <c r="E293" s="20"/>
      <c r="F293" s="23"/>
      <c r="G293" s="23"/>
      <c r="H293" s="18"/>
      <c r="I293" s="18"/>
      <c r="J293" s="18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5">
      <c r="A294" s="44"/>
      <c r="B294" s="19"/>
      <c r="C294" s="19"/>
      <c r="D294" s="18"/>
      <c r="E294" s="20"/>
      <c r="F294" s="23"/>
      <c r="G294" s="23"/>
      <c r="H294" s="18"/>
      <c r="I294" s="18"/>
      <c r="J294" s="18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5">
      <c r="A295" s="44"/>
      <c r="B295" s="19"/>
      <c r="C295" s="19"/>
      <c r="D295" s="18"/>
      <c r="E295" s="20"/>
      <c r="F295" s="23"/>
      <c r="G295" s="23"/>
      <c r="H295" s="18"/>
      <c r="I295" s="18"/>
      <c r="J295" s="18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5">
      <c r="A296" s="44"/>
      <c r="B296" s="19"/>
      <c r="C296" s="19"/>
      <c r="D296" s="18"/>
      <c r="E296" s="20"/>
      <c r="F296" s="23"/>
      <c r="G296" s="23"/>
      <c r="H296" s="18"/>
      <c r="I296" s="18"/>
      <c r="J296" s="18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5">
      <c r="A297" s="44"/>
      <c r="B297" s="19"/>
      <c r="C297" s="19"/>
      <c r="D297" s="18"/>
      <c r="E297" s="20"/>
      <c r="F297" s="23"/>
      <c r="G297" s="23"/>
      <c r="H297" s="18"/>
      <c r="I297" s="18"/>
      <c r="J297" s="18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5">
      <c r="A298" s="44"/>
      <c r="B298" s="19"/>
      <c r="C298" s="19"/>
      <c r="D298" s="18"/>
      <c r="E298" s="20"/>
      <c r="F298" s="23"/>
      <c r="G298" s="23"/>
      <c r="H298" s="18"/>
      <c r="I298" s="18"/>
      <c r="J298" s="18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5">
      <c r="A299" s="44"/>
      <c r="B299" s="19"/>
      <c r="C299" s="19"/>
      <c r="D299" s="18"/>
      <c r="E299" s="20"/>
      <c r="F299" s="23"/>
      <c r="G299" s="23"/>
      <c r="H299" s="18"/>
      <c r="I299" s="18"/>
      <c r="J299" s="18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5">
      <c r="A300" s="44"/>
      <c r="B300" s="19"/>
      <c r="C300" s="19"/>
      <c r="D300" s="18"/>
      <c r="E300" s="20"/>
      <c r="F300" s="23"/>
      <c r="G300" s="23"/>
      <c r="H300" s="18"/>
      <c r="I300" s="18"/>
      <c r="J300" s="18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5">
      <c r="A301" s="44"/>
      <c r="B301" s="19"/>
      <c r="C301" s="19"/>
      <c r="D301" s="18"/>
      <c r="E301" s="20"/>
      <c r="F301" s="23"/>
      <c r="G301" s="23"/>
      <c r="H301" s="18"/>
      <c r="I301" s="18"/>
      <c r="J301" s="18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5">
      <c r="A302" s="44"/>
      <c r="B302" s="19"/>
      <c r="C302" s="19"/>
      <c r="D302" s="18"/>
      <c r="E302" s="20"/>
      <c r="F302" s="23"/>
      <c r="G302" s="23"/>
      <c r="H302" s="18"/>
      <c r="I302" s="18"/>
      <c r="J302" s="18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5">
      <c r="A303" s="44"/>
      <c r="B303" s="19"/>
      <c r="C303" s="19"/>
      <c r="D303" s="18"/>
      <c r="E303" s="20"/>
      <c r="F303" s="23"/>
      <c r="G303" s="23"/>
      <c r="H303" s="18"/>
      <c r="I303" s="18"/>
      <c r="J303" s="18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5">
      <c r="A304" s="44"/>
      <c r="B304" s="19"/>
      <c r="C304" s="19"/>
      <c r="D304" s="18"/>
      <c r="E304" s="20"/>
      <c r="F304" s="23"/>
      <c r="G304" s="23"/>
      <c r="H304" s="18"/>
      <c r="I304" s="18"/>
      <c r="J304" s="18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5">
      <c r="A305" s="44"/>
      <c r="B305" s="19"/>
      <c r="C305" s="19"/>
      <c r="D305" s="18"/>
      <c r="E305" s="20"/>
      <c r="F305" s="23"/>
      <c r="G305" s="23"/>
      <c r="H305" s="18"/>
      <c r="I305" s="18"/>
      <c r="J305" s="18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5">
      <c r="A306" s="44"/>
      <c r="B306" s="19"/>
      <c r="C306" s="19"/>
      <c r="D306" s="18"/>
      <c r="E306" s="20"/>
      <c r="F306" s="23"/>
      <c r="G306" s="23"/>
      <c r="H306" s="18"/>
      <c r="I306" s="18"/>
      <c r="J306" s="18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5">
      <c r="A307" s="44"/>
      <c r="B307" s="19"/>
      <c r="C307" s="19"/>
      <c r="D307" s="18"/>
      <c r="E307" s="20"/>
      <c r="F307" s="23"/>
      <c r="G307" s="23"/>
      <c r="H307" s="18"/>
      <c r="I307" s="18"/>
      <c r="J307" s="18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5">
      <c r="A308" s="44"/>
      <c r="B308" s="19"/>
      <c r="C308" s="19"/>
      <c r="D308" s="18"/>
      <c r="E308" s="20"/>
      <c r="F308" s="23"/>
      <c r="G308" s="23"/>
      <c r="H308" s="18"/>
      <c r="I308" s="18"/>
      <c r="J308" s="18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5">
      <c r="A309" s="44"/>
      <c r="B309" s="19"/>
      <c r="C309" s="19"/>
      <c r="D309" s="18"/>
      <c r="E309" s="20"/>
      <c r="F309" s="23"/>
      <c r="G309" s="23"/>
      <c r="H309" s="18"/>
      <c r="I309" s="18"/>
      <c r="J309" s="18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5">
      <c r="A310" s="44"/>
      <c r="B310" s="19"/>
      <c r="C310" s="19"/>
      <c r="D310" s="18"/>
      <c r="E310" s="20"/>
      <c r="F310" s="23"/>
      <c r="G310" s="23"/>
      <c r="H310" s="18"/>
      <c r="I310" s="18"/>
      <c r="J310" s="18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5">
      <c r="A311" s="44"/>
      <c r="B311" s="19"/>
      <c r="C311" s="19"/>
      <c r="D311" s="18"/>
      <c r="E311" s="20"/>
      <c r="F311" s="23"/>
      <c r="G311" s="23"/>
      <c r="H311" s="18"/>
      <c r="I311" s="18"/>
      <c r="J311" s="18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5">
      <c r="A312" s="44"/>
      <c r="B312" s="19"/>
      <c r="C312" s="19"/>
      <c r="D312" s="18"/>
      <c r="E312" s="20"/>
      <c r="F312" s="23"/>
      <c r="G312" s="23"/>
      <c r="H312" s="18"/>
      <c r="I312" s="18"/>
      <c r="J312" s="18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5">
      <c r="A313" s="44"/>
      <c r="B313" s="19"/>
      <c r="C313" s="19"/>
      <c r="D313" s="18"/>
      <c r="E313" s="20"/>
      <c r="F313" s="23"/>
      <c r="G313" s="23"/>
      <c r="H313" s="18"/>
      <c r="I313" s="18"/>
      <c r="J313" s="18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5">
      <c r="A314" s="44"/>
      <c r="B314" s="19"/>
      <c r="C314" s="19"/>
      <c r="D314" s="18"/>
      <c r="E314" s="20"/>
      <c r="F314" s="23"/>
      <c r="G314" s="23"/>
      <c r="H314" s="18"/>
      <c r="I314" s="18"/>
      <c r="J314" s="18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5">
      <c r="A315" s="44"/>
      <c r="B315" s="19"/>
      <c r="C315" s="19"/>
      <c r="D315" s="18"/>
      <c r="E315" s="20"/>
      <c r="F315" s="23"/>
      <c r="G315" s="23"/>
      <c r="H315" s="18"/>
      <c r="I315" s="18"/>
      <c r="J315" s="18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5">
      <c r="A316" s="44"/>
      <c r="B316" s="19"/>
      <c r="C316" s="19"/>
      <c r="D316" s="18"/>
      <c r="E316" s="20"/>
      <c r="F316" s="23"/>
      <c r="G316" s="23"/>
      <c r="H316" s="18"/>
      <c r="I316" s="18"/>
      <c r="J316" s="18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5">
      <c r="A317" s="44"/>
      <c r="B317" s="19"/>
      <c r="C317" s="19"/>
      <c r="D317" s="18"/>
      <c r="E317" s="20"/>
      <c r="F317" s="23"/>
      <c r="G317" s="23"/>
      <c r="H317" s="18"/>
      <c r="I317" s="18"/>
      <c r="J317" s="18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5">
      <c r="A318" s="44"/>
      <c r="B318" s="19"/>
      <c r="C318" s="19"/>
      <c r="D318" s="18"/>
      <c r="E318" s="20"/>
      <c r="F318" s="23"/>
      <c r="G318" s="23"/>
      <c r="H318" s="18"/>
      <c r="I318" s="18"/>
      <c r="J318" s="18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5">
      <c r="A319" s="44"/>
      <c r="B319" s="19"/>
      <c r="C319" s="19"/>
      <c r="D319" s="18"/>
      <c r="E319" s="20"/>
      <c r="F319" s="23"/>
      <c r="G319" s="23"/>
      <c r="H319" s="18"/>
      <c r="I319" s="18"/>
      <c r="J319" s="18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5">
      <c r="A320" s="44"/>
      <c r="B320" s="19"/>
      <c r="C320" s="19"/>
      <c r="D320" s="18"/>
      <c r="E320" s="20"/>
      <c r="F320" s="23"/>
      <c r="G320" s="23"/>
      <c r="H320" s="18"/>
      <c r="I320" s="18"/>
      <c r="J320" s="18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5">
      <c r="A321" s="44"/>
      <c r="B321" s="19"/>
      <c r="C321" s="19"/>
      <c r="D321" s="18"/>
      <c r="E321" s="20"/>
      <c r="F321" s="23"/>
      <c r="G321" s="23"/>
      <c r="H321" s="18"/>
      <c r="I321" s="18"/>
      <c r="J321" s="18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5">
      <c r="A322" s="44"/>
      <c r="B322" s="19"/>
      <c r="C322" s="19"/>
      <c r="D322" s="18"/>
      <c r="E322" s="20"/>
      <c r="F322" s="23"/>
      <c r="G322" s="23"/>
      <c r="H322" s="18"/>
      <c r="I322" s="18"/>
      <c r="J322" s="18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5">
      <c r="A323" s="44"/>
      <c r="B323" s="19"/>
      <c r="C323" s="19"/>
      <c r="D323" s="18"/>
      <c r="E323" s="20"/>
      <c r="F323" s="23"/>
      <c r="G323" s="23"/>
      <c r="H323" s="18"/>
      <c r="I323" s="18"/>
      <c r="J323" s="24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5">
      <c r="A324" s="44"/>
      <c r="B324" s="19"/>
      <c r="C324" s="19"/>
      <c r="D324" s="18"/>
      <c r="E324" s="20"/>
      <c r="F324" s="23"/>
      <c r="G324" s="23"/>
      <c r="H324" s="18"/>
      <c r="I324" s="18"/>
      <c r="J324" s="24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5">
      <c r="A325" s="44"/>
      <c r="B325" s="19"/>
      <c r="C325" s="19"/>
      <c r="D325" s="18"/>
      <c r="E325" s="20"/>
      <c r="F325" s="23"/>
      <c r="G325" s="23"/>
      <c r="H325" s="18"/>
      <c r="I325" s="18"/>
      <c r="J325" s="24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5">
      <c r="A326" s="44"/>
      <c r="B326" s="19"/>
      <c r="C326" s="19"/>
      <c r="D326" s="18"/>
      <c r="E326" s="20"/>
      <c r="F326" s="23"/>
      <c r="G326" s="23"/>
      <c r="H326" s="18"/>
      <c r="I326" s="18"/>
      <c r="J326" s="24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5">
      <c r="A327" s="44"/>
      <c r="B327" s="19"/>
      <c r="C327" s="19"/>
      <c r="D327" s="18"/>
      <c r="E327" s="20"/>
      <c r="F327" s="23"/>
      <c r="G327" s="23"/>
      <c r="H327" s="18"/>
      <c r="I327" s="18"/>
      <c r="J327" s="24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5">
      <c r="A328" s="44"/>
      <c r="B328" s="19"/>
      <c r="C328" s="19"/>
      <c r="D328" s="18"/>
      <c r="E328" s="20"/>
      <c r="F328" s="23"/>
      <c r="G328" s="23"/>
      <c r="H328" s="18"/>
      <c r="I328" s="18"/>
      <c r="J328" s="24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5">
      <c r="A329" s="44"/>
      <c r="B329" s="19"/>
      <c r="C329" s="19"/>
      <c r="D329" s="18"/>
      <c r="E329" s="20"/>
      <c r="F329" s="23"/>
      <c r="G329" s="23"/>
      <c r="H329" s="18"/>
      <c r="I329" s="18"/>
      <c r="J329" s="24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5">
      <c r="A330" s="44"/>
      <c r="B330" s="19"/>
      <c r="C330" s="19"/>
      <c r="D330" s="18"/>
      <c r="E330" s="20"/>
      <c r="F330" s="23"/>
      <c r="G330" s="23"/>
      <c r="H330" s="18"/>
      <c r="I330" s="18"/>
      <c r="J330" s="24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5">
      <c r="A331" s="44"/>
      <c r="B331" s="19"/>
      <c r="C331" s="19"/>
      <c r="D331" s="18"/>
      <c r="E331" s="20"/>
      <c r="F331" s="23"/>
      <c r="G331" s="23"/>
      <c r="H331" s="18"/>
      <c r="I331" s="18"/>
      <c r="J331" s="24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5">
      <c r="A332" s="44"/>
      <c r="B332" s="19"/>
      <c r="C332" s="19"/>
      <c r="D332" s="18"/>
      <c r="E332" s="20"/>
      <c r="F332" s="23"/>
      <c r="G332" s="23"/>
      <c r="H332" s="18"/>
      <c r="I332" s="18"/>
      <c r="J332" s="24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5">
      <c r="A333" s="44"/>
      <c r="B333" s="19"/>
      <c r="C333" s="19"/>
      <c r="D333" s="18"/>
      <c r="E333" s="20"/>
      <c r="F333" s="23"/>
      <c r="G333" s="30"/>
      <c r="H333" s="24"/>
      <c r="I333" s="18"/>
      <c r="J333" s="24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5">
      <c r="A334" s="44"/>
      <c r="B334" s="19"/>
      <c r="C334" s="19"/>
      <c r="D334" s="18"/>
      <c r="E334" s="20"/>
      <c r="F334" s="23"/>
      <c r="G334" s="30"/>
      <c r="H334" s="24"/>
      <c r="I334" s="18"/>
      <c r="J334" s="24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5">
      <c r="A335" s="44"/>
      <c r="B335" s="19"/>
      <c r="C335" s="19"/>
      <c r="D335" s="18"/>
      <c r="E335" s="20"/>
      <c r="F335" s="23"/>
      <c r="G335" s="23"/>
      <c r="H335" s="18"/>
      <c r="I335" s="18"/>
      <c r="J335" s="24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5">
      <c r="A336" s="44"/>
      <c r="B336" s="19"/>
      <c r="C336" s="19"/>
      <c r="D336" s="18"/>
      <c r="E336" s="20"/>
      <c r="F336" s="23"/>
      <c r="G336" s="30"/>
      <c r="H336" s="24"/>
      <c r="I336" s="18"/>
      <c r="J336" s="24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5">
      <c r="A337" s="44"/>
      <c r="B337" s="19"/>
      <c r="C337" s="19"/>
      <c r="D337" s="18"/>
      <c r="E337" s="20"/>
      <c r="F337" s="23"/>
      <c r="G337" s="23"/>
      <c r="H337" s="18"/>
      <c r="I337" s="18"/>
      <c r="J337" s="24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5">
      <c r="A338" s="44"/>
      <c r="B338" s="19"/>
      <c r="C338" s="19"/>
      <c r="D338" s="18"/>
      <c r="E338" s="20"/>
      <c r="F338" s="23"/>
      <c r="G338" s="30"/>
      <c r="H338" s="24"/>
      <c r="I338" s="18"/>
      <c r="J338" s="24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5">
      <c r="A339" s="44"/>
      <c r="B339" s="19"/>
      <c r="C339" s="19"/>
      <c r="D339" s="18"/>
      <c r="E339" s="20"/>
      <c r="F339" s="23"/>
      <c r="G339" s="23"/>
      <c r="H339" s="18"/>
      <c r="I339" s="18"/>
      <c r="J339" s="24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5">
      <c r="A340" s="44"/>
      <c r="B340" s="19"/>
      <c r="C340" s="19"/>
      <c r="D340" s="18"/>
      <c r="E340" s="20"/>
      <c r="F340" s="23"/>
      <c r="G340" s="30"/>
      <c r="H340" s="24"/>
      <c r="I340" s="18"/>
      <c r="J340" s="24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5">
      <c r="A341" s="44"/>
      <c r="B341" s="19"/>
      <c r="C341" s="19"/>
      <c r="D341" s="18"/>
      <c r="E341" s="20"/>
      <c r="F341" s="23"/>
      <c r="G341" s="30"/>
      <c r="H341" s="24"/>
      <c r="I341" s="18"/>
      <c r="J341" s="24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5">
      <c r="A342" s="44"/>
      <c r="B342" s="19"/>
      <c r="C342" s="19"/>
      <c r="D342" s="18"/>
      <c r="E342" s="20"/>
      <c r="F342" s="23"/>
      <c r="G342" s="30"/>
      <c r="H342" s="24"/>
      <c r="I342" s="18"/>
      <c r="J342" s="24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5">
      <c r="A343" s="44"/>
      <c r="B343" s="19"/>
      <c r="C343" s="19"/>
      <c r="D343" s="18"/>
      <c r="E343" s="20"/>
      <c r="F343" s="23"/>
      <c r="G343" s="30"/>
      <c r="H343" s="24"/>
      <c r="I343" s="18"/>
      <c r="J343" s="24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5">
      <c r="A344" s="44"/>
      <c r="B344" s="19"/>
      <c r="C344" s="19"/>
      <c r="D344" s="18"/>
      <c r="E344" s="20"/>
      <c r="F344" s="23"/>
      <c r="G344" s="30"/>
      <c r="H344" s="24"/>
      <c r="I344" s="18"/>
      <c r="J344" s="24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5">
      <c r="A345" s="44"/>
      <c r="B345" s="19"/>
      <c r="C345" s="19"/>
      <c r="D345" s="18"/>
      <c r="E345" s="20"/>
      <c r="F345" s="23"/>
      <c r="G345" s="30"/>
      <c r="H345" s="24"/>
      <c r="I345" s="18"/>
      <c r="J345" s="24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5">
      <c r="A346" s="44"/>
      <c r="B346" s="19"/>
      <c r="C346" s="19"/>
      <c r="D346" s="18"/>
      <c r="E346" s="20"/>
      <c r="F346" s="23"/>
      <c r="G346" s="30"/>
      <c r="H346" s="24"/>
      <c r="I346" s="18"/>
      <c r="J346" s="24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5">
      <c r="A347" s="44"/>
      <c r="B347" s="19"/>
      <c r="C347" s="19"/>
      <c r="D347" s="18"/>
      <c r="E347" s="20"/>
      <c r="F347" s="23"/>
      <c r="G347" s="30"/>
      <c r="H347" s="24"/>
      <c r="I347" s="18"/>
      <c r="J347" s="24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5">
      <c r="A348" s="44"/>
      <c r="B348" s="19"/>
      <c r="C348" s="19"/>
      <c r="D348" s="18"/>
      <c r="E348" s="20"/>
      <c r="F348" s="23"/>
      <c r="G348" s="30"/>
      <c r="H348" s="24"/>
      <c r="I348" s="18"/>
      <c r="J348" s="24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5">
      <c r="A349" s="44"/>
      <c r="B349" s="19"/>
      <c r="C349" s="19"/>
      <c r="D349" s="18"/>
      <c r="E349" s="20"/>
      <c r="F349" s="23"/>
      <c r="G349" s="30"/>
      <c r="H349" s="24"/>
      <c r="I349" s="18"/>
      <c r="J349" s="24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5">
      <c r="A350" s="44"/>
      <c r="B350" s="19"/>
      <c r="C350" s="19"/>
      <c r="D350" s="18"/>
      <c r="E350" s="20"/>
      <c r="F350" s="23"/>
      <c r="G350" s="30"/>
      <c r="H350" s="24"/>
      <c r="I350" s="18"/>
      <c r="J350" s="24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5">
      <c r="A351" s="44"/>
      <c r="B351" s="19"/>
      <c r="C351" s="19"/>
      <c r="D351" s="18"/>
      <c r="E351" s="20"/>
      <c r="F351" s="23"/>
      <c r="G351" s="23"/>
      <c r="H351" s="18"/>
      <c r="I351" s="18"/>
      <c r="J351" s="24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5">
      <c r="A352" s="44"/>
      <c r="B352" s="19"/>
      <c r="C352" s="19"/>
      <c r="D352" s="18"/>
      <c r="E352" s="20"/>
      <c r="F352" s="23"/>
      <c r="G352" s="30"/>
      <c r="H352" s="24"/>
      <c r="I352" s="18"/>
      <c r="J352" s="24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5">
      <c r="A353" s="44"/>
      <c r="B353" s="19"/>
      <c r="C353" s="19"/>
      <c r="D353" s="18"/>
      <c r="E353" s="20"/>
      <c r="F353" s="23"/>
      <c r="G353" s="30"/>
      <c r="H353" s="24"/>
      <c r="I353" s="18"/>
      <c r="J353" s="24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5">
      <c r="A354" s="46"/>
      <c r="B354" s="47"/>
      <c r="C354" s="47"/>
      <c r="D354" s="48"/>
      <c r="E354" s="49"/>
      <c r="F354" s="50"/>
      <c r="G354" s="50"/>
      <c r="H354" s="48"/>
      <c r="I354" s="48"/>
      <c r="J354" s="48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35">
      <c r="A355" s="44"/>
      <c r="B355" s="19"/>
      <c r="C355" s="19"/>
      <c r="D355" s="18"/>
      <c r="E355" s="20"/>
      <c r="F355" s="23"/>
      <c r="G355" s="30"/>
      <c r="H355" s="24"/>
      <c r="I355" s="18"/>
      <c r="J355" s="24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5">
      <c r="A356" s="44"/>
      <c r="B356" s="19"/>
      <c r="C356" s="19"/>
      <c r="D356" s="18"/>
      <c r="E356" s="20"/>
      <c r="F356" s="23"/>
      <c r="G356" s="30"/>
      <c r="H356" s="24"/>
      <c r="I356" s="18"/>
      <c r="J356" s="24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5">
      <c r="A357" s="44"/>
      <c r="B357" s="19"/>
      <c r="C357" s="19"/>
      <c r="D357" s="18"/>
      <c r="E357" s="20"/>
      <c r="F357" s="23"/>
      <c r="G357" s="30"/>
      <c r="H357" s="24"/>
      <c r="I357" s="18"/>
      <c r="J357" s="24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5">
      <c r="A358" s="44"/>
      <c r="B358" s="19"/>
      <c r="C358" s="19"/>
      <c r="D358" s="18"/>
      <c r="E358" s="20"/>
      <c r="F358" s="23"/>
      <c r="G358" s="23"/>
      <c r="H358" s="18"/>
      <c r="I358" s="18"/>
      <c r="J358" s="24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5">
      <c r="A359" s="44"/>
      <c r="B359" s="19"/>
      <c r="C359" s="19"/>
      <c r="D359" s="18"/>
      <c r="E359" s="20"/>
      <c r="F359" s="23"/>
      <c r="G359" s="23"/>
      <c r="H359" s="18"/>
      <c r="I359" s="18"/>
      <c r="J359" s="24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5">
      <c r="A360" s="44"/>
      <c r="B360" s="19"/>
      <c r="C360" s="19"/>
      <c r="D360" s="18"/>
      <c r="E360" s="20"/>
      <c r="F360" s="23"/>
      <c r="G360" s="30"/>
      <c r="H360" s="24"/>
      <c r="I360" s="18"/>
      <c r="J360" s="24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5">
      <c r="A361" s="44"/>
      <c r="B361" s="19"/>
      <c r="C361" s="19"/>
      <c r="D361" s="18"/>
      <c r="E361" s="20"/>
      <c r="F361" s="23"/>
      <c r="G361" s="30"/>
      <c r="H361" s="24"/>
      <c r="I361" s="18"/>
      <c r="J361" s="24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5">
      <c r="A362" s="44"/>
      <c r="B362" s="19"/>
      <c r="C362" s="19"/>
      <c r="D362" s="18"/>
      <c r="E362" s="20"/>
      <c r="F362" s="23"/>
      <c r="G362" s="30"/>
      <c r="H362" s="24"/>
      <c r="I362" s="18"/>
      <c r="J362" s="24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5">
      <c r="A363" s="44"/>
      <c r="B363" s="19"/>
      <c r="C363" s="19"/>
      <c r="D363" s="18"/>
      <c r="E363" s="20"/>
      <c r="F363" s="23"/>
      <c r="G363" s="23"/>
      <c r="H363" s="18"/>
      <c r="I363" s="18"/>
      <c r="J363" s="24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5">
      <c r="A364" s="44"/>
      <c r="B364" s="19"/>
      <c r="C364" s="19"/>
      <c r="D364" s="18"/>
      <c r="E364" s="20"/>
      <c r="F364" s="23"/>
      <c r="G364" s="23"/>
      <c r="H364" s="18"/>
      <c r="I364" s="18"/>
      <c r="J364" s="24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5">
      <c r="A365" s="44"/>
      <c r="B365" s="19"/>
      <c r="C365" s="19"/>
      <c r="D365" s="18"/>
      <c r="E365" s="20"/>
      <c r="F365" s="23"/>
      <c r="G365" s="23"/>
      <c r="H365" s="18"/>
      <c r="I365" s="18"/>
      <c r="J365" s="24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5">
      <c r="A366" s="44"/>
      <c r="B366" s="19"/>
      <c r="C366" s="19"/>
      <c r="D366" s="18"/>
      <c r="E366" s="20"/>
      <c r="F366" s="23"/>
      <c r="G366" s="23"/>
      <c r="H366" s="18"/>
      <c r="I366" s="18"/>
      <c r="J366" s="24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5">
      <c r="A367" s="44"/>
      <c r="B367" s="19"/>
      <c r="C367" s="19"/>
      <c r="D367" s="18"/>
      <c r="E367" s="20"/>
      <c r="F367" s="23"/>
      <c r="G367" s="30"/>
      <c r="H367" s="24"/>
      <c r="I367" s="18"/>
      <c r="J367" s="24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5">
      <c r="A368" s="44"/>
      <c r="B368" s="19"/>
      <c r="C368" s="19"/>
      <c r="D368" s="18"/>
      <c r="E368" s="20"/>
      <c r="F368" s="23"/>
      <c r="G368" s="23"/>
      <c r="H368" s="18"/>
      <c r="I368" s="18"/>
      <c r="J368" s="24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5">
      <c r="A369" s="44"/>
      <c r="B369" s="19"/>
      <c r="C369" s="19"/>
      <c r="D369" s="18"/>
      <c r="E369" s="20"/>
      <c r="F369" s="23"/>
      <c r="G369" s="23"/>
      <c r="H369" s="18"/>
      <c r="I369" s="18"/>
      <c r="J369" s="24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5">
      <c r="A370" s="44"/>
      <c r="B370" s="19"/>
      <c r="C370" s="19"/>
      <c r="D370" s="18"/>
      <c r="E370" s="20"/>
      <c r="F370" s="23"/>
      <c r="G370" s="23"/>
      <c r="H370" s="18"/>
      <c r="I370" s="18"/>
      <c r="J370" s="24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5">
      <c r="A371" s="44"/>
      <c r="B371" s="19"/>
      <c r="C371" s="19"/>
      <c r="D371" s="18"/>
      <c r="E371" s="20"/>
      <c r="F371" s="23"/>
      <c r="G371" s="30"/>
      <c r="H371" s="24"/>
      <c r="I371" s="18"/>
      <c r="J371" s="24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5">
      <c r="A372" s="44"/>
      <c r="B372" s="19"/>
      <c r="C372" s="19"/>
      <c r="D372" s="18"/>
      <c r="E372" s="20"/>
      <c r="F372" s="23"/>
      <c r="G372" s="23"/>
      <c r="H372" s="18"/>
      <c r="I372" s="18"/>
      <c r="J372" s="24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5">
      <c r="A373" s="44"/>
      <c r="B373" s="19"/>
      <c r="C373" s="19"/>
      <c r="D373" s="18"/>
      <c r="E373" s="20"/>
      <c r="F373" s="23"/>
      <c r="G373" s="30"/>
      <c r="H373" s="24"/>
      <c r="I373" s="18"/>
      <c r="J373" s="24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5">
      <c r="A374" s="44"/>
      <c r="B374" s="19"/>
      <c r="C374" s="19"/>
      <c r="D374" s="18"/>
      <c r="E374" s="20"/>
      <c r="F374" s="23"/>
      <c r="G374" s="23"/>
      <c r="H374" s="18"/>
      <c r="I374" s="18"/>
      <c r="J374" s="24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5">
      <c r="A375" s="44"/>
      <c r="B375" s="19"/>
      <c r="C375" s="19"/>
      <c r="D375" s="18"/>
      <c r="E375" s="20"/>
      <c r="F375" s="23"/>
      <c r="G375" s="30"/>
      <c r="H375" s="24"/>
      <c r="I375" s="18"/>
      <c r="J375" s="24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5">
      <c r="A376" s="44"/>
      <c r="B376" s="19"/>
      <c r="C376" s="19"/>
      <c r="D376" s="18"/>
      <c r="E376" s="20"/>
      <c r="F376" s="23"/>
      <c r="G376" s="30"/>
      <c r="H376" s="24"/>
      <c r="I376" s="18"/>
      <c r="J376" s="24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5">
      <c r="A377" s="44"/>
      <c r="B377" s="19"/>
      <c r="C377" s="19"/>
      <c r="D377" s="18"/>
      <c r="E377" s="20"/>
      <c r="F377" s="23"/>
      <c r="G377" s="23"/>
      <c r="H377" s="18"/>
      <c r="I377" s="18"/>
      <c r="J377" s="24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5">
      <c r="A378" s="44"/>
      <c r="B378" s="19"/>
      <c r="C378" s="19"/>
      <c r="D378" s="18"/>
      <c r="E378" s="20"/>
      <c r="F378" s="23"/>
      <c r="G378" s="23"/>
      <c r="H378" s="18"/>
      <c r="I378" s="18"/>
      <c r="J378" s="24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5">
      <c r="A379" s="44"/>
      <c r="B379" s="19"/>
      <c r="C379" s="19"/>
      <c r="D379" s="18"/>
      <c r="E379" s="20"/>
      <c r="F379" s="23"/>
      <c r="G379" s="23"/>
      <c r="H379" s="18"/>
      <c r="I379" s="18"/>
      <c r="J379" s="24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5">
      <c r="A380" s="44"/>
      <c r="B380" s="19"/>
      <c r="C380" s="19"/>
      <c r="D380" s="18"/>
      <c r="E380" s="20"/>
      <c r="F380" s="23"/>
      <c r="G380" s="23"/>
      <c r="H380" s="18"/>
      <c r="I380" s="18"/>
      <c r="J380" s="24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5">
      <c r="A381" s="44"/>
      <c r="B381" s="19"/>
      <c r="C381" s="19"/>
      <c r="D381" s="18"/>
      <c r="E381" s="20"/>
      <c r="F381" s="23"/>
      <c r="G381" s="23"/>
      <c r="H381" s="18"/>
      <c r="I381" s="18"/>
      <c r="J381" s="24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5">
      <c r="A382" s="44"/>
      <c r="B382" s="19"/>
      <c r="C382" s="19"/>
      <c r="D382" s="18"/>
      <c r="E382" s="20"/>
      <c r="F382" s="23"/>
      <c r="G382" s="23"/>
      <c r="H382" s="18"/>
      <c r="I382" s="18"/>
      <c r="J382" s="24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5">
      <c r="A383" s="44"/>
      <c r="B383" s="19"/>
      <c r="C383" s="19"/>
      <c r="D383" s="18"/>
      <c r="E383" s="20"/>
      <c r="F383" s="23"/>
      <c r="G383" s="23"/>
      <c r="H383" s="18"/>
      <c r="I383" s="18"/>
      <c r="J383" s="24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5">
      <c r="A384" s="44"/>
      <c r="B384" s="19"/>
      <c r="C384" s="19"/>
      <c r="D384" s="18"/>
      <c r="E384" s="20"/>
      <c r="F384" s="23"/>
      <c r="G384" s="23"/>
      <c r="H384" s="18"/>
      <c r="I384" s="18"/>
      <c r="J384" s="24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5">
      <c r="A385" s="44"/>
      <c r="B385" s="19"/>
      <c r="C385" s="19"/>
      <c r="D385" s="18"/>
      <c r="E385" s="20"/>
      <c r="F385" s="23"/>
      <c r="G385" s="23"/>
      <c r="H385" s="18"/>
      <c r="I385" s="18"/>
      <c r="J385" s="24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5">
      <c r="A386" s="44"/>
      <c r="B386" s="19"/>
      <c r="C386" s="19"/>
      <c r="D386" s="18"/>
      <c r="E386" s="20"/>
      <c r="F386" s="23"/>
      <c r="G386" s="23"/>
      <c r="H386" s="18"/>
      <c r="I386" s="18"/>
      <c r="J386" s="24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5">
      <c r="A387" s="44"/>
      <c r="B387" s="19"/>
      <c r="C387" s="19"/>
      <c r="D387" s="18"/>
      <c r="E387" s="20"/>
      <c r="F387" s="23"/>
      <c r="G387" s="23"/>
      <c r="H387" s="18"/>
      <c r="I387" s="18"/>
      <c r="J387" s="24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5">
      <c r="A388" s="44"/>
      <c r="B388" s="19"/>
      <c r="C388" s="19"/>
      <c r="D388" s="18"/>
      <c r="E388" s="20"/>
      <c r="F388" s="23"/>
      <c r="G388" s="23"/>
      <c r="H388" s="18"/>
      <c r="I388" s="18"/>
      <c r="J388" s="24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5">
      <c r="A389" s="44"/>
      <c r="B389" s="19"/>
      <c r="C389" s="19"/>
      <c r="D389" s="18"/>
      <c r="E389" s="20"/>
      <c r="F389" s="23"/>
      <c r="G389" s="23"/>
      <c r="H389" s="18"/>
      <c r="I389" s="18"/>
      <c r="J389" s="24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5">
      <c r="A390" s="44"/>
      <c r="B390" s="19"/>
      <c r="C390" s="19"/>
      <c r="D390" s="18"/>
      <c r="E390" s="20"/>
      <c r="F390" s="23"/>
      <c r="G390" s="23"/>
      <c r="H390" s="18"/>
      <c r="I390" s="18"/>
      <c r="J390" s="24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5">
      <c r="A391" s="44"/>
      <c r="B391" s="19"/>
      <c r="C391" s="19"/>
      <c r="D391" s="18"/>
      <c r="E391" s="20"/>
      <c r="F391" s="23"/>
      <c r="G391" s="23"/>
      <c r="H391" s="18"/>
      <c r="I391" s="18"/>
      <c r="J391" s="24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5">
      <c r="A392" s="44"/>
      <c r="B392" s="19"/>
      <c r="C392" s="19"/>
      <c r="D392" s="18"/>
      <c r="E392" s="20"/>
      <c r="F392" s="23"/>
      <c r="G392" s="23"/>
      <c r="H392" s="18"/>
      <c r="I392" s="18"/>
      <c r="J392" s="24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5">
      <c r="A393" s="44"/>
      <c r="B393" s="19"/>
      <c r="C393" s="19"/>
      <c r="D393" s="18"/>
      <c r="E393" s="20"/>
      <c r="F393" s="23"/>
      <c r="G393" s="23"/>
      <c r="H393" s="18"/>
      <c r="I393" s="18"/>
      <c r="J393" s="24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5">
      <c r="A394" s="44"/>
      <c r="B394" s="19"/>
      <c r="C394" s="19"/>
      <c r="D394" s="18"/>
      <c r="E394" s="20"/>
      <c r="F394" s="23"/>
      <c r="G394" s="23"/>
      <c r="H394" s="18"/>
      <c r="I394" s="18"/>
      <c r="J394" s="24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5">
      <c r="A395" s="44"/>
      <c r="B395" s="19"/>
      <c r="C395" s="19"/>
      <c r="D395" s="18"/>
      <c r="E395" s="20"/>
      <c r="F395" s="23"/>
      <c r="G395" s="23"/>
      <c r="H395" s="18"/>
      <c r="I395" s="18"/>
      <c r="J395" s="24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5">
      <c r="A396" s="44"/>
      <c r="B396" s="19"/>
      <c r="C396" s="19"/>
      <c r="D396" s="18"/>
      <c r="E396" s="20"/>
      <c r="F396" s="23"/>
      <c r="G396" s="23"/>
      <c r="H396" s="18"/>
      <c r="I396" s="18"/>
      <c r="J396" s="24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5">
      <c r="A397" s="44"/>
      <c r="B397" s="19"/>
      <c r="C397" s="19"/>
      <c r="D397" s="18"/>
      <c r="E397" s="20"/>
      <c r="F397" s="23"/>
      <c r="G397" s="23"/>
      <c r="H397" s="18"/>
      <c r="I397" s="18"/>
      <c r="J397" s="24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5">
      <c r="A398" s="44"/>
      <c r="B398" s="19"/>
      <c r="C398" s="19"/>
      <c r="D398" s="18"/>
      <c r="E398" s="20"/>
      <c r="F398" s="23"/>
      <c r="G398" s="23"/>
      <c r="H398" s="18"/>
      <c r="I398" s="18"/>
      <c r="J398" s="24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5">
      <c r="A399" s="44"/>
      <c r="B399" s="19"/>
      <c r="C399" s="19"/>
      <c r="D399" s="18"/>
      <c r="E399" s="20"/>
      <c r="F399" s="23"/>
      <c r="G399" s="23"/>
      <c r="H399" s="18"/>
      <c r="I399" s="18"/>
      <c r="J399" s="24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5">
      <c r="A400" s="44"/>
      <c r="B400" s="19"/>
      <c r="C400" s="19"/>
      <c r="D400" s="18"/>
      <c r="E400" s="20"/>
      <c r="F400" s="23"/>
      <c r="G400" s="23"/>
      <c r="H400" s="18"/>
      <c r="I400" s="18"/>
      <c r="J400" s="24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5">
      <c r="A401" s="44"/>
      <c r="B401" s="19"/>
      <c r="C401" s="19"/>
      <c r="D401" s="18"/>
      <c r="E401" s="20"/>
      <c r="F401" s="23"/>
      <c r="G401" s="23"/>
      <c r="H401" s="18"/>
      <c r="I401" s="18"/>
      <c r="J401" s="24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5">
      <c r="A402" s="44"/>
      <c r="B402" s="19"/>
      <c r="C402" s="19"/>
      <c r="D402" s="18"/>
      <c r="E402" s="20"/>
      <c r="F402" s="23"/>
      <c r="G402" s="23"/>
      <c r="H402" s="18"/>
      <c r="I402" s="18"/>
      <c r="J402" s="24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5">
      <c r="A403" s="44"/>
      <c r="B403" s="19"/>
      <c r="C403" s="19"/>
      <c r="D403" s="18"/>
      <c r="E403" s="20"/>
      <c r="F403" s="23"/>
      <c r="G403" s="23"/>
      <c r="H403" s="18"/>
      <c r="I403" s="18"/>
      <c r="J403" s="24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5">
      <c r="A404" s="44"/>
      <c r="B404" s="19"/>
      <c r="C404" s="19"/>
      <c r="D404" s="18"/>
      <c r="E404" s="20"/>
      <c r="F404" s="23"/>
      <c r="G404" s="23"/>
      <c r="H404" s="18"/>
      <c r="I404" s="18"/>
      <c r="J404" s="24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5">
      <c r="A405" s="44"/>
      <c r="B405" s="19"/>
      <c r="C405" s="19"/>
      <c r="D405" s="18"/>
      <c r="E405" s="20"/>
      <c r="F405" s="23"/>
      <c r="G405" s="23"/>
      <c r="H405" s="18"/>
      <c r="I405" s="18"/>
      <c r="J405" s="24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5">
      <c r="A406" s="44"/>
      <c r="B406" s="19"/>
      <c r="C406" s="19"/>
      <c r="D406" s="18"/>
      <c r="E406" s="20"/>
      <c r="F406" s="23"/>
      <c r="G406" s="23"/>
      <c r="H406" s="18"/>
      <c r="I406" s="18"/>
      <c r="J406" s="24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5">
      <c r="A407" s="44"/>
      <c r="B407" s="19"/>
      <c r="C407" s="19"/>
      <c r="D407" s="18"/>
      <c r="E407" s="20"/>
      <c r="F407" s="23"/>
      <c r="G407" s="23"/>
      <c r="H407" s="18"/>
      <c r="I407" s="18"/>
      <c r="J407" s="24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5">
      <c r="A408" s="44"/>
      <c r="B408" s="19"/>
      <c r="C408" s="19"/>
      <c r="D408" s="18"/>
      <c r="E408" s="20"/>
      <c r="F408" s="23"/>
      <c r="G408" s="23"/>
      <c r="H408" s="18"/>
      <c r="I408" s="18"/>
      <c r="J408" s="24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5">
      <c r="A409" s="44"/>
      <c r="B409" s="19"/>
      <c r="C409" s="19"/>
      <c r="D409" s="18"/>
      <c r="E409" s="20"/>
      <c r="F409" s="23"/>
      <c r="G409" s="23"/>
      <c r="H409" s="18"/>
      <c r="I409" s="18"/>
      <c r="J409" s="24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5">
      <c r="A410" s="44"/>
      <c r="B410" s="19"/>
      <c r="C410" s="19"/>
      <c r="D410" s="18"/>
      <c r="E410" s="20"/>
      <c r="F410" s="23"/>
      <c r="G410" s="23"/>
      <c r="H410" s="18"/>
      <c r="I410" s="18"/>
      <c r="J410" s="24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5">
      <c r="A411" s="44"/>
      <c r="B411" s="19"/>
      <c r="C411" s="19"/>
      <c r="D411" s="18"/>
      <c r="E411" s="20"/>
      <c r="F411" s="23"/>
      <c r="G411" s="23"/>
      <c r="H411" s="18"/>
      <c r="I411" s="18"/>
      <c r="J411" s="24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5">
      <c r="A412" s="44"/>
      <c r="B412" s="19"/>
      <c r="C412" s="19"/>
      <c r="D412" s="18"/>
      <c r="E412" s="20"/>
      <c r="F412" s="23"/>
      <c r="G412" s="23"/>
      <c r="H412" s="18"/>
      <c r="I412" s="18"/>
      <c r="J412" s="24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5">
      <c r="A413" s="44"/>
      <c r="B413" s="19"/>
      <c r="C413" s="19"/>
      <c r="D413" s="18"/>
      <c r="E413" s="20"/>
      <c r="F413" s="23"/>
      <c r="G413" s="23"/>
      <c r="H413" s="18"/>
      <c r="I413" s="18"/>
      <c r="J413" s="24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5">
      <c r="A414" s="44"/>
      <c r="B414" s="19"/>
      <c r="C414" s="19"/>
      <c r="D414" s="18"/>
      <c r="E414" s="20"/>
      <c r="F414" s="23"/>
      <c r="G414" s="23"/>
      <c r="H414" s="18"/>
      <c r="I414" s="18"/>
      <c r="J414" s="24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5">
      <c r="A415" s="44"/>
      <c r="B415" s="19"/>
      <c r="C415" s="19"/>
      <c r="D415" s="18"/>
      <c r="E415" s="20"/>
      <c r="F415" s="23"/>
      <c r="G415" s="23"/>
      <c r="H415" s="18"/>
      <c r="I415" s="18"/>
      <c r="J415" s="24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5">
      <c r="A416" s="44"/>
      <c r="B416" s="19"/>
      <c r="C416" s="19"/>
      <c r="D416" s="18"/>
      <c r="E416" s="20"/>
      <c r="F416" s="23"/>
      <c r="G416" s="23"/>
      <c r="H416" s="18"/>
      <c r="I416" s="18"/>
      <c r="J416" s="24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5">
      <c r="A417" s="44"/>
      <c r="B417" s="19"/>
      <c r="C417" s="19"/>
      <c r="D417" s="18"/>
      <c r="E417" s="20"/>
      <c r="F417" s="23"/>
      <c r="G417" s="23"/>
      <c r="H417" s="18"/>
      <c r="I417" s="18"/>
      <c r="J417" s="24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5">
      <c r="A418" s="44"/>
      <c r="B418" s="19"/>
      <c r="C418" s="19"/>
      <c r="D418" s="18"/>
      <c r="E418" s="20"/>
      <c r="F418" s="23"/>
      <c r="G418" s="23"/>
      <c r="H418" s="18"/>
      <c r="I418" s="18"/>
      <c r="J418" s="24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5">
      <c r="A419" s="44"/>
      <c r="B419" s="19"/>
      <c r="C419" s="19"/>
      <c r="D419" s="18"/>
      <c r="E419" s="20"/>
      <c r="F419" s="23"/>
      <c r="G419" s="23"/>
      <c r="H419" s="18"/>
      <c r="I419" s="18"/>
      <c r="J419" s="24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5">
      <c r="A420" s="44"/>
      <c r="B420" s="19"/>
      <c r="C420" s="19"/>
      <c r="D420" s="18"/>
      <c r="E420" s="20"/>
      <c r="F420" s="23"/>
      <c r="G420" s="23"/>
      <c r="H420" s="18"/>
      <c r="I420" s="18"/>
      <c r="J420" s="24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5">
      <c r="A421" s="44"/>
      <c r="B421" s="19"/>
      <c r="C421" s="19"/>
      <c r="D421" s="18"/>
      <c r="E421" s="20"/>
      <c r="F421" s="23"/>
      <c r="G421" s="23"/>
      <c r="H421" s="18"/>
      <c r="I421" s="18"/>
      <c r="J421" s="18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5">
      <c r="A422" s="44"/>
      <c r="B422" s="19"/>
      <c r="C422" s="19"/>
      <c r="D422" s="18"/>
      <c r="E422" s="20"/>
      <c r="F422" s="23"/>
      <c r="G422" s="23"/>
      <c r="H422" s="18"/>
      <c r="I422" s="18"/>
      <c r="J422" s="18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5">
      <c r="A423" s="44"/>
      <c r="B423" s="19"/>
      <c r="C423" s="19"/>
      <c r="D423" s="18"/>
      <c r="E423" s="20"/>
      <c r="F423" s="23"/>
      <c r="G423" s="23"/>
      <c r="H423" s="18"/>
      <c r="I423" s="18"/>
      <c r="J423" s="18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5">
      <c r="A424" s="51"/>
      <c r="B424" s="52"/>
      <c r="C424" s="19"/>
      <c r="D424" s="18"/>
      <c r="E424" s="20"/>
      <c r="F424" s="23"/>
      <c r="G424" s="23"/>
      <c r="H424" s="18"/>
      <c r="I424" s="18"/>
      <c r="J424" s="24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5">
      <c r="A425" s="51"/>
      <c r="B425" s="52"/>
      <c r="C425" s="19"/>
      <c r="D425" s="18"/>
      <c r="E425" s="20"/>
      <c r="F425" s="23"/>
      <c r="G425" s="23"/>
      <c r="H425" s="18"/>
      <c r="I425" s="18"/>
      <c r="J425" s="24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5">
      <c r="A426" s="51"/>
      <c r="B426" s="52"/>
      <c r="C426" s="19"/>
      <c r="D426" s="18"/>
      <c r="E426" s="20"/>
      <c r="F426" s="23"/>
      <c r="G426" s="23"/>
      <c r="H426" s="18"/>
      <c r="I426" s="18"/>
      <c r="J426" s="24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5">
      <c r="A427" s="51"/>
      <c r="B427" s="52"/>
      <c r="C427" s="19"/>
      <c r="D427" s="18"/>
      <c r="E427" s="20"/>
      <c r="F427" s="23"/>
      <c r="G427" s="23"/>
      <c r="H427" s="18"/>
      <c r="I427" s="18"/>
      <c r="J427" s="24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5">
      <c r="A428" s="51"/>
      <c r="B428" s="52"/>
      <c r="C428" s="19"/>
      <c r="D428" s="18"/>
      <c r="E428" s="20"/>
      <c r="F428" s="23"/>
      <c r="G428" s="23"/>
      <c r="H428" s="18"/>
      <c r="I428" s="18"/>
      <c r="J428" s="24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5">
      <c r="A429" s="51"/>
      <c r="B429" s="52"/>
      <c r="C429" s="19"/>
      <c r="D429" s="18"/>
      <c r="E429" s="20"/>
      <c r="F429" s="23"/>
      <c r="G429" s="23"/>
      <c r="H429" s="18"/>
      <c r="I429" s="18"/>
      <c r="J429" s="24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5">
      <c r="A430" s="51"/>
      <c r="B430" s="52"/>
      <c r="C430" s="19"/>
      <c r="D430" s="18"/>
      <c r="E430" s="20"/>
      <c r="F430" s="23"/>
      <c r="G430" s="23"/>
      <c r="H430" s="18"/>
      <c r="I430" s="18"/>
      <c r="J430" s="24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5">
      <c r="A431" s="51"/>
      <c r="B431" s="52"/>
      <c r="C431" s="19"/>
      <c r="D431" s="18"/>
      <c r="E431" s="20"/>
      <c r="F431" s="23"/>
      <c r="G431" s="23"/>
      <c r="H431" s="18"/>
      <c r="I431" s="18"/>
      <c r="J431" s="24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5">
      <c r="A432" s="51"/>
      <c r="B432" s="52"/>
      <c r="C432" s="19"/>
      <c r="D432" s="18"/>
      <c r="E432" s="20"/>
      <c r="F432" s="23"/>
      <c r="G432" s="23"/>
      <c r="H432" s="18"/>
      <c r="I432" s="18"/>
      <c r="J432" s="24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5">
      <c r="A433" s="51"/>
      <c r="B433" s="52"/>
      <c r="C433" s="19"/>
      <c r="D433" s="18"/>
      <c r="E433" s="20"/>
      <c r="F433" s="23"/>
      <c r="G433" s="23"/>
      <c r="H433" s="18"/>
      <c r="I433" s="18"/>
      <c r="J433" s="24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5">
      <c r="A434" s="51"/>
      <c r="B434" s="52"/>
      <c r="C434" s="19"/>
      <c r="D434" s="18"/>
      <c r="E434" s="20"/>
      <c r="F434" s="23"/>
      <c r="G434" s="23"/>
      <c r="H434" s="18"/>
      <c r="I434" s="18"/>
      <c r="J434" s="24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5">
      <c r="A435" s="51"/>
      <c r="B435" s="52"/>
      <c r="C435" s="19"/>
      <c r="D435" s="18"/>
      <c r="E435" s="20"/>
      <c r="F435" s="23"/>
      <c r="G435" s="23"/>
      <c r="H435" s="18"/>
      <c r="I435" s="18"/>
      <c r="J435" s="24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5">
      <c r="A436" s="51"/>
      <c r="B436" s="52"/>
      <c r="C436" s="19"/>
      <c r="D436" s="18"/>
      <c r="E436" s="20"/>
      <c r="F436" s="23"/>
      <c r="G436" s="23"/>
      <c r="H436" s="18"/>
      <c r="I436" s="18"/>
      <c r="J436" s="24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5">
      <c r="A437" s="51"/>
      <c r="B437" s="52"/>
      <c r="C437" s="19"/>
      <c r="D437" s="18"/>
      <c r="E437" s="20"/>
      <c r="F437" s="23"/>
      <c r="G437" s="23"/>
      <c r="H437" s="18"/>
      <c r="I437" s="18"/>
      <c r="J437" s="24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5">
      <c r="A438" s="51"/>
      <c r="B438" s="52"/>
      <c r="C438" s="19"/>
      <c r="D438" s="18"/>
      <c r="E438" s="20"/>
      <c r="F438" s="23"/>
      <c r="G438" s="23"/>
      <c r="H438" s="18"/>
      <c r="I438" s="18"/>
      <c r="J438" s="24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5">
      <c r="A439" s="51"/>
      <c r="B439" s="52"/>
      <c r="C439" s="19"/>
      <c r="D439" s="18"/>
      <c r="E439" s="20"/>
      <c r="F439" s="23"/>
      <c r="G439" s="23"/>
      <c r="H439" s="18"/>
      <c r="I439" s="18"/>
      <c r="J439" s="24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5">
      <c r="A440" s="51"/>
      <c r="B440" s="52"/>
      <c r="C440" s="19"/>
      <c r="D440" s="18"/>
      <c r="E440" s="20"/>
      <c r="F440" s="23"/>
      <c r="G440" s="23"/>
      <c r="H440" s="18"/>
      <c r="I440" s="18"/>
      <c r="J440" s="24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5">
      <c r="A441" s="51"/>
      <c r="B441" s="52"/>
      <c r="C441" s="19"/>
      <c r="D441" s="18"/>
      <c r="E441" s="20"/>
      <c r="F441" s="23"/>
      <c r="G441" s="23"/>
      <c r="H441" s="18"/>
      <c r="I441" s="18"/>
      <c r="J441" s="24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5">
      <c r="A442" s="51"/>
      <c r="B442" s="52"/>
      <c r="C442" s="19"/>
      <c r="D442" s="18"/>
      <c r="E442" s="20"/>
      <c r="F442" s="23"/>
      <c r="G442" s="23"/>
      <c r="H442" s="18"/>
      <c r="I442" s="18"/>
      <c r="J442" s="24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5">
      <c r="A443" s="51"/>
      <c r="B443" s="52"/>
      <c r="C443" s="19"/>
      <c r="D443" s="18"/>
      <c r="E443" s="20"/>
      <c r="F443" s="23"/>
      <c r="G443" s="23"/>
      <c r="H443" s="18"/>
      <c r="I443" s="18"/>
      <c r="J443" s="24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5">
      <c r="A444" s="51"/>
      <c r="B444" s="52"/>
      <c r="C444" s="19"/>
      <c r="D444" s="18"/>
      <c r="E444" s="20"/>
      <c r="F444" s="23"/>
      <c r="G444" s="23"/>
      <c r="H444" s="18"/>
      <c r="I444" s="18"/>
      <c r="J444" s="24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5">
      <c r="A445" s="51"/>
      <c r="B445" s="52"/>
      <c r="C445" s="19"/>
      <c r="D445" s="18"/>
      <c r="E445" s="20"/>
      <c r="F445" s="23"/>
      <c r="G445" s="23"/>
      <c r="H445" s="18"/>
      <c r="I445" s="18"/>
      <c r="J445" s="24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5">
      <c r="A446" s="51"/>
      <c r="B446" s="52"/>
      <c r="C446" s="19"/>
      <c r="D446" s="18"/>
      <c r="E446" s="20"/>
      <c r="F446" s="23"/>
      <c r="G446" s="23"/>
      <c r="H446" s="18"/>
      <c r="I446" s="18"/>
      <c r="J446" s="24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5">
      <c r="A447" s="51"/>
      <c r="B447" s="52"/>
      <c r="C447" s="19"/>
      <c r="D447" s="18"/>
      <c r="E447" s="20"/>
      <c r="F447" s="23"/>
      <c r="G447" s="23"/>
      <c r="H447" s="18"/>
      <c r="I447" s="18"/>
      <c r="J447" s="24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5">
      <c r="A448" s="51"/>
      <c r="B448" s="52"/>
      <c r="C448" s="19"/>
      <c r="D448" s="18"/>
      <c r="E448" s="20"/>
      <c r="F448" s="23"/>
      <c r="G448" s="23"/>
      <c r="H448" s="18"/>
      <c r="I448" s="18"/>
      <c r="J448" s="24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5">
      <c r="A449" s="51"/>
      <c r="B449" s="52"/>
      <c r="C449" s="19"/>
      <c r="D449" s="18"/>
      <c r="E449" s="20"/>
      <c r="F449" s="23"/>
      <c r="G449" s="23"/>
      <c r="H449" s="18"/>
      <c r="I449" s="18"/>
      <c r="J449" s="24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5">
      <c r="A450" s="51"/>
      <c r="B450" s="52"/>
      <c r="C450" s="19"/>
      <c r="D450" s="18"/>
      <c r="E450" s="20"/>
      <c r="F450" s="23"/>
      <c r="G450" s="23"/>
      <c r="H450" s="18"/>
      <c r="I450" s="18"/>
      <c r="J450" s="24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5">
      <c r="A451" s="51"/>
      <c r="B451" s="52"/>
      <c r="C451" s="19"/>
      <c r="D451" s="18"/>
      <c r="E451" s="20"/>
      <c r="F451" s="23"/>
      <c r="G451" s="23"/>
      <c r="H451" s="18"/>
      <c r="I451" s="18"/>
      <c r="J451" s="24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5">
      <c r="A452" s="51"/>
      <c r="B452" s="52"/>
      <c r="C452" s="19"/>
      <c r="D452" s="18"/>
      <c r="E452" s="20"/>
      <c r="F452" s="23"/>
      <c r="G452" s="23"/>
      <c r="H452" s="18"/>
      <c r="I452" s="18"/>
      <c r="J452" s="24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5">
      <c r="A453" s="51"/>
      <c r="B453" s="52"/>
      <c r="C453" s="19"/>
      <c r="D453" s="18"/>
      <c r="E453" s="20"/>
      <c r="F453" s="23"/>
      <c r="G453" s="23"/>
      <c r="H453" s="18"/>
      <c r="I453" s="18"/>
      <c r="J453" s="24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5">
      <c r="A454" s="51"/>
      <c r="B454" s="52"/>
      <c r="C454" s="19"/>
      <c r="D454" s="18"/>
      <c r="E454" s="20"/>
      <c r="F454" s="23"/>
      <c r="G454" s="23"/>
      <c r="H454" s="18"/>
      <c r="I454" s="18"/>
      <c r="J454" s="24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5">
      <c r="A455" s="51"/>
      <c r="B455" s="52"/>
      <c r="C455" s="19"/>
      <c r="D455" s="18"/>
      <c r="E455" s="20"/>
      <c r="F455" s="23"/>
      <c r="G455" s="23"/>
      <c r="H455" s="18"/>
      <c r="I455" s="18"/>
      <c r="J455" s="24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5">
      <c r="A456" s="51"/>
      <c r="B456" s="52"/>
      <c r="C456" s="19"/>
      <c r="D456" s="18"/>
      <c r="E456" s="20"/>
      <c r="F456" s="23"/>
      <c r="G456" s="23"/>
      <c r="H456" s="18"/>
      <c r="I456" s="18"/>
      <c r="J456" s="24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5">
      <c r="A457" s="51"/>
      <c r="B457" s="52"/>
      <c r="C457" s="19"/>
      <c r="D457" s="18"/>
      <c r="E457" s="20"/>
      <c r="F457" s="23"/>
      <c r="G457" s="23"/>
      <c r="H457" s="18"/>
      <c r="I457" s="18"/>
      <c r="J457" s="24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5">
      <c r="A458" s="51"/>
      <c r="B458" s="52"/>
      <c r="C458" s="19"/>
      <c r="D458" s="18"/>
      <c r="E458" s="20"/>
      <c r="F458" s="23"/>
      <c r="G458" s="23"/>
      <c r="H458" s="18"/>
      <c r="I458" s="18"/>
      <c r="J458" s="24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5">
      <c r="A459" s="51"/>
      <c r="B459" s="52"/>
      <c r="C459" s="19"/>
      <c r="D459" s="18"/>
      <c r="E459" s="20"/>
      <c r="F459" s="23"/>
      <c r="G459" s="23"/>
      <c r="H459" s="18"/>
      <c r="I459" s="18"/>
      <c r="J459" s="24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5">
      <c r="A460" s="51"/>
      <c r="B460" s="52"/>
      <c r="C460" s="19"/>
      <c r="D460" s="18"/>
      <c r="E460" s="20"/>
      <c r="F460" s="23"/>
      <c r="G460" s="23"/>
      <c r="H460" s="18"/>
      <c r="I460" s="18"/>
      <c r="J460" s="24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5">
      <c r="A461" s="51"/>
      <c r="B461" s="52"/>
      <c r="C461" s="19"/>
      <c r="D461" s="18"/>
      <c r="E461" s="20"/>
      <c r="F461" s="23"/>
      <c r="G461" s="23"/>
      <c r="H461" s="18"/>
      <c r="I461" s="18"/>
      <c r="J461" s="24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5">
      <c r="A462" s="51"/>
      <c r="B462" s="52"/>
      <c r="C462" s="19"/>
      <c r="D462" s="18"/>
      <c r="E462" s="20"/>
      <c r="F462" s="23"/>
      <c r="G462" s="23"/>
      <c r="H462" s="18"/>
      <c r="I462" s="18"/>
      <c r="J462" s="24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5">
      <c r="A463" s="51"/>
      <c r="B463" s="52"/>
      <c r="C463" s="19"/>
      <c r="D463" s="18"/>
      <c r="E463" s="20"/>
      <c r="F463" s="23"/>
      <c r="G463" s="23"/>
      <c r="H463" s="18"/>
      <c r="I463" s="18"/>
      <c r="J463" s="24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5">
      <c r="A464" s="51"/>
      <c r="B464" s="52"/>
      <c r="C464" s="19"/>
      <c r="D464" s="18"/>
      <c r="E464" s="20"/>
      <c r="F464" s="23"/>
      <c r="G464" s="23"/>
      <c r="H464" s="18"/>
      <c r="I464" s="18"/>
      <c r="J464" s="24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5">
      <c r="A465" s="51"/>
      <c r="B465" s="52"/>
      <c r="C465" s="19"/>
      <c r="D465" s="18"/>
      <c r="E465" s="20"/>
      <c r="F465" s="23"/>
      <c r="G465" s="23"/>
      <c r="H465" s="18"/>
      <c r="I465" s="18"/>
      <c r="J465" s="24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5">
      <c r="A466" s="51"/>
      <c r="B466" s="52"/>
      <c r="C466" s="19"/>
      <c r="D466" s="18"/>
      <c r="E466" s="20"/>
      <c r="F466" s="23"/>
      <c r="G466" s="23"/>
      <c r="H466" s="18"/>
      <c r="I466" s="18"/>
      <c r="J466" s="24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5">
      <c r="A467" s="51"/>
      <c r="B467" s="52"/>
      <c r="C467" s="19"/>
      <c r="D467" s="18"/>
      <c r="E467" s="20"/>
      <c r="F467" s="23"/>
      <c r="G467" s="23"/>
      <c r="H467" s="18"/>
      <c r="I467" s="18"/>
      <c r="J467" s="24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5">
      <c r="A468" s="51"/>
      <c r="B468" s="52"/>
      <c r="C468" s="19"/>
      <c r="D468" s="18"/>
      <c r="E468" s="20"/>
      <c r="F468" s="23"/>
      <c r="G468" s="23"/>
      <c r="H468" s="18"/>
      <c r="I468" s="18"/>
      <c r="J468" s="24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5">
      <c r="A469" s="51"/>
      <c r="B469" s="52"/>
      <c r="C469" s="19"/>
      <c r="D469" s="18"/>
      <c r="E469" s="20"/>
      <c r="F469" s="23"/>
      <c r="G469" s="23"/>
      <c r="H469" s="18"/>
      <c r="I469" s="18"/>
      <c r="J469" s="24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5">
      <c r="A470" s="51"/>
      <c r="B470" s="52"/>
      <c r="C470" s="19"/>
      <c r="D470" s="18"/>
      <c r="E470" s="20"/>
      <c r="F470" s="23"/>
      <c r="G470" s="23"/>
      <c r="H470" s="18"/>
      <c r="I470" s="18"/>
      <c r="J470" s="24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5">
      <c r="A471" s="51"/>
      <c r="B471" s="52"/>
      <c r="C471" s="19"/>
      <c r="D471" s="18"/>
      <c r="E471" s="20"/>
      <c r="F471" s="23"/>
      <c r="G471" s="23"/>
      <c r="H471" s="18"/>
      <c r="I471" s="18"/>
      <c r="J471" s="24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5">
      <c r="A472" s="51"/>
      <c r="B472" s="52"/>
      <c r="C472" s="19"/>
      <c r="D472" s="18"/>
      <c r="E472" s="20"/>
      <c r="F472" s="23"/>
      <c r="G472" s="23"/>
      <c r="H472" s="18"/>
      <c r="I472" s="18"/>
      <c r="J472" s="24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5">
      <c r="A473" s="51"/>
      <c r="B473" s="52"/>
      <c r="C473" s="19"/>
      <c r="D473" s="18"/>
      <c r="E473" s="20"/>
      <c r="F473" s="23"/>
      <c r="G473" s="23"/>
      <c r="H473" s="18"/>
      <c r="I473" s="18"/>
      <c r="J473" s="24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5">
      <c r="A474" s="51"/>
      <c r="B474" s="52"/>
      <c r="C474" s="19"/>
      <c r="D474" s="18"/>
      <c r="E474" s="20"/>
      <c r="F474" s="23"/>
      <c r="G474" s="23"/>
      <c r="H474" s="18"/>
      <c r="I474" s="18"/>
      <c r="J474" s="24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5">
      <c r="A475" s="51"/>
      <c r="B475" s="52"/>
      <c r="C475" s="19"/>
      <c r="D475" s="18"/>
      <c r="E475" s="20"/>
      <c r="F475" s="23"/>
      <c r="G475" s="23"/>
      <c r="H475" s="18"/>
      <c r="I475" s="18"/>
      <c r="J475" s="24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5">
      <c r="A476" s="51"/>
      <c r="B476" s="52"/>
      <c r="C476" s="19"/>
      <c r="D476" s="18"/>
      <c r="E476" s="20"/>
      <c r="F476" s="23"/>
      <c r="G476" s="23"/>
      <c r="H476" s="18"/>
      <c r="I476" s="18"/>
      <c r="J476" s="24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5">
      <c r="A477" s="51"/>
      <c r="B477" s="52"/>
      <c r="C477" s="19"/>
      <c r="D477" s="18"/>
      <c r="E477" s="20"/>
      <c r="F477" s="23"/>
      <c r="G477" s="23"/>
      <c r="H477" s="18"/>
      <c r="I477" s="18"/>
      <c r="J477" s="24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5">
      <c r="A478" s="51"/>
      <c r="B478" s="52"/>
      <c r="C478" s="19"/>
      <c r="D478" s="18"/>
      <c r="E478" s="20"/>
      <c r="F478" s="23"/>
      <c r="G478" s="23"/>
      <c r="H478" s="18"/>
      <c r="I478" s="18"/>
      <c r="J478" s="24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5">
      <c r="A479" s="51"/>
      <c r="B479" s="52"/>
      <c r="C479" s="19"/>
      <c r="D479" s="18"/>
      <c r="E479" s="20"/>
      <c r="F479" s="23"/>
      <c r="G479" s="23"/>
      <c r="H479" s="18"/>
      <c r="I479" s="18"/>
      <c r="J479" s="24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5">
      <c r="A480" s="51"/>
      <c r="B480" s="52"/>
      <c r="C480" s="19"/>
      <c r="D480" s="18"/>
      <c r="E480" s="20"/>
      <c r="F480" s="23"/>
      <c r="G480" s="23"/>
      <c r="H480" s="18"/>
      <c r="I480" s="18"/>
      <c r="J480" s="24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5">
      <c r="A481" s="51"/>
      <c r="B481" s="52"/>
      <c r="C481" s="19"/>
      <c r="D481" s="18"/>
      <c r="E481" s="20"/>
      <c r="F481" s="23"/>
      <c r="G481" s="23"/>
      <c r="H481" s="18"/>
      <c r="I481" s="18"/>
      <c r="J481" s="24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5">
      <c r="A482" s="51"/>
      <c r="B482" s="52"/>
      <c r="C482" s="19"/>
      <c r="D482" s="18"/>
      <c r="E482" s="20"/>
      <c r="F482" s="23"/>
      <c r="G482" s="23"/>
      <c r="H482" s="18"/>
      <c r="I482" s="18"/>
      <c r="J482" s="24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5">
      <c r="A483" s="51"/>
      <c r="B483" s="52"/>
      <c r="C483" s="19"/>
      <c r="D483" s="18"/>
      <c r="E483" s="20"/>
      <c r="F483" s="23"/>
      <c r="G483" s="23"/>
      <c r="H483" s="18"/>
      <c r="I483" s="18"/>
      <c r="J483" s="24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5">
      <c r="A484" s="51"/>
      <c r="B484" s="52"/>
      <c r="C484" s="19"/>
      <c r="D484" s="18"/>
      <c r="E484" s="20"/>
      <c r="F484" s="23"/>
      <c r="G484" s="23"/>
      <c r="H484" s="18"/>
      <c r="I484" s="18"/>
      <c r="J484" s="24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5">
      <c r="A485" s="51"/>
      <c r="B485" s="52"/>
      <c r="C485" s="19"/>
      <c r="D485" s="18"/>
      <c r="E485" s="20"/>
      <c r="F485" s="23"/>
      <c r="G485" s="23"/>
      <c r="H485" s="18"/>
      <c r="I485" s="18"/>
      <c r="J485" s="24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5">
      <c r="A486" s="51"/>
      <c r="B486" s="52"/>
      <c r="C486" s="19"/>
      <c r="D486" s="18"/>
      <c r="E486" s="20"/>
      <c r="F486" s="23"/>
      <c r="G486" s="23"/>
      <c r="H486" s="18"/>
      <c r="I486" s="18"/>
      <c r="J486" s="24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5">
      <c r="A487" s="51"/>
      <c r="B487" s="52"/>
      <c r="C487" s="19"/>
      <c r="D487" s="18"/>
      <c r="E487" s="20"/>
      <c r="F487" s="23"/>
      <c r="G487" s="23"/>
      <c r="H487" s="18"/>
      <c r="I487" s="18"/>
      <c r="J487" s="24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5">
      <c r="A488" s="51"/>
      <c r="B488" s="52"/>
      <c r="C488" s="19"/>
      <c r="D488" s="18"/>
      <c r="E488" s="20"/>
      <c r="F488" s="23"/>
      <c r="G488" s="23"/>
      <c r="H488" s="18"/>
      <c r="I488" s="18"/>
      <c r="J488" s="24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5">
      <c r="A489" s="51"/>
      <c r="B489" s="52"/>
      <c r="C489" s="19"/>
      <c r="D489" s="18"/>
      <c r="E489" s="20"/>
      <c r="F489" s="23"/>
      <c r="G489" s="23"/>
      <c r="H489" s="18"/>
      <c r="I489" s="18"/>
      <c r="J489" s="24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5">
      <c r="A490" s="51"/>
      <c r="B490" s="52"/>
      <c r="C490" s="19"/>
      <c r="D490" s="18"/>
      <c r="E490" s="20"/>
      <c r="F490" s="23"/>
      <c r="G490" s="23"/>
      <c r="H490" s="18"/>
      <c r="I490" s="18"/>
      <c r="J490" s="24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5">
      <c r="A491" s="51"/>
      <c r="B491" s="52"/>
      <c r="C491" s="19"/>
      <c r="D491" s="18"/>
      <c r="E491" s="20"/>
      <c r="F491" s="23"/>
      <c r="G491" s="23"/>
      <c r="H491" s="18"/>
      <c r="I491" s="18"/>
      <c r="J491" s="24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5">
      <c r="A492" s="51"/>
      <c r="B492" s="52"/>
      <c r="C492" s="19"/>
      <c r="D492" s="18"/>
      <c r="E492" s="20"/>
      <c r="F492" s="23"/>
      <c r="G492" s="23"/>
      <c r="H492" s="18"/>
      <c r="I492" s="18"/>
      <c r="J492" s="24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5">
      <c r="A493" s="51"/>
      <c r="B493" s="52"/>
      <c r="C493" s="19"/>
      <c r="D493" s="18"/>
      <c r="E493" s="20"/>
      <c r="F493" s="23"/>
      <c r="G493" s="23"/>
      <c r="H493" s="18"/>
      <c r="I493" s="18"/>
      <c r="J493" s="24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5">
      <c r="A494" s="51"/>
      <c r="B494" s="52"/>
      <c r="C494" s="19"/>
      <c r="D494" s="18"/>
      <c r="E494" s="20"/>
      <c r="F494" s="23"/>
      <c r="G494" s="23"/>
      <c r="H494" s="18"/>
      <c r="I494" s="18"/>
      <c r="J494" s="24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5">
      <c r="A495" s="51"/>
      <c r="B495" s="52"/>
      <c r="C495" s="19"/>
      <c r="D495" s="18"/>
      <c r="E495" s="20"/>
      <c r="F495" s="23"/>
      <c r="G495" s="23"/>
      <c r="H495" s="18"/>
      <c r="I495" s="18"/>
      <c r="J495" s="24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5">
      <c r="A496" s="51"/>
      <c r="B496" s="52"/>
      <c r="C496" s="19"/>
      <c r="D496" s="18"/>
      <c r="E496" s="20"/>
      <c r="F496" s="23"/>
      <c r="G496" s="23"/>
      <c r="H496" s="18"/>
      <c r="I496" s="18"/>
      <c r="J496" s="24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5">
      <c r="A497" s="51"/>
      <c r="B497" s="52"/>
      <c r="C497" s="19"/>
      <c r="D497" s="18"/>
      <c r="E497" s="20"/>
      <c r="F497" s="23"/>
      <c r="G497" s="23"/>
      <c r="H497" s="18"/>
      <c r="I497" s="18"/>
      <c r="J497" s="24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5">
      <c r="A498" s="51"/>
      <c r="B498" s="52"/>
      <c r="C498" s="19"/>
      <c r="D498" s="18"/>
      <c r="E498" s="20"/>
      <c r="F498" s="23"/>
      <c r="G498" s="23"/>
      <c r="H498" s="18"/>
      <c r="I498" s="18"/>
      <c r="J498" s="24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5">
      <c r="A499" s="51"/>
      <c r="B499" s="52"/>
      <c r="C499" s="19"/>
      <c r="D499" s="18"/>
      <c r="E499" s="20"/>
      <c r="F499" s="23"/>
      <c r="G499" s="23"/>
      <c r="H499" s="18"/>
      <c r="I499" s="18"/>
      <c r="J499" s="24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5">
      <c r="A500" s="51"/>
      <c r="B500" s="52"/>
      <c r="C500" s="19"/>
      <c r="D500" s="18"/>
      <c r="E500" s="20"/>
      <c r="F500" s="23"/>
      <c r="G500" s="23"/>
      <c r="H500" s="18"/>
      <c r="I500" s="18"/>
      <c r="J500" s="24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5">
      <c r="A501" s="51"/>
      <c r="B501" s="52"/>
      <c r="C501" s="19"/>
      <c r="D501" s="18"/>
      <c r="E501" s="20"/>
      <c r="F501" s="23"/>
      <c r="G501" s="23"/>
      <c r="H501" s="18"/>
      <c r="I501" s="18"/>
      <c r="J501" s="24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5">
      <c r="A502" s="51"/>
      <c r="B502" s="52"/>
      <c r="C502" s="19"/>
      <c r="D502" s="18"/>
      <c r="E502" s="20"/>
      <c r="F502" s="23"/>
      <c r="G502" s="23"/>
      <c r="H502" s="18"/>
      <c r="I502" s="18"/>
      <c r="J502" s="24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5">
      <c r="A503" s="51"/>
      <c r="B503" s="52"/>
      <c r="C503" s="19"/>
      <c r="D503" s="18"/>
      <c r="E503" s="20"/>
      <c r="F503" s="23"/>
      <c r="G503" s="23"/>
      <c r="H503" s="18"/>
      <c r="I503" s="18"/>
      <c r="J503" s="24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5">
      <c r="A504" s="51"/>
      <c r="B504" s="52"/>
      <c r="C504" s="19"/>
      <c r="D504" s="18"/>
      <c r="E504" s="20"/>
      <c r="F504" s="23"/>
      <c r="G504" s="23"/>
      <c r="H504" s="18"/>
      <c r="I504" s="18"/>
      <c r="J504" s="24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5">
      <c r="A505" s="51"/>
      <c r="B505" s="52"/>
      <c r="C505" s="19"/>
      <c r="D505" s="18"/>
      <c r="E505" s="20"/>
      <c r="F505" s="23"/>
      <c r="G505" s="23"/>
      <c r="H505" s="18"/>
      <c r="I505" s="18"/>
      <c r="J505" s="24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5">
      <c r="A506" s="51"/>
      <c r="B506" s="52"/>
      <c r="C506" s="19"/>
      <c r="D506" s="18"/>
      <c r="E506" s="20"/>
      <c r="F506" s="23"/>
      <c r="G506" s="23"/>
      <c r="H506" s="18"/>
      <c r="I506" s="18"/>
      <c r="J506" s="24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5">
      <c r="A507" s="51"/>
      <c r="B507" s="52"/>
      <c r="C507" s="19"/>
      <c r="D507" s="18"/>
      <c r="E507" s="20"/>
      <c r="F507" s="23"/>
      <c r="G507" s="23"/>
      <c r="H507" s="18"/>
      <c r="I507" s="18"/>
      <c r="J507" s="24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5">
      <c r="A508" s="51"/>
      <c r="B508" s="52"/>
      <c r="C508" s="19"/>
      <c r="D508" s="18"/>
      <c r="E508" s="20"/>
      <c r="F508" s="23"/>
      <c r="G508" s="23"/>
      <c r="H508" s="18"/>
      <c r="I508" s="18"/>
      <c r="J508" s="24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5">
      <c r="A509" s="51"/>
      <c r="B509" s="52"/>
      <c r="C509" s="19"/>
      <c r="D509" s="18"/>
      <c r="E509" s="20"/>
      <c r="F509" s="23"/>
      <c r="G509" s="23"/>
      <c r="H509" s="18"/>
      <c r="I509" s="18"/>
      <c r="J509" s="24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5">
      <c r="A510" s="51"/>
      <c r="B510" s="52"/>
      <c r="C510" s="19"/>
      <c r="D510" s="18"/>
      <c r="E510" s="20"/>
      <c r="F510" s="23"/>
      <c r="G510" s="23"/>
      <c r="H510" s="18"/>
      <c r="I510" s="18"/>
      <c r="J510" s="24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5">
      <c r="A511" s="51"/>
      <c r="B511" s="52"/>
      <c r="C511" s="19"/>
      <c r="D511" s="18"/>
      <c r="E511" s="20"/>
      <c r="F511" s="23"/>
      <c r="G511" s="23"/>
      <c r="H511" s="18"/>
      <c r="I511" s="18"/>
      <c r="J511" s="24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5">
      <c r="A512" s="51"/>
      <c r="B512" s="52"/>
      <c r="C512" s="19"/>
      <c r="D512" s="18"/>
      <c r="E512" s="20"/>
      <c r="F512" s="23"/>
      <c r="G512" s="23"/>
      <c r="H512" s="18"/>
      <c r="I512" s="18"/>
      <c r="J512" s="24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5">
      <c r="A513" s="51"/>
      <c r="B513" s="52"/>
      <c r="C513" s="19"/>
      <c r="D513" s="18"/>
      <c r="E513" s="20"/>
      <c r="F513" s="23"/>
      <c r="G513" s="23"/>
      <c r="H513" s="18"/>
      <c r="I513" s="18"/>
      <c r="J513" s="24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5">
      <c r="A514" s="51"/>
      <c r="B514" s="52"/>
      <c r="C514" s="19"/>
      <c r="D514" s="18"/>
      <c r="E514" s="20"/>
      <c r="F514" s="23"/>
      <c r="G514" s="23"/>
      <c r="H514" s="18"/>
      <c r="I514" s="18"/>
      <c r="J514" s="24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5">
      <c r="A515" s="51"/>
      <c r="B515" s="52"/>
      <c r="C515" s="19"/>
      <c r="D515" s="18"/>
      <c r="E515" s="20"/>
      <c r="F515" s="23"/>
      <c r="G515" s="23"/>
      <c r="H515" s="18"/>
      <c r="I515" s="18"/>
      <c r="J515" s="24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5">
      <c r="A516" s="51"/>
      <c r="B516" s="52"/>
      <c r="C516" s="19"/>
      <c r="D516" s="18"/>
      <c r="E516" s="20"/>
      <c r="F516" s="23"/>
      <c r="G516" s="23"/>
      <c r="H516" s="18"/>
      <c r="I516" s="18"/>
      <c r="J516" s="24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5">
      <c r="A517" s="51"/>
      <c r="B517" s="52"/>
      <c r="C517" s="19"/>
      <c r="D517" s="18"/>
      <c r="E517" s="20"/>
      <c r="F517" s="23"/>
      <c r="G517" s="23"/>
      <c r="H517" s="18"/>
      <c r="I517" s="18"/>
      <c r="J517" s="24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5">
      <c r="A518" s="51"/>
      <c r="B518" s="52"/>
      <c r="C518" s="19"/>
      <c r="D518" s="18"/>
      <c r="E518" s="20"/>
      <c r="F518" s="23"/>
      <c r="G518" s="23"/>
      <c r="H518" s="18"/>
      <c r="I518" s="18"/>
      <c r="J518" s="24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5">
      <c r="A519" s="51"/>
      <c r="B519" s="52"/>
      <c r="C519" s="19"/>
      <c r="D519" s="18"/>
      <c r="E519" s="20"/>
      <c r="F519" s="23"/>
      <c r="G519" s="23"/>
      <c r="H519" s="18"/>
      <c r="I519" s="18"/>
      <c r="J519" s="24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5">
      <c r="A520" s="51"/>
      <c r="B520" s="52"/>
      <c r="C520" s="19"/>
      <c r="D520" s="18"/>
      <c r="E520" s="20"/>
      <c r="F520" s="23"/>
      <c r="G520" s="23"/>
      <c r="H520" s="18"/>
      <c r="I520" s="18"/>
      <c r="J520" s="24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5">
      <c r="A521" s="51"/>
      <c r="B521" s="52"/>
      <c r="C521" s="19"/>
      <c r="D521" s="18"/>
      <c r="E521" s="20"/>
      <c r="F521" s="23"/>
      <c r="G521" s="23"/>
      <c r="H521" s="18"/>
      <c r="I521" s="18"/>
      <c r="J521" s="24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5">
      <c r="A522" s="51"/>
      <c r="B522" s="52"/>
      <c r="C522" s="19"/>
      <c r="D522" s="18"/>
      <c r="E522" s="20"/>
      <c r="F522" s="23"/>
      <c r="G522" s="23"/>
      <c r="H522" s="18"/>
      <c r="I522" s="18"/>
      <c r="J522" s="24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5">
      <c r="A523" s="51"/>
      <c r="B523" s="52"/>
      <c r="C523" s="19"/>
      <c r="D523" s="18"/>
      <c r="E523" s="20"/>
      <c r="F523" s="23"/>
      <c r="G523" s="23"/>
      <c r="H523" s="18"/>
      <c r="I523" s="18"/>
      <c r="J523" s="24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5">
      <c r="A524" s="51"/>
      <c r="B524" s="52"/>
      <c r="C524" s="19"/>
      <c r="D524" s="18"/>
      <c r="E524" s="20"/>
      <c r="F524" s="23"/>
      <c r="G524" s="23"/>
      <c r="H524" s="18"/>
      <c r="I524" s="18"/>
      <c r="J524" s="24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5">
      <c r="A525" s="51"/>
      <c r="B525" s="52"/>
      <c r="C525" s="19"/>
      <c r="D525" s="18"/>
      <c r="E525" s="20"/>
      <c r="F525" s="23"/>
      <c r="G525" s="23"/>
      <c r="H525" s="18"/>
      <c r="I525" s="18"/>
      <c r="J525" s="24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5">
      <c r="A526" s="51"/>
      <c r="B526" s="52"/>
      <c r="C526" s="19"/>
      <c r="D526" s="18"/>
      <c r="E526" s="20"/>
      <c r="F526" s="23"/>
      <c r="G526" s="23"/>
      <c r="H526" s="18"/>
      <c r="I526" s="18"/>
      <c r="J526" s="24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5">
      <c r="A527" s="51"/>
      <c r="B527" s="52"/>
      <c r="C527" s="19"/>
      <c r="D527" s="18"/>
      <c r="E527" s="20"/>
      <c r="F527" s="23"/>
      <c r="G527" s="23"/>
      <c r="H527" s="18"/>
      <c r="I527" s="18"/>
      <c r="J527" s="24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5">
      <c r="A528" s="51"/>
      <c r="B528" s="52"/>
      <c r="C528" s="19"/>
      <c r="D528" s="18"/>
      <c r="E528" s="20"/>
      <c r="F528" s="23"/>
      <c r="G528" s="23"/>
      <c r="H528" s="18"/>
      <c r="I528" s="18"/>
      <c r="J528" s="24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5">
      <c r="A529" s="51"/>
      <c r="B529" s="52"/>
      <c r="C529" s="19"/>
      <c r="D529" s="18"/>
      <c r="E529" s="20"/>
      <c r="F529" s="23"/>
      <c r="G529" s="23"/>
      <c r="H529" s="18"/>
      <c r="I529" s="18"/>
      <c r="J529" s="24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5">
      <c r="A530" s="51"/>
      <c r="B530" s="52"/>
      <c r="C530" s="19"/>
      <c r="D530" s="18"/>
      <c r="E530" s="20"/>
      <c r="F530" s="23"/>
      <c r="G530" s="23"/>
      <c r="H530" s="18"/>
      <c r="I530" s="18"/>
      <c r="J530" s="24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5">
      <c r="A531" s="51"/>
      <c r="B531" s="52"/>
      <c r="C531" s="19"/>
      <c r="D531" s="18"/>
      <c r="E531" s="20"/>
      <c r="F531" s="23"/>
      <c r="G531" s="23"/>
      <c r="H531" s="18"/>
      <c r="I531" s="18"/>
      <c r="J531" s="24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5">
      <c r="A532" s="51"/>
      <c r="B532" s="52"/>
      <c r="C532" s="19"/>
      <c r="D532" s="18"/>
      <c r="E532" s="20"/>
      <c r="F532" s="23"/>
      <c r="G532" s="23"/>
      <c r="H532" s="18"/>
      <c r="I532" s="18"/>
      <c r="J532" s="24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5">
      <c r="A533" s="51"/>
      <c r="B533" s="52"/>
      <c r="C533" s="19"/>
      <c r="D533" s="18"/>
      <c r="E533" s="20"/>
      <c r="F533" s="23"/>
      <c r="G533" s="23"/>
      <c r="H533" s="18"/>
      <c r="I533" s="18"/>
      <c r="J533" s="24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5">
      <c r="A534" s="51"/>
      <c r="B534" s="52"/>
      <c r="C534" s="19"/>
      <c r="D534" s="18"/>
      <c r="E534" s="20"/>
      <c r="F534" s="23"/>
      <c r="G534" s="23"/>
      <c r="H534" s="18"/>
      <c r="I534" s="18"/>
      <c r="J534" s="24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5">
      <c r="A535" s="51"/>
      <c r="B535" s="52"/>
      <c r="C535" s="19"/>
      <c r="D535" s="18"/>
      <c r="E535" s="20"/>
      <c r="F535" s="23"/>
      <c r="G535" s="23"/>
      <c r="H535" s="18"/>
      <c r="I535" s="18"/>
      <c r="J535" s="24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5">
      <c r="A536" s="51"/>
      <c r="B536" s="52"/>
      <c r="C536" s="19"/>
      <c r="D536" s="18"/>
      <c r="E536" s="20"/>
      <c r="F536" s="23"/>
      <c r="G536" s="23"/>
      <c r="H536" s="18"/>
      <c r="I536" s="18"/>
      <c r="J536" s="24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5">
      <c r="A537" s="51"/>
      <c r="B537" s="52"/>
      <c r="C537" s="19"/>
      <c r="D537" s="18"/>
      <c r="E537" s="20"/>
      <c r="F537" s="23"/>
      <c r="G537" s="23"/>
      <c r="H537" s="18"/>
      <c r="I537" s="18"/>
      <c r="J537" s="24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5">
      <c r="A538" s="51"/>
      <c r="B538" s="52"/>
      <c r="C538" s="19"/>
      <c r="D538" s="18"/>
      <c r="E538" s="20"/>
      <c r="F538" s="23"/>
      <c r="G538" s="23"/>
      <c r="H538" s="18"/>
      <c r="I538" s="18"/>
      <c r="J538" s="24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5">
      <c r="A539" s="51"/>
      <c r="B539" s="52"/>
      <c r="C539" s="19"/>
      <c r="D539" s="18"/>
      <c r="E539" s="20"/>
      <c r="F539" s="23"/>
      <c r="G539" s="23"/>
      <c r="H539" s="18"/>
      <c r="I539" s="18"/>
      <c r="J539" s="24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5">
      <c r="A540" s="51"/>
      <c r="B540" s="52"/>
      <c r="C540" s="19"/>
      <c r="D540" s="18"/>
      <c r="E540" s="20"/>
      <c r="F540" s="23"/>
      <c r="G540" s="23"/>
      <c r="H540" s="18"/>
      <c r="I540" s="18"/>
      <c r="J540" s="24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5">
      <c r="A541" s="51"/>
      <c r="B541" s="52"/>
      <c r="C541" s="19"/>
      <c r="D541" s="18"/>
      <c r="E541" s="20"/>
      <c r="F541" s="23"/>
      <c r="G541" s="23"/>
      <c r="H541" s="18"/>
      <c r="I541" s="18"/>
      <c r="J541" s="24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5">
      <c r="A542" s="51"/>
      <c r="B542" s="52"/>
      <c r="C542" s="19"/>
      <c r="D542" s="18"/>
      <c r="E542" s="20"/>
      <c r="F542" s="23"/>
      <c r="G542" s="23"/>
      <c r="H542" s="18"/>
      <c r="I542" s="18"/>
      <c r="J542" s="24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5">
      <c r="A543" s="51"/>
      <c r="B543" s="52"/>
      <c r="C543" s="19"/>
      <c r="D543" s="18"/>
      <c r="E543" s="20"/>
      <c r="F543" s="23"/>
      <c r="G543" s="23"/>
      <c r="H543" s="18"/>
      <c r="I543" s="18"/>
      <c r="J543" s="24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5">
      <c r="A544" s="51"/>
      <c r="B544" s="52"/>
      <c r="C544" s="19"/>
      <c r="D544" s="18"/>
      <c r="E544" s="20"/>
      <c r="F544" s="23"/>
      <c r="G544" s="23"/>
      <c r="H544" s="18"/>
      <c r="I544" s="18"/>
      <c r="J544" s="24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5">
      <c r="A545" s="51"/>
      <c r="B545" s="52"/>
      <c r="C545" s="19"/>
      <c r="D545" s="18"/>
      <c r="E545" s="20"/>
      <c r="F545" s="23"/>
      <c r="G545" s="23"/>
      <c r="H545" s="18"/>
      <c r="I545" s="18"/>
      <c r="J545" s="24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5">
      <c r="A546" s="51"/>
      <c r="B546" s="52"/>
      <c r="C546" s="19"/>
      <c r="D546" s="18"/>
      <c r="E546" s="20"/>
      <c r="F546" s="23"/>
      <c r="G546" s="23"/>
      <c r="H546" s="18"/>
      <c r="I546" s="18"/>
      <c r="J546" s="24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5">
      <c r="A547" s="51"/>
      <c r="B547" s="52"/>
      <c r="C547" s="19"/>
      <c r="D547" s="18"/>
      <c r="E547" s="20"/>
      <c r="F547" s="23"/>
      <c r="G547" s="23"/>
      <c r="H547" s="18"/>
      <c r="I547" s="18"/>
      <c r="J547" s="24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5">
      <c r="A548" s="51"/>
      <c r="B548" s="52"/>
      <c r="C548" s="19"/>
      <c r="D548" s="18"/>
      <c r="E548" s="20"/>
      <c r="F548" s="23"/>
      <c r="G548" s="23"/>
      <c r="H548" s="18"/>
      <c r="I548" s="18"/>
      <c r="J548" s="24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5">
      <c r="A549" s="51"/>
      <c r="B549" s="52"/>
      <c r="C549" s="19"/>
      <c r="D549" s="18"/>
      <c r="E549" s="20"/>
      <c r="F549" s="23"/>
      <c r="G549" s="23"/>
      <c r="H549" s="18"/>
      <c r="I549" s="18"/>
      <c r="J549" s="24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5">
      <c r="A550" s="51"/>
      <c r="B550" s="52"/>
      <c r="C550" s="19"/>
      <c r="D550" s="18"/>
      <c r="E550" s="20"/>
      <c r="F550" s="23"/>
      <c r="G550" s="23"/>
      <c r="H550" s="18"/>
      <c r="I550" s="18"/>
      <c r="J550" s="24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5">
      <c r="A551" s="51"/>
      <c r="B551" s="52"/>
      <c r="C551" s="19"/>
      <c r="D551" s="18"/>
      <c r="E551" s="20"/>
      <c r="F551" s="23"/>
      <c r="G551" s="23"/>
      <c r="H551" s="18"/>
      <c r="I551" s="18"/>
      <c r="J551" s="24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5">
      <c r="A552" s="51"/>
      <c r="B552" s="52"/>
      <c r="C552" s="19"/>
      <c r="D552" s="18"/>
      <c r="E552" s="20"/>
      <c r="F552" s="23"/>
      <c r="G552" s="23"/>
      <c r="H552" s="18"/>
      <c r="I552" s="18"/>
      <c r="J552" s="24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5">
      <c r="A553" s="51"/>
      <c r="B553" s="52"/>
      <c r="C553" s="19"/>
      <c r="D553" s="18"/>
      <c r="E553" s="20"/>
      <c r="F553" s="23"/>
      <c r="G553" s="23"/>
      <c r="H553" s="18"/>
      <c r="I553" s="18"/>
      <c r="J553" s="24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5">
      <c r="A554" s="51"/>
      <c r="B554" s="52"/>
      <c r="C554" s="19"/>
      <c r="D554" s="18"/>
      <c r="E554" s="20"/>
      <c r="F554" s="23"/>
      <c r="G554" s="23"/>
      <c r="H554" s="18"/>
      <c r="I554" s="18"/>
      <c r="J554" s="24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5">
      <c r="A555" s="51"/>
      <c r="B555" s="52"/>
      <c r="C555" s="19"/>
      <c r="D555" s="18"/>
      <c r="E555" s="20"/>
      <c r="F555" s="23"/>
      <c r="G555" s="23"/>
      <c r="H555" s="18"/>
      <c r="I555" s="18"/>
      <c r="J555" s="24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5">
      <c r="A556" s="51"/>
      <c r="B556" s="52"/>
      <c r="C556" s="19"/>
      <c r="D556" s="18"/>
      <c r="E556" s="20"/>
      <c r="F556" s="23"/>
      <c r="G556" s="23"/>
      <c r="H556" s="18"/>
      <c r="I556" s="18"/>
      <c r="J556" s="24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5">
      <c r="A557" s="51"/>
      <c r="B557" s="52"/>
      <c r="C557" s="19"/>
      <c r="D557" s="18"/>
      <c r="E557" s="20"/>
      <c r="F557" s="23"/>
      <c r="G557" s="23"/>
      <c r="H557" s="18"/>
      <c r="I557" s="18"/>
      <c r="J557" s="24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5">
      <c r="A558" s="51"/>
      <c r="B558" s="52"/>
      <c r="C558" s="19"/>
      <c r="D558" s="18"/>
      <c r="E558" s="20"/>
      <c r="F558" s="23"/>
      <c r="G558" s="23"/>
      <c r="H558" s="18"/>
      <c r="I558" s="18"/>
      <c r="J558" s="24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5">
      <c r="A559" s="51"/>
      <c r="B559" s="52"/>
      <c r="C559" s="19"/>
      <c r="D559" s="18"/>
      <c r="E559" s="20"/>
      <c r="F559" s="23"/>
      <c r="G559" s="23"/>
      <c r="H559" s="18"/>
      <c r="I559" s="18"/>
      <c r="J559" s="24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5">
      <c r="A560" s="51"/>
      <c r="B560" s="52"/>
      <c r="C560" s="19"/>
      <c r="D560" s="18"/>
      <c r="E560" s="20"/>
      <c r="F560" s="23"/>
      <c r="G560" s="23"/>
      <c r="H560" s="18"/>
      <c r="I560" s="18"/>
      <c r="J560" s="24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5">
      <c r="A561" s="51"/>
      <c r="B561" s="52"/>
      <c r="C561" s="19"/>
      <c r="D561" s="18"/>
      <c r="E561" s="20"/>
      <c r="F561" s="23"/>
      <c r="G561" s="23"/>
      <c r="H561" s="18"/>
      <c r="I561" s="18"/>
      <c r="J561" s="24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5">
      <c r="A562" s="51"/>
      <c r="B562" s="52"/>
      <c r="C562" s="19"/>
      <c r="D562" s="18"/>
      <c r="E562" s="20"/>
      <c r="F562" s="23"/>
      <c r="G562" s="23"/>
      <c r="H562" s="18"/>
      <c r="I562" s="18"/>
      <c r="J562" s="24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5">
      <c r="A563" s="51"/>
      <c r="B563" s="52"/>
      <c r="C563" s="19"/>
      <c r="D563" s="18"/>
      <c r="E563" s="20"/>
      <c r="F563" s="23"/>
      <c r="G563" s="23"/>
      <c r="H563" s="18"/>
      <c r="I563" s="18"/>
      <c r="J563" s="24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5">
      <c r="A564" s="51"/>
      <c r="B564" s="52"/>
      <c r="C564" s="19"/>
      <c r="D564" s="18"/>
      <c r="E564" s="20"/>
      <c r="F564" s="23"/>
      <c r="G564" s="23"/>
      <c r="H564" s="18"/>
      <c r="I564" s="18"/>
      <c r="J564" s="24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5">
      <c r="A565" s="51"/>
      <c r="B565" s="52"/>
      <c r="C565" s="19"/>
      <c r="D565" s="18"/>
      <c r="E565" s="20"/>
      <c r="F565" s="23"/>
      <c r="G565" s="23"/>
      <c r="H565" s="18"/>
      <c r="I565" s="18"/>
      <c r="J565" s="24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5">
      <c r="A566" s="51"/>
      <c r="B566" s="52"/>
      <c r="C566" s="19"/>
      <c r="D566" s="18"/>
      <c r="E566" s="20"/>
      <c r="F566" s="23"/>
      <c r="G566" s="23"/>
      <c r="H566" s="18"/>
      <c r="I566" s="18"/>
      <c r="J566" s="24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5">
      <c r="A567" s="51"/>
      <c r="B567" s="52"/>
      <c r="C567" s="19"/>
      <c r="D567" s="18"/>
      <c r="E567" s="20"/>
      <c r="F567" s="23"/>
      <c r="G567" s="23"/>
      <c r="H567" s="18"/>
      <c r="I567" s="18"/>
      <c r="J567" s="24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5">
      <c r="A568" s="51"/>
      <c r="B568" s="52"/>
      <c r="C568" s="19"/>
      <c r="D568" s="18"/>
      <c r="E568" s="20"/>
      <c r="F568" s="23"/>
      <c r="G568" s="23"/>
      <c r="H568" s="18"/>
      <c r="I568" s="18"/>
      <c r="J568" s="24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5">
      <c r="A569" s="51"/>
      <c r="B569" s="52"/>
      <c r="C569" s="19"/>
      <c r="D569" s="18"/>
      <c r="E569" s="20"/>
      <c r="F569" s="23"/>
      <c r="G569" s="23"/>
      <c r="H569" s="18"/>
      <c r="I569" s="18"/>
      <c r="J569" s="24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5">
      <c r="A570" s="51"/>
      <c r="B570" s="52"/>
      <c r="C570" s="19"/>
      <c r="D570" s="18"/>
      <c r="E570" s="20"/>
      <c r="F570" s="23"/>
      <c r="G570" s="23"/>
      <c r="H570" s="18"/>
      <c r="I570" s="18"/>
      <c r="J570" s="24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5">
      <c r="A571" s="51"/>
      <c r="B571" s="52"/>
      <c r="C571" s="19"/>
      <c r="D571" s="18"/>
      <c r="E571" s="20"/>
      <c r="F571" s="23"/>
      <c r="G571" s="23"/>
      <c r="H571" s="18"/>
      <c r="I571" s="18"/>
      <c r="J571" s="24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5">
      <c r="A572" s="51"/>
      <c r="B572" s="52"/>
      <c r="C572" s="19"/>
      <c r="D572" s="18"/>
      <c r="E572" s="20"/>
      <c r="F572" s="23"/>
      <c r="G572" s="23"/>
      <c r="H572" s="18"/>
      <c r="I572" s="18"/>
      <c r="J572" s="24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5">
      <c r="A573" s="51"/>
      <c r="B573" s="52"/>
      <c r="C573" s="19"/>
      <c r="D573" s="18"/>
      <c r="E573" s="20"/>
      <c r="F573" s="23"/>
      <c r="G573" s="23"/>
      <c r="H573" s="18"/>
      <c r="I573" s="18"/>
      <c r="J573" s="24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5">
      <c r="A574" s="51"/>
      <c r="B574" s="52"/>
      <c r="C574" s="19"/>
      <c r="D574" s="18"/>
      <c r="E574" s="20"/>
      <c r="F574" s="23"/>
      <c r="G574" s="23"/>
      <c r="H574" s="18"/>
      <c r="I574" s="18"/>
      <c r="J574" s="24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5">
      <c r="A575" s="51"/>
      <c r="B575" s="52"/>
      <c r="C575" s="19"/>
      <c r="D575" s="18"/>
      <c r="E575" s="20"/>
      <c r="F575" s="23"/>
      <c r="G575" s="23"/>
      <c r="H575" s="18"/>
      <c r="I575" s="18"/>
      <c r="J575" s="24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5">
      <c r="A576" s="51"/>
      <c r="B576" s="52"/>
      <c r="C576" s="19"/>
      <c r="D576" s="18"/>
      <c r="E576" s="20"/>
      <c r="F576" s="23"/>
      <c r="G576" s="23"/>
      <c r="H576" s="18"/>
      <c r="I576" s="18"/>
      <c r="J576" s="24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5">
      <c r="A577" s="51"/>
      <c r="B577" s="52"/>
      <c r="C577" s="19"/>
      <c r="D577" s="18"/>
      <c r="E577" s="20"/>
      <c r="F577" s="23"/>
      <c r="G577" s="23"/>
      <c r="H577" s="18"/>
      <c r="I577" s="18"/>
      <c r="J577" s="24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5">
      <c r="A578" s="51"/>
      <c r="B578" s="52"/>
      <c r="C578" s="19"/>
      <c r="D578" s="18"/>
      <c r="E578" s="20"/>
      <c r="F578" s="23"/>
      <c r="G578" s="23"/>
      <c r="H578" s="18"/>
      <c r="I578" s="18"/>
      <c r="J578" s="24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5">
      <c r="A579" s="51"/>
      <c r="B579" s="52"/>
      <c r="C579" s="19"/>
      <c r="D579" s="18"/>
      <c r="E579" s="20"/>
      <c r="F579" s="23"/>
      <c r="G579" s="23"/>
      <c r="H579" s="18"/>
      <c r="I579" s="18"/>
      <c r="J579" s="24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5">
      <c r="A580" s="51"/>
      <c r="B580" s="52"/>
      <c r="C580" s="19"/>
      <c r="D580" s="18"/>
      <c r="E580" s="20"/>
      <c r="F580" s="23"/>
      <c r="G580" s="23"/>
      <c r="H580" s="18"/>
      <c r="I580" s="18"/>
      <c r="J580" s="24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5">
      <c r="A581" s="51"/>
      <c r="B581" s="52"/>
      <c r="C581" s="19"/>
      <c r="D581" s="18"/>
      <c r="E581" s="20"/>
      <c r="F581" s="23"/>
      <c r="G581" s="23"/>
      <c r="H581" s="18"/>
      <c r="I581" s="18"/>
      <c r="J581" s="24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5">
      <c r="A582" s="51"/>
      <c r="B582" s="52"/>
      <c r="C582" s="19"/>
      <c r="D582" s="18"/>
      <c r="E582" s="20"/>
      <c r="F582" s="23"/>
      <c r="G582" s="23"/>
      <c r="H582" s="18"/>
      <c r="I582" s="18"/>
      <c r="J582" s="24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5">
      <c r="A583" s="51"/>
      <c r="B583" s="52"/>
      <c r="C583" s="19"/>
      <c r="D583" s="18"/>
      <c r="E583" s="20"/>
      <c r="F583" s="23"/>
      <c r="G583" s="23"/>
      <c r="H583" s="18"/>
      <c r="I583" s="18"/>
      <c r="J583" s="24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5">
      <c r="A584" s="51"/>
      <c r="B584" s="52"/>
      <c r="C584" s="19"/>
      <c r="D584" s="18"/>
      <c r="E584" s="20"/>
      <c r="F584" s="23"/>
      <c r="G584" s="23"/>
      <c r="H584" s="18"/>
      <c r="I584" s="18"/>
      <c r="J584" s="24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5">
      <c r="A585" s="51"/>
      <c r="B585" s="52"/>
      <c r="C585" s="19"/>
      <c r="D585" s="18"/>
      <c r="E585" s="20"/>
      <c r="F585" s="23"/>
      <c r="G585" s="23"/>
      <c r="H585" s="18"/>
      <c r="I585" s="18"/>
      <c r="J585" s="24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5">
      <c r="A586" s="51"/>
      <c r="B586" s="52"/>
      <c r="C586" s="19"/>
      <c r="D586" s="18"/>
      <c r="E586" s="20"/>
      <c r="F586" s="23"/>
      <c r="G586" s="23"/>
      <c r="H586" s="18"/>
      <c r="I586" s="18"/>
      <c r="J586" s="24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5">
      <c r="A587" s="51"/>
      <c r="B587" s="52"/>
      <c r="C587" s="19"/>
      <c r="D587" s="18"/>
      <c r="E587" s="20"/>
      <c r="F587" s="23"/>
      <c r="G587" s="23"/>
      <c r="H587" s="18"/>
      <c r="I587" s="18"/>
      <c r="J587" s="24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5">
      <c r="A588" s="51"/>
      <c r="B588" s="52"/>
      <c r="C588" s="19"/>
      <c r="D588" s="18"/>
      <c r="E588" s="20"/>
      <c r="F588" s="23"/>
      <c r="G588" s="23"/>
      <c r="H588" s="18"/>
      <c r="I588" s="18"/>
      <c r="J588" s="24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5">
      <c r="A589" s="51"/>
      <c r="B589" s="52"/>
      <c r="C589" s="19"/>
      <c r="D589" s="18"/>
      <c r="E589" s="20"/>
      <c r="F589" s="23"/>
      <c r="G589" s="23"/>
      <c r="H589" s="18"/>
      <c r="I589" s="18"/>
      <c r="J589" s="24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5">
      <c r="A590" s="51"/>
      <c r="B590" s="52"/>
      <c r="C590" s="19"/>
      <c r="D590" s="18"/>
      <c r="E590" s="20"/>
      <c r="F590" s="23"/>
      <c r="G590" s="23"/>
      <c r="H590" s="18"/>
      <c r="I590" s="18"/>
      <c r="J590" s="24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5">
      <c r="A591" s="51"/>
      <c r="B591" s="52"/>
      <c r="C591" s="19"/>
      <c r="D591" s="18"/>
      <c r="E591" s="20"/>
      <c r="F591" s="23"/>
      <c r="G591" s="23"/>
      <c r="H591" s="18"/>
      <c r="I591" s="18"/>
      <c r="J591" s="24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5">
      <c r="A592" s="51"/>
      <c r="B592" s="52"/>
      <c r="C592" s="19"/>
      <c r="D592" s="18"/>
      <c r="E592" s="20"/>
      <c r="F592" s="23"/>
      <c r="G592" s="23"/>
      <c r="H592" s="18"/>
      <c r="I592" s="18"/>
      <c r="J592" s="24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5">
      <c r="A593" s="51"/>
      <c r="B593" s="52"/>
      <c r="C593" s="19"/>
      <c r="D593" s="18"/>
      <c r="E593" s="20"/>
      <c r="F593" s="23"/>
      <c r="G593" s="23"/>
      <c r="H593" s="18"/>
      <c r="I593" s="18"/>
      <c r="J593" s="24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5">
      <c r="A594" s="51"/>
      <c r="B594" s="52"/>
      <c r="C594" s="19"/>
      <c r="D594" s="18"/>
      <c r="E594" s="20"/>
      <c r="F594" s="23"/>
      <c r="G594" s="23"/>
      <c r="H594" s="18"/>
      <c r="I594" s="18"/>
      <c r="J594" s="24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5">
      <c r="A595" s="51"/>
      <c r="B595" s="52"/>
      <c r="C595" s="19"/>
      <c r="D595" s="18"/>
      <c r="E595" s="20"/>
      <c r="F595" s="23"/>
      <c r="G595" s="23"/>
      <c r="H595" s="18"/>
      <c r="I595" s="18"/>
      <c r="J595" s="24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5">
      <c r="A596" s="51"/>
      <c r="B596" s="52"/>
      <c r="C596" s="19"/>
      <c r="D596" s="18"/>
      <c r="E596" s="20"/>
      <c r="F596" s="23"/>
      <c r="G596" s="23"/>
      <c r="H596" s="18"/>
      <c r="I596" s="18"/>
      <c r="J596" s="24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5">
      <c r="A597" s="51"/>
      <c r="B597" s="52"/>
      <c r="C597" s="19"/>
      <c r="D597" s="18"/>
      <c r="E597" s="20"/>
      <c r="F597" s="23"/>
      <c r="G597" s="23"/>
      <c r="H597" s="18"/>
      <c r="I597" s="18"/>
      <c r="J597" s="24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5">
      <c r="A598" s="51"/>
      <c r="B598" s="52"/>
      <c r="C598" s="19"/>
      <c r="D598" s="18"/>
      <c r="E598" s="20"/>
      <c r="F598" s="23"/>
      <c r="G598" s="23"/>
      <c r="H598" s="18"/>
      <c r="I598" s="18"/>
      <c r="J598" s="24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5" x14ac:dyDescent="0.35">
      <c r="A599" s="53"/>
      <c r="B599" s="54"/>
      <c r="D599" s="32"/>
    </row>
    <row r="600" spans="1:26" ht="14.5" x14ac:dyDescent="0.35">
      <c r="A600" s="53"/>
      <c r="B600" s="54"/>
      <c r="D600" s="32"/>
    </row>
    <row r="601" spans="1:26" ht="14.5" x14ac:dyDescent="0.35">
      <c r="A601" s="53"/>
      <c r="B601" s="54"/>
      <c r="D601" s="32"/>
    </row>
    <row r="602" spans="1:26" ht="14.5" x14ac:dyDescent="0.35">
      <c r="A602" s="53"/>
      <c r="B602" s="54"/>
      <c r="D602" s="32"/>
    </row>
    <row r="603" spans="1:26" ht="14.5" x14ac:dyDescent="0.35">
      <c r="A603" s="53"/>
      <c r="B603" s="54"/>
      <c r="D603" s="32"/>
    </row>
    <row r="604" spans="1:26" ht="14.5" x14ac:dyDescent="0.35">
      <c r="A604" s="53"/>
      <c r="B604" s="54"/>
      <c r="D604" s="32"/>
    </row>
    <row r="605" spans="1:26" ht="14.5" x14ac:dyDescent="0.35">
      <c r="A605" s="53"/>
      <c r="B605" s="54"/>
      <c r="D605" s="32"/>
    </row>
    <row r="606" spans="1:26" ht="14.5" x14ac:dyDescent="0.35">
      <c r="A606" s="53"/>
      <c r="B606" s="54"/>
      <c r="D606" s="32"/>
    </row>
    <row r="607" spans="1:26" ht="14.5" x14ac:dyDescent="0.35">
      <c r="A607" s="53"/>
      <c r="B607" s="54"/>
      <c r="D607" s="32"/>
    </row>
    <row r="608" spans="1:26" ht="14.5" x14ac:dyDescent="0.35">
      <c r="A608" s="53"/>
      <c r="B608" s="54"/>
      <c r="D608" s="32"/>
    </row>
    <row r="609" spans="1:4" ht="14.5" x14ac:dyDescent="0.35">
      <c r="A609" s="53"/>
      <c r="B609" s="54"/>
      <c r="D609" s="32"/>
    </row>
    <row r="610" spans="1:4" ht="14.5" x14ac:dyDescent="0.35">
      <c r="A610" s="53"/>
      <c r="B610" s="54"/>
      <c r="D610" s="32"/>
    </row>
    <row r="611" spans="1:4" ht="14.5" x14ac:dyDescent="0.35">
      <c r="A611" s="53"/>
      <c r="B611" s="54"/>
      <c r="D611" s="32"/>
    </row>
    <row r="612" spans="1:4" ht="14.5" x14ac:dyDescent="0.35">
      <c r="A612" s="53"/>
      <c r="B612" s="54"/>
      <c r="D612" s="32"/>
    </row>
    <row r="613" spans="1:4" ht="14.5" x14ac:dyDescent="0.35">
      <c r="A613" s="53"/>
      <c r="B613" s="54"/>
      <c r="D613" s="32"/>
    </row>
    <row r="614" spans="1:4" ht="14.5" x14ac:dyDescent="0.35">
      <c r="A614" s="53"/>
      <c r="B614" s="54"/>
      <c r="D614" s="32"/>
    </row>
    <row r="615" spans="1:4" ht="14.5" x14ac:dyDescent="0.35">
      <c r="A615" s="53"/>
      <c r="B615" s="54"/>
      <c r="D615" s="32"/>
    </row>
    <row r="616" spans="1:4" ht="14.5" x14ac:dyDescent="0.35">
      <c r="A616" s="53"/>
      <c r="B616" s="54"/>
      <c r="D616" s="32"/>
    </row>
    <row r="617" spans="1:4" ht="14.5" x14ac:dyDescent="0.35">
      <c r="A617" s="53"/>
      <c r="B617" s="54"/>
      <c r="D617" s="32"/>
    </row>
    <row r="618" spans="1:4" ht="14.5" x14ac:dyDescent="0.35">
      <c r="A618" s="53"/>
      <c r="B618" s="54"/>
      <c r="D618" s="32"/>
    </row>
    <row r="619" spans="1:4" ht="14.5" x14ac:dyDescent="0.35">
      <c r="A619" s="53"/>
      <c r="B619" s="54"/>
      <c r="D619" s="32"/>
    </row>
    <row r="620" spans="1:4" ht="14.5" x14ac:dyDescent="0.35">
      <c r="A620" s="53"/>
      <c r="B620" s="54"/>
      <c r="D620" s="32"/>
    </row>
    <row r="621" spans="1:4" ht="14.5" x14ac:dyDescent="0.35">
      <c r="A621" s="53"/>
      <c r="B621" s="54"/>
      <c r="D621" s="32"/>
    </row>
    <row r="622" spans="1:4" ht="14.5" x14ac:dyDescent="0.35">
      <c r="A622" s="53"/>
      <c r="B622" s="54"/>
      <c r="D622" s="32"/>
    </row>
    <row r="623" spans="1:4" ht="14.5" x14ac:dyDescent="0.35">
      <c r="A623" s="53"/>
      <c r="B623" s="54"/>
      <c r="D623" s="32"/>
    </row>
    <row r="624" spans="1:4" ht="14.5" x14ac:dyDescent="0.35">
      <c r="A624" s="53"/>
      <c r="B624" s="54"/>
      <c r="D624" s="32"/>
    </row>
    <row r="625" spans="1:4" ht="14.5" x14ac:dyDescent="0.35">
      <c r="A625" s="53"/>
      <c r="B625" s="54"/>
      <c r="D625" s="32"/>
    </row>
    <row r="626" spans="1:4" ht="14.5" x14ac:dyDescent="0.35">
      <c r="A626" s="53"/>
      <c r="B626" s="54"/>
      <c r="D626" s="32"/>
    </row>
    <row r="627" spans="1:4" ht="14.5" x14ac:dyDescent="0.35">
      <c r="A627" s="53"/>
      <c r="B627" s="54"/>
      <c r="D627" s="32"/>
    </row>
    <row r="628" spans="1:4" ht="14.5" x14ac:dyDescent="0.35">
      <c r="A628" s="53"/>
      <c r="B628" s="54"/>
      <c r="D628" s="32"/>
    </row>
    <row r="629" spans="1:4" ht="14.5" x14ac:dyDescent="0.35">
      <c r="A629" s="53"/>
      <c r="B629" s="54"/>
      <c r="D629" s="32"/>
    </row>
    <row r="630" spans="1:4" ht="14.5" x14ac:dyDescent="0.35">
      <c r="A630" s="53"/>
      <c r="B630" s="54"/>
      <c r="D630" s="32"/>
    </row>
    <row r="631" spans="1:4" ht="14.5" x14ac:dyDescent="0.35">
      <c r="A631" s="53"/>
      <c r="B631" s="54"/>
      <c r="D631" s="32"/>
    </row>
    <row r="632" spans="1:4" ht="14.5" x14ac:dyDescent="0.35">
      <c r="A632" s="53"/>
      <c r="B632" s="54"/>
      <c r="D632" s="32"/>
    </row>
    <row r="633" spans="1:4" ht="14.5" x14ac:dyDescent="0.35">
      <c r="A633" s="53"/>
      <c r="B633" s="54"/>
      <c r="D633" s="32"/>
    </row>
    <row r="634" spans="1:4" ht="14.5" x14ac:dyDescent="0.35">
      <c r="A634" s="53"/>
      <c r="B634" s="54"/>
      <c r="D634" s="32"/>
    </row>
    <row r="635" spans="1:4" ht="14.5" x14ac:dyDescent="0.35">
      <c r="A635" s="53"/>
      <c r="B635" s="54"/>
      <c r="D635" s="32"/>
    </row>
    <row r="636" spans="1:4" ht="14.5" x14ac:dyDescent="0.35">
      <c r="A636" s="53"/>
      <c r="B636" s="54"/>
      <c r="D636" s="32"/>
    </row>
    <row r="637" spans="1:4" ht="14.5" x14ac:dyDescent="0.35">
      <c r="A637" s="53"/>
      <c r="B637" s="54"/>
      <c r="D637" s="32"/>
    </row>
    <row r="638" spans="1:4" ht="14.5" x14ac:dyDescent="0.35">
      <c r="A638" s="53"/>
      <c r="B638" s="54"/>
      <c r="D638" s="32"/>
    </row>
    <row r="639" spans="1:4" ht="14.5" x14ac:dyDescent="0.35">
      <c r="A639" s="53"/>
      <c r="B639" s="54"/>
      <c r="D639" s="32"/>
    </row>
    <row r="640" spans="1:4" ht="14.5" x14ac:dyDescent="0.35">
      <c r="A640" s="53"/>
      <c r="B640" s="54"/>
      <c r="D640" s="32"/>
    </row>
    <row r="641" spans="1:4" ht="14.5" x14ac:dyDescent="0.35">
      <c r="A641" s="53"/>
      <c r="B641" s="54"/>
      <c r="D641" s="32"/>
    </row>
    <row r="642" spans="1:4" ht="14.5" x14ac:dyDescent="0.35">
      <c r="A642" s="53"/>
      <c r="B642" s="54"/>
      <c r="D642" s="32"/>
    </row>
    <row r="643" spans="1:4" ht="14.5" x14ac:dyDescent="0.35">
      <c r="A643" s="53"/>
      <c r="B643" s="54"/>
      <c r="D643" s="32"/>
    </row>
    <row r="644" spans="1:4" ht="14.5" x14ac:dyDescent="0.35">
      <c r="A644" s="53"/>
      <c r="B644" s="54"/>
      <c r="D644" s="32"/>
    </row>
    <row r="645" spans="1:4" ht="14.5" x14ac:dyDescent="0.35">
      <c r="A645" s="53"/>
      <c r="B645" s="54"/>
      <c r="D645" s="32"/>
    </row>
    <row r="646" spans="1:4" ht="14.5" x14ac:dyDescent="0.35">
      <c r="A646" s="53"/>
      <c r="B646" s="54"/>
      <c r="D646" s="32"/>
    </row>
    <row r="647" spans="1:4" ht="14.5" x14ac:dyDescent="0.35">
      <c r="A647" s="53"/>
      <c r="B647" s="54"/>
      <c r="D647" s="32"/>
    </row>
    <row r="648" spans="1:4" ht="14.5" x14ac:dyDescent="0.35">
      <c r="A648" s="53"/>
      <c r="B648" s="54"/>
      <c r="D648" s="32"/>
    </row>
    <row r="649" spans="1:4" ht="14.5" x14ac:dyDescent="0.35">
      <c r="A649" s="53"/>
      <c r="B649" s="54"/>
      <c r="D649" s="32"/>
    </row>
    <row r="650" spans="1:4" ht="14.5" x14ac:dyDescent="0.35">
      <c r="A650" s="53"/>
      <c r="B650" s="54"/>
      <c r="D650" s="32"/>
    </row>
    <row r="651" spans="1:4" ht="14.5" x14ac:dyDescent="0.35">
      <c r="A651" s="53"/>
      <c r="B651" s="54"/>
      <c r="D651" s="32"/>
    </row>
    <row r="652" spans="1:4" ht="14.5" x14ac:dyDescent="0.35">
      <c r="A652" s="53"/>
      <c r="B652" s="54"/>
      <c r="D652" s="32"/>
    </row>
    <row r="653" spans="1:4" ht="14.5" x14ac:dyDescent="0.35">
      <c r="A653" s="53"/>
      <c r="B653" s="54"/>
      <c r="D653" s="32"/>
    </row>
    <row r="654" spans="1:4" ht="14.5" x14ac:dyDescent="0.35">
      <c r="A654" s="53"/>
      <c r="B654" s="54"/>
      <c r="D654" s="32"/>
    </row>
    <row r="655" spans="1:4" ht="14.5" x14ac:dyDescent="0.35">
      <c r="A655" s="53"/>
      <c r="B655" s="54"/>
      <c r="D655" s="32"/>
    </row>
    <row r="656" spans="1:4" ht="14.5" x14ac:dyDescent="0.35">
      <c r="A656" s="53"/>
      <c r="B656" s="54"/>
      <c r="D656" s="32"/>
    </row>
    <row r="657" spans="1:4" ht="14.5" x14ac:dyDescent="0.35">
      <c r="A657" s="53"/>
      <c r="B657" s="54"/>
      <c r="D657" s="32"/>
    </row>
    <row r="658" spans="1:4" ht="14.5" x14ac:dyDescent="0.35">
      <c r="A658" s="53"/>
      <c r="B658" s="54"/>
      <c r="D658" s="32"/>
    </row>
    <row r="659" spans="1:4" ht="14.5" x14ac:dyDescent="0.35">
      <c r="A659" s="53"/>
      <c r="B659" s="54"/>
      <c r="D659" s="32"/>
    </row>
    <row r="660" spans="1:4" ht="14.5" x14ac:dyDescent="0.35">
      <c r="A660" s="53"/>
      <c r="B660" s="54"/>
      <c r="D660" s="32"/>
    </row>
    <row r="661" spans="1:4" ht="14.5" x14ac:dyDescent="0.35">
      <c r="A661" s="53"/>
      <c r="B661" s="54"/>
      <c r="D661" s="32"/>
    </row>
    <row r="662" spans="1:4" ht="14.5" x14ac:dyDescent="0.35">
      <c r="A662" s="53"/>
      <c r="B662" s="54"/>
      <c r="D662" s="32"/>
    </row>
    <row r="663" spans="1:4" ht="14.5" x14ac:dyDescent="0.35">
      <c r="A663" s="53"/>
      <c r="B663" s="54"/>
      <c r="D663" s="32"/>
    </row>
    <row r="664" spans="1:4" ht="14.5" x14ac:dyDescent="0.35">
      <c r="A664" s="53"/>
      <c r="B664" s="54"/>
      <c r="D664" s="32"/>
    </row>
    <row r="665" spans="1:4" ht="14.5" x14ac:dyDescent="0.35">
      <c r="A665" s="53"/>
      <c r="B665" s="54"/>
      <c r="D665" s="32"/>
    </row>
    <row r="666" spans="1:4" ht="14.5" x14ac:dyDescent="0.35">
      <c r="A666" s="53"/>
      <c r="B666" s="54"/>
      <c r="D666" s="32"/>
    </row>
    <row r="667" spans="1:4" ht="14.5" x14ac:dyDescent="0.35">
      <c r="A667" s="53"/>
      <c r="B667" s="54"/>
      <c r="D667" s="32"/>
    </row>
    <row r="668" spans="1:4" ht="14.5" x14ac:dyDescent="0.35">
      <c r="A668" s="53"/>
      <c r="B668" s="54"/>
      <c r="D668" s="32"/>
    </row>
    <row r="669" spans="1:4" ht="14.5" x14ac:dyDescent="0.35">
      <c r="A669" s="53"/>
      <c r="B669" s="54"/>
      <c r="D669" s="32"/>
    </row>
    <row r="670" spans="1:4" ht="14.5" x14ac:dyDescent="0.35">
      <c r="A670" s="53"/>
      <c r="B670" s="54"/>
      <c r="D670" s="32"/>
    </row>
    <row r="671" spans="1:4" ht="14.5" x14ac:dyDescent="0.35">
      <c r="A671" s="53"/>
      <c r="B671" s="54"/>
      <c r="D671" s="32"/>
    </row>
    <row r="672" spans="1:4" ht="14.5" x14ac:dyDescent="0.35">
      <c r="A672" s="53"/>
      <c r="B672" s="54"/>
      <c r="D672" s="32"/>
    </row>
    <row r="673" spans="1:4" ht="14.5" x14ac:dyDescent="0.35">
      <c r="A673" s="53"/>
      <c r="B673" s="54"/>
      <c r="D673" s="32"/>
    </row>
    <row r="674" spans="1:4" ht="14.5" x14ac:dyDescent="0.35">
      <c r="A674" s="53"/>
      <c r="B674" s="54"/>
      <c r="D674" s="32"/>
    </row>
    <row r="675" spans="1:4" ht="14.5" x14ac:dyDescent="0.35">
      <c r="A675" s="53"/>
      <c r="B675" s="54"/>
      <c r="D675" s="32"/>
    </row>
    <row r="676" spans="1:4" ht="14.5" x14ac:dyDescent="0.35">
      <c r="A676" s="53"/>
      <c r="B676" s="54"/>
      <c r="D676" s="32"/>
    </row>
    <row r="677" spans="1:4" ht="14.5" x14ac:dyDescent="0.35">
      <c r="A677" s="53"/>
      <c r="B677" s="54"/>
      <c r="D677" s="32"/>
    </row>
    <row r="678" spans="1:4" ht="14.5" x14ac:dyDescent="0.35">
      <c r="A678" s="53"/>
      <c r="B678" s="54"/>
      <c r="D678" s="32"/>
    </row>
    <row r="679" spans="1:4" ht="14.5" x14ac:dyDescent="0.35">
      <c r="A679" s="53"/>
      <c r="B679" s="54"/>
      <c r="D679" s="32"/>
    </row>
    <row r="680" spans="1:4" ht="14.5" x14ac:dyDescent="0.35">
      <c r="A680" s="53"/>
      <c r="B680" s="54"/>
      <c r="D680" s="32"/>
    </row>
    <row r="681" spans="1:4" ht="14.5" x14ac:dyDescent="0.35">
      <c r="A681" s="53"/>
      <c r="B681" s="54"/>
      <c r="D681" s="32"/>
    </row>
    <row r="682" spans="1:4" ht="14.5" x14ac:dyDescent="0.35">
      <c r="A682" s="53"/>
      <c r="B682" s="54"/>
      <c r="D682" s="32"/>
    </row>
    <row r="683" spans="1:4" ht="14.5" x14ac:dyDescent="0.35">
      <c r="A683" s="53"/>
      <c r="B683" s="54"/>
      <c r="D683" s="32"/>
    </row>
    <row r="684" spans="1:4" ht="14.5" x14ac:dyDescent="0.35">
      <c r="A684" s="53"/>
      <c r="B684" s="54"/>
      <c r="D684" s="32"/>
    </row>
    <row r="685" spans="1:4" ht="14.5" x14ac:dyDescent="0.35">
      <c r="A685" s="53"/>
      <c r="B685" s="54"/>
      <c r="D685" s="32"/>
    </row>
    <row r="686" spans="1:4" ht="14.5" x14ac:dyDescent="0.35">
      <c r="A686" s="53"/>
      <c r="B686" s="54"/>
      <c r="D686" s="32"/>
    </row>
    <row r="687" spans="1:4" ht="14.5" x14ac:dyDescent="0.35">
      <c r="A687" s="53"/>
      <c r="B687" s="54"/>
      <c r="D687" s="32"/>
    </row>
    <row r="688" spans="1:4" ht="14.5" x14ac:dyDescent="0.35">
      <c r="A688" s="53"/>
      <c r="B688" s="54"/>
      <c r="D688" s="32"/>
    </row>
    <row r="689" spans="1:4" ht="14.5" x14ac:dyDescent="0.35">
      <c r="A689" s="53"/>
      <c r="B689" s="54"/>
      <c r="D689" s="32"/>
    </row>
    <row r="690" spans="1:4" ht="14.5" x14ac:dyDescent="0.35">
      <c r="A690" s="53"/>
      <c r="B690" s="54"/>
      <c r="D690" s="32"/>
    </row>
    <row r="691" spans="1:4" ht="14.5" x14ac:dyDescent="0.35">
      <c r="A691" s="53"/>
      <c r="B691" s="54"/>
      <c r="D691" s="32"/>
    </row>
    <row r="692" spans="1:4" ht="14.5" x14ac:dyDescent="0.35">
      <c r="A692" s="53"/>
      <c r="B692" s="54"/>
      <c r="D692" s="32"/>
    </row>
    <row r="693" spans="1:4" ht="14.5" x14ac:dyDescent="0.35">
      <c r="A693" s="53"/>
      <c r="B693" s="54"/>
      <c r="D693" s="32"/>
    </row>
    <row r="694" spans="1:4" ht="14.5" x14ac:dyDescent="0.35">
      <c r="A694" s="53"/>
      <c r="B694" s="54"/>
      <c r="D694" s="32"/>
    </row>
    <row r="695" spans="1:4" ht="14.5" x14ac:dyDescent="0.35">
      <c r="A695" s="53"/>
      <c r="B695" s="54"/>
      <c r="D695" s="32"/>
    </row>
    <row r="696" spans="1:4" ht="14.5" x14ac:dyDescent="0.35">
      <c r="A696" s="53"/>
      <c r="B696" s="54"/>
      <c r="D696" s="32"/>
    </row>
    <row r="697" spans="1:4" ht="14.5" x14ac:dyDescent="0.35">
      <c r="A697" s="53"/>
      <c r="B697" s="54"/>
      <c r="D697" s="32"/>
    </row>
    <row r="698" spans="1:4" ht="14.5" x14ac:dyDescent="0.35">
      <c r="A698" s="53"/>
      <c r="B698" s="54"/>
      <c r="D698" s="32"/>
    </row>
    <row r="699" spans="1:4" ht="14.5" x14ac:dyDescent="0.35">
      <c r="A699" s="53"/>
      <c r="B699" s="54"/>
      <c r="D699" s="32"/>
    </row>
    <row r="700" spans="1:4" ht="14.5" x14ac:dyDescent="0.35">
      <c r="A700" s="53"/>
      <c r="B700" s="54"/>
      <c r="D700" s="32"/>
    </row>
    <row r="701" spans="1:4" ht="14.5" x14ac:dyDescent="0.35">
      <c r="A701" s="53"/>
      <c r="B701" s="54"/>
      <c r="D701" s="32"/>
    </row>
    <row r="702" spans="1:4" ht="14.5" x14ac:dyDescent="0.35">
      <c r="A702" s="53"/>
      <c r="B702" s="54"/>
      <c r="D702" s="32"/>
    </row>
    <row r="703" spans="1:4" ht="14.5" x14ac:dyDescent="0.35">
      <c r="A703" s="53"/>
      <c r="B703" s="54"/>
      <c r="D703" s="32"/>
    </row>
    <row r="704" spans="1:4" ht="14.5" x14ac:dyDescent="0.35">
      <c r="A704" s="53"/>
      <c r="B704" s="54"/>
      <c r="D704" s="32"/>
    </row>
    <row r="705" spans="1:4" ht="14.5" x14ac:dyDescent="0.35">
      <c r="A705" s="53"/>
      <c r="B705" s="54"/>
      <c r="D705" s="32"/>
    </row>
    <row r="706" spans="1:4" ht="14.5" x14ac:dyDescent="0.35">
      <c r="A706" s="53"/>
      <c r="B706" s="54"/>
      <c r="D706" s="32"/>
    </row>
    <row r="707" spans="1:4" ht="14.5" x14ac:dyDescent="0.35">
      <c r="A707" s="53"/>
      <c r="B707" s="54"/>
      <c r="D707" s="32"/>
    </row>
    <row r="708" spans="1:4" ht="14.5" x14ac:dyDescent="0.35">
      <c r="A708" s="53"/>
      <c r="B708" s="54"/>
      <c r="D708" s="32"/>
    </row>
    <row r="709" spans="1:4" ht="14.5" x14ac:dyDescent="0.35">
      <c r="A709" s="53"/>
      <c r="B709" s="54"/>
      <c r="D709" s="32"/>
    </row>
    <row r="710" spans="1:4" ht="14.5" x14ac:dyDescent="0.35">
      <c r="A710" s="53"/>
      <c r="B710" s="54"/>
      <c r="D710" s="32"/>
    </row>
    <row r="711" spans="1:4" ht="14.5" x14ac:dyDescent="0.35">
      <c r="A711" s="53"/>
      <c r="B711" s="54"/>
      <c r="D711" s="32"/>
    </row>
    <row r="712" spans="1:4" ht="14.5" x14ac:dyDescent="0.35">
      <c r="A712" s="53"/>
      <c r="B712" s="54"/>
      <c r="D712" s="32"/>
    </row>
    <row r="713" spans="1:4" ht="14.5" x14ac:dyDescent="0.35">
      <c r="A713" s="53"/>
      <c r="B713" s="54"/>
      <c r="D713" s="32"/>
    </row>
    <row r="714" spans="1:4" ht="14.5" x14ac:dyDescent="0.35">
      <c r="A714" s="53"/>
      <c r="B714" s="54"/>
      <c r="D714" s="32"/>
    </row>
    <row r="715" spans="1:4" ht="14.5" x14ac:dyDescent="0.35">
      <c r="A715" s="53"/>
      <c r="B715" s="54"/>
      <c r="D715" s="32"/>
    </row>
    <row r="716" spans="1:4" ht="14.5" x14ac:dyDescent="0.35">
      <c r="A716" s="53"/>
      <c r="B716" s="54"/>
      <c r="D716" s="32"/>
    </row>
    <row r="717" spans="1:4" ht="14.5" x14ac:dyDescent="0.35">
      <c r="A717" s="53"/>
      <c r="B717" s="54"/>
      <c r="D717" s="32"/>
    </row>
    <row r="718" spans="1:4" ht="14.5" x14ac:dyDescent="0.35">
      <c r="A718" s="53"/>
      <c r="B718" s="54"/>
      <c r="D718" s="32"/>
    </row>
    <row r="719" spans="1:4" ht="14.5" x14ac:dyDescent="0.35">
      <c r="A719" s="53"/>
      <c r="B719" s="54"/>
      <c r="D719" s="32"/>
    </row>
    <row r="720" spans="1:4" ht="14.5" x14ac:dyDescent="0.35">
      <c r="A720" s="53"/>
      <c r="B720" s="54"/>
      <c r="D720" s="32"/>
    </row>
    <row r="721" spans="1:4" ht="14.5" x14ac:dyDescent="0.35">
      <c r="A721" s="53"/>
      <c r="B721" s="54"/>
      <c r="D721" s="32"/>
    </row>
    <row r="722" spans="1:4" ht="14.5" x14ac:dyDescent="0.35">
      <c r="A722" s="53"/>
      <c r="B722" s="54"/>
      <c r="D722" s="32"/>
    </row>
    <row r="723" spans="1:4" ht="14.5" x14ac:dyDescent="0.35">
      <c r="A723" s="53"/>
      <c r="B723" s="54"/>
      <c r="D723" s="32"/>
    </row>
    <row r="724" spans="1:4" ht="14.5" x14ac:dyDescent="0.35">
      <c r="A724" s="53"/>
      <c r="B724" s="54"/>
      <c r="D724" s="32"/>
    </row>
    <row r="725" spans="1:4" ht="14.5" x14ac:dyDescent="0.35">
      <c r="A725" s="53"/>
      <c r="B725" s="54"/>
      <c r="D725" s="32"/>
    </row>
    <row r="726" spans="1:4" ht="14.5" x14ac:dyDescent="0.35">
      <c r="A726" s="53"/>
      <c r="B726" s="54"/>
      <c r="D726" s="32"/>
    </row>
    <row r="727" spans="1:4" ht="14.5" x14ac:dyDescent="0.35">
      <c r="A727" s="53"/>
      <c r="B727" s="54"/>
      <c r="D727" s="32"/>
    </row>
    <row r="728" spans="1:4" ht="14.5" x14ac:dyDescent="0.35">
      <c r="A728" s="53"/>
      <c r="B728" s="54"/>
      <c r="D728" s="32"/>
    </row>
    <row r="729" spans="1:4" ht="14.5" x14ac:dyDescent="0.35">
      <c r="A729" s="53"/>
      <c r="B729" s="54"/>
      <c r="D729" s="32"/>
    </row>
    <row r="730" spans="1:4" ht="14.5" x14ac:dyDescent="0.35">
      <c r="A730" s="53"/>
      <c r="B730" s="54"/>
      <c r="D730" s="32"/>
    </row>
    <row r="731" spans="1:4" ht="14.5" x14ac:dyDescent="0.35">
      <c r="A731" s="53"/>
      <c r="B731" s="54"/>
      <c r="D731" s="32"/>
    </row>
    <row r="732" spans="1:4" ht="14.5" x14ac:dyDescent="0.35">
      <c r="A732" s="53"/>
      <c r="B732" s="54"/>
      <c r="D732" s="32"/>
    </row>
    <row r="733" spans="1:4" ht="14.5" x14ac:dyDescent="0.35">
      <c r="A733" s="53"/>
      <c r="B733" s="54"/>
      <c r="D733" s="32"/>
    </row>
    <row r="734" spans="1:4" ht="14.5" x14ac:dyDescent="0.35">
      <c r="A734" s="53"/>
      <c r="B734" s="54"/>
      <c r="D734" s="32"/>
    </row>
    <row r="735" spans="1:4" ht="14.5" x14ac:dyDescent="0.35">
      <c r="A735" s="53"/>
      <c r="B735" s="54"/>
      <c r="D735" s="32"/>
    </row>
    <row r="736" spans="1:4" ht="14.5" x14ac:dyDescent="0.35">
      <c r="A736" s="53"/>
      <c r="B736" s="54"/>
      <c r="D736" s="32"/>
    </row>
    <row r="737" spans="1:4" ht="14.5" x14ac:dyDescent="0.35">
      <c r="A737" s="53"/>
      <c r="B737" s="54"/>
      <c r="D737" s="32"/>
    </row>
    <row r="738" spans="1:4" ht="14.5" x14ac:dyDescent="0.35">
      <c r="A738" s="53"/>
      <c r="B738" s="54"/>
      <c r="D738" s="32"/>
    </row>
    <row r="739" spans="1:4" ht="14.5" x14ac:dyDescent="0.35">
      <c r="A739" s="53"/>
      <c r="B739" s="54"/>
      <c r="D739" s="32"/>
    </row>
    <row r="740" spans="1:4" ht="14.5" x14ac:dyDescent="0.35">
      <c r="A740" s="53"/>
      <c r="B740" s="54"/>
      <c r="D740" s="32"/>
    </row>
    <row r="741" spans="1:4" ht="14.5" x14ac:dyDescent="0.35">
      <c r="A741" s="53"/>
      <c r="B741" s="54"/>
      <c r="D741" s="32"/>
    </row>
    <row r="742" spans="1:4" ht="14.5" x14ac:dyDescent="0.35">
      <c r="A742" s="53"/>
      <c r="B742" s="54"/>
      <c r="D742" s="32"/>
    </row>
    <row r="743" spans="1:4" ht="14.5" x14ac:dyDescent="0.35">
      <c r="A743" s="53"/>
      <c r="B743" s="54"/>
      <c r="D743" s="32"/>
    </row>
    <row r="744" spans="1:4" ht="14.5" x14ac:dyDescent="0.35">
      <c r="A744" s="53"/>
      <c r="B744" s="54"/>
      <c r="D744" s="32"/>
    </row>
    <row r="745" spans="1:4" ht="14.5" x14ac:dyDescent="0.35">
      <c r="A745" s="53"/>
      <c r="B745" s="54"/>
      <c r="D745" s="32"/>
    </row>
    <row r="746" spans="1:4" ht="14.5" x14ac:dyDescent="0.35">
      <c r="A746" s="53"/>
      <c r="B746" s="54"/>
      <c r="D746" s="32"/>
    </row>
    <row r="747" spans="1:4" ht="14.5" x14ac:dyDescent="0.35">
      <c r="A747" s="53"/>
      <c r="B747" s="54"/>
      <c r="D747" s="32"/>
    </row>
    <row r="748" spans="1:4" ht="14.5" x14ac:dyDescent="0.35">
      <c r="A748" s="53"/>
      <c r="B748" s="54"/>
      <c r="D748" s="32"/>
    </row>
    <row r="749" spans="1:4" ht="14.5" x14ac:dyDescent="0.35">
      <c r="A749" s="53"/>
      <c r="B749" s="54"/>
      <c r="D749" s="32"/>
    </row>
    <row r="750" spans="1:4" ht="14.5" x14ac:dyDescent="0.35">
      <c r="A750" s="53"/>
      <c r="B750" s="54"/>
      <c r="D750" s="32"/>
    </row>
    <row r="751" spans="1:4" ht="14.5" x14ac:dyDescent="0.35">
      <c r="A751" s="53"/>
      <c r="B751" s="54"/>
      <c r="D751" s="32"/>
    </row>
    <row r="752" spans="1:4" ht="14.5" x14ac:dyDescent="0.35">
      <c r="A752" s="53"/>
      <c r="B752" s="54"/>
      <c r="D752" s="32"/>
    </row>
    <row r="753" spans="1:4" ht="14.5" x14ac:dyDescent="0.35">
      <c r="A753" s="53"/>
      <c r="B753" s="54"/>
      <c r="D753" s="32"/>
    </row>
    <row r="754" spans="1:4" ht="14.5" x14ac:dyDescent="0.35">
      <c r="A754" s="53"/>
      <c r="B754" s="54"/>
      <c r="D754" s="32"/>
    </row>
    <row r="755" spans="1:4" ht="14.5" x14ac:dyDescent="0.35">
      <c r="A755" s="53"/>
      <c r="B755" s="54"/>
      <c r="D755" s="32"/>
    </row>
    <row r="756" spans="1:4" ht="14.5" x14ac:dyDescent="0.35">
      <c r="A756" s="53"/>
      <c r="B756" s="54"/>
      <c r="D756" s="32"/>
    </row>
    <row r="757" spans="1:4" ht="14.5" x14ac:dyDescent="0.35">
      <c r="A757" s="53"/>
      <c r="B757" s="54"/>
      <c r="D757" s="32"/>
    </row>
    <row r="758" spans="1:4" ht="14.5" x14ac:dyDescent="0.35">
      <c r="A758" s="53"/>
      <c r="B758" s="54"/>
      <c r="D758" s="32"/>
    </row>
    <row r="759" spans="1:4" ht="14.5" x14ac:dyDescent="0.35">
      <c r="A759" s="53"/>
      <c r="B759" s="54"/>
      <c r="D759" s="32"/>
    </row>
    <row r="760" spans="1:4" ht="14.5" x14ac:dyDescent="0.35">
      <c r="A760" s="53"/>
      <c r="B760" s="54"/>
      <c r="D760" s="32"/>
    </row>
    <row r="761" spans="1:4" ht="14.5" x14ac:dyDescent="0.35">
      <c r="A761" s="53"/>
      <c r="B761" s="54"/>
      <c r="D761" s="32"/>
    </row>
    <row r="762" spans="1:4" ht="14.5" x14ac:dyDescent="0.35">
      <c r="A762" s="53"/>
      <c r="B762" s="54"/>
      <c r="D762" s="32"/>
    </row>
    <row r="763" spans="1:4" ht="14.5" x14ac:dyDescent="0.35">
      <c r="A763" s="53"/>
      <c r="B763" s="54"/>
      <c r="D763" s="32"/>
    </row>
    <row r="764" spans="1:4" ht="14.5" x14ac:dyDescent="0.35">
      <c r="A764" s="53"/>
      <c r="B764" s="54"/>
      <c r="D764" s="32"/>
    </row>
    <row r="765" spans="1:4" ht="14.5" x14ac:dyDescent="0.35">
      <c r="A765" s="53"/>
      <c r="B765" s="54"/>
      <c r="D765" s="32"/>
    </row>
    <row r="766" spans="1:4" ht="14.5" x14ac:dyDescent="0.35">
      <c r="A766" s="53"/>
      <c r="B766" s="54"/>
      <c r="D766" s="32"/>
    </row>
    <row r="767" spans="1:4" ht="14.5" x14ac:dyDescent="0.35">
      <c r="A767" s="53"/>
      <c r="B767" s="54"/>
      <c r="D767" s="32"/>
    </row>
    <row r="768" spans="1:4" ht="14.5" x14ac:dyDescent="0.35">
      <c r="A768" s="53"/>
      <c r="B768" s="54"/>
      <c r="D768" s="32"/>
    </row>
    <row r="769" spans="1:4" ht="14.5" x14ac:dyDescent="0.35">
      <c r="A769" s="53"/>
      <c r="B769" s="54"/>
      <c r="D769" s="32"/>
    </row>
    <row r="770" spans="1:4" ht="14.5" x14ac:dyDescent="0.35">
      <c r="A770" s="53"/>
      <c r="B770" s="54"/>
      <c r="D770" s="32"/>
    </row>
    <row r="771" spans="1:4" ht="14.5" x14ac:dyDescent="0.35">
      <c r="A771" s="53"/>
      <c r="B771" s="54"/>
      <c r="D771" s="32"/>
    </row>
    <row r="772" spans="1:4" ht="14.5" x14ac:dyDescent="0.35">
      <c r="A772" s="53"/>
      <c r="B772" s="54"/>
      <c r="D772" s="32"/>
    </row>
    <row r="773" spans="1:4" ht="14.5" x14ac:dyDescent="0.35">
      <c r="A773" s="53"/>
      <c r="B773" s="54"/>
      <c r="D773" s="32"/>
    </row>
    <row r="774" spans="1:4" ht="14.5" x14ac:dyDescent="0.35">
      <c r="A774" s="53"/>
      <c r="B774" s="54"/>
      <c r="D774" s="32"/>
    </row>
    <row r="775" spans="1:4" ht="14.5" x14ac:dyDescent="0.35">
      <c r="A775" s="53"/>
      <c r="B775" s="54"/>
      <c r="D775" s="32"/>
    </row>
    <row r="776" spans="1:4" ht="14.5" x14ac:dyDescent="0.35">
      <c r="A776" s="53"/>
      <c r="B776" s="54"/>
      <c r="D776" s="32"/>
    </row>
    <row r="777" spans="1:4" ht="14.5" x14ac:dyDescent="0.35">
      <c r="A777" s="53"/>
      <c r="B777" s="54"/>
      <c r="D777" s="32"/>
    </row>
    <row r="778" spans="1:4" ht="14.5" x14ac:dyDescent="0.35">
      <c r="A778" s="53"/>
      <c r="B778" s="54"/>
      <c r="D778" s="32"/>
    </row>
    <row r="779" spans="1:4" ht="14.5" x14ac:dyDescent="0.35">
      <c r="A779" s="53"/>
      <c r="B779" s="54"/>
      <c r="D779" s="32"/>
    </row>
    <row r="780" spans="1:4" ht="14.5" x14ac:dyDescent="0.35">
      <c r="A780" s="53"/>
      <c r="B780" s="54"/>
      <c r="D780" s="32"/>
    </row>
    <row r="781" spans="1:4" ht="14.5" x14ac:dyDescent="0.35">
      <c r="A781" s="53"/>
      <c r="B781" s="54"/>
      <c r="D781" s="32"/>
    </row>
    <row r="782" spans="1:4" ht="14.5" x14ac:dyDescent="0.35">
      <c r="A782" s="53"/>
      <c r="B782" s="54"/>
      <c r="D782" s="32"/>
    </row>
    <row r="783" spans="1:4" ht="14.5" x14ac:dyDescent="0.35">
      <c r="A783" s="53"/>
      <c r="B783" s="54"/>
      <c r="D783" s="32"/>
    </row>
    <row r="784" spans="1:4" ht="14.5" x14ac:dyDescent="0.35">
      <c r="A784" s="53"/>
      <c r="B784" s="54"/>
      <c r="D784" s="32"/>
    </row>
    <row r="785" spans="1:4" ht="14.5" x14ac:dyDescent="0.35">
      <c r="A785" s="53"/>
      <c r="B785" s="54"/>
      <c r="D785" s="32"/>
    </row>
    <row r="786" spans="1:4" ht="14.5" x14ac:dyDescent="0.35">
      <c r="A786" s="53"/>
      <c r="B786" s="54"/>
      <c r="D786" s="32"/>
    </row>
    <row r="787" spans="1:4" ht="14.5" x14ac:dyDescent="0.35">
      <c r="A787" s="53"/>
      <c r="B787" s="54"/>
      <c r="D787" s="32"/>
    </row>
    <row r="788" spans="1:4" ht="14.5" x14ac:dyDescent="0.35">
      <c r="A788" s="53"/>
      <c r="B788" s="54"/>
      <c r="D788" s="32"/>
    </row>
    <row r="789" spans="1:4" ht="14.5" x14ac:dyDescent="0.35">
      <c r="A789" s="53"/>
      <c r="B789" s="54"/>
      <c r="D789" s="32"/>
    </row>
    <row r="790" spans="1:4" ht="14.5" x14ac:dyDescent="0.35">
      <c r="A790" s="53"/>
      <c r="B790" s="54"/>
      <c r="D790" s="32"/>
    </row>
    <row r="791" spans="1:4" ht="14.5" x14ac:dyDescent="0.35">
      <c r="A791" s="53"/>
      <c r="B791" s="54"/>
      <c r="D791" s="32"/>
    </row>
    <row r="792" spans="1:4" ht="14.5" x14ac:dyDescent="0.35">
      <c r="A792" s="53"/>
      <c r="B792" s="54"/>
      <c r="D792" s="32"/>
    </row>
    <row r="793" spans="1:4" ht="14.5" x14ac:dyDescent="0.35">
      <c r="A793" s="53"/>
      <c r="B793" s="54"/>
      <c r="D793" s="32"/>
    </row>
    <row r="794" spans="1:4" ht="14.5" x14ac:dyDescent="0.35">
      <c r="A794" s="53"/>
      <c r="B794" s="54"/>
      <c r="D794" s="32"/>
    </row>
    <row r="795" spans="1:4" ht="14.5" x14ac:dyDescent="0.35">
      <c r="A795" s="53"/>
      <c r="B795" s="54"/>
      <c r="D795" s="32"/>
    </row>
    <row r="796" spans="1:4" ht="14.5" x14ac:dyDescent="0.35">
      <c r="A796" s="53"/>
      <c r="B796" s="54"/>
      <c r="D796" s="32"/>
    </row>
    <row r="797" spans="1:4" ht="14.5" x14ac:dyDescent="0.35">
      <c r="A797" s="53"/>
      <c r="B797" s="54"/>
      <c r="D797" s="32"/>
    </row>
    <row r="798" spans="1:4" ht="14.5" x14ac:dyDescent="0.35">
      <c r="A798" s="53"/>
      <c r="B798" s="54"/>
      <c r="D798" s="32"/>
    </row>
    <row r="799" spans="1:4" ht="14.5" x14ac:dyDescent="0.35">
      <c r="A799" s="53"/>
      <c r="B799" s="54"/>
      <c r="D799" s="32"/>
    </row>
    <row r="800" spans="1:4" ht="14.5" x14ac:dyDescent="0.35">
      <c r="A800" s="53"/>
      <c r="B800" s="54"/>
      <c r="D800" s="32"/>
    </row>
    <row r="801" spans="1:4" ht="14.5" x14ac:dyDescent="0.35">
      <c r="A801" s="53"/>
      <c r="B801" s="54"/>
      <c r="D801" s="32"/>
    </row>
    <row r="802" spans="1:4" ht="14.5" x14ac:dyDescent="0.35">
      <c r="A802" s="53"/>
      <c r="B802" s="54"/>
      <c r="D802" s="32"/>
    </row>
    <row r="803" spans="1:4" ht="14.5" x14ac:dyDescent="0.35">
      <c r="A803" s="53"/>
      <c r="B803" s="54"/>
      <c r="D803" s="32"/>
    </row>
    <row r="804" spans="1:4" ht="14.5" x14ac:dyDescent="0.35">
      <c r="A804" s="53"/>
      <c r="B804" s="54"/>
      <c r="D804" s="32"/>
    </row>
    <row r="805" spans="1:4" ht="14.5" x14ac:dyDescent="0.35">
      <c r="A805" s="53"/>
      <c r="B805" s="54"/>
      <c r="D805" s="32"/>
    </row>
    <row r="806" spans="1:4" ht="14.5" x14ac:dyDescent="0.35">
      <c r="A806" s="53"/>
      <c r="B806" s="54"/>
      <c r="D806" s="32"/>
    </row>
    <row r="807" spans="1:4" ht="14.5" x14ac:dyDescent="0.35">
      <c r="A807" s="53"/>
      <c r="B807" s="54"/>
      <c r="D807" s="32"/>
    </row>
    <row r="808" spans="1:4" ht="14.5" x14ac:dyDescent="0.35">
      <c r="A808" s="53"/>
      <c r="B808" s="54"/>
      <c r="D808" s="32"/>
    </row>
    <row r="809" spans="1:4" ht="14.5" x14ac:dyDescent="0.35">
      <c r="A809" s="53"/>
      <c r="B809" s="54"/>
      <c r="D809" s="32"/>
    </row>
    <row r="810" spans="1:4" ht="14.5" x14ac:dyDescent="0.35">
      <c r="A810" s="53"/>
      <c r="B810" s="54"/>
      <c r="D810" s="32"/>
    </row>
    <row r="811" spans="1:4" ht="14.5" x14ac:dyDescent="0.35">
      <c r="A811" s="53"/>
      <c r="B811" s="54"/>
      <c r="D811" s="32"/>
    </row>
    <row r="812" spans="1:4" ht="14.5" x14ac:dyDescent="0.35">
      <c r="A812" s="53"/>
      <c r="B812" s="54"/>
      <c r="D812" s="32"/>
    </row>
    <row r="813" spans="1:4" ht="14.5" x14ac:dyDescent="0.35">
      <c r="A813" s="53"/>
      <c r="B813" s="54"/>
      <c r="D813" s="32"/>
    </row>
    <row r="814" spans="1:4" ht="14.5" x14ac:dyDescent="0.35">
      <c r="A814" s="53"/>
      <c r="B814" s="54"/>
      <c r="D814" s="32"/>
    </row>
    <row r="815" spans="1:4" ht="14.5" x14ac:dyDescent="0.35">
      <c r="A815" s="53"/>
      <c r="B815" s="54"/>
      <c r="D815" s="32"/>
    </row>
    <row r="816" spans="1:4" ht="14.5" x14ac:dyDescent="0.35">
      <c r="A816" s="53"/>
      <c r="B816" s="54"/>
      <c r="D816" s="32"/>
    </row>
    <row r="817" spans="1:4" ht="14.5" x14ac:dyDescent="0.35">
      <c r="A817" s="53"/>
      <c r="B817" s="54"/>
      <c r="D817" s="32"/>
    </row>
    <row r="818" spans="1:4" ht="14.5" x14ac:dyDescent="0.35">
      <c r="A818" s="53"/>
      <c r="B818" s="54"/>
      <c r="D818" s="32"/>
    </row>
    <row r="819" spans="1:4" ht="14.5" x14ac:dyDescent="0.35">
      <c r="A819" s="53"/>
      <c r="B819" s="54"/>
      <c r="D819" s="32"/>
    </row>
    <row r="820" spans="1:4" ht="14.5" x14ac:dyDescent="0.35">
      <c r="A820" s="53"/>
      <c r="B820" s="54"/>
      <c r="D820" s="32"/>
    </row>
    <row r="821" spans="1:4" ht="14.5" x14ac:dyDescent="0.35">
      <c r="A821" s="53"/>
      <c r="B821" s="54"/>
      <c r="D821" s="32"/>
    </row>
    <row r="822" spans="1:4" ht="14.5" x14ac:dyDescent="0.35">
      <c r="A822" s="53"/>
      <c r="B822" s="54"/>
      <c r="D822" s="32"/>
    </row>
    <row r="823" spans="1:4" ht="14.5" x14ac:dyDescent="0.35">
      <c r="A823" s="53"/>
      <c r="B823" s="54"/>
      <c r="D823" s="32"/>
    </row>
    <row r="824" spans="1:4" ht="14.5" x14ac:dyDescent="0.35">
      <c r="A824" s="53"/>
      <c r="B824" s="54"/>
      <c r="D824" s="32"/>
    </row>
    <row r="825" spans="1:4" ht="14.5" x14ac:dyDescent="0.35">
      <c r="A825" s="53"/>
      <c r="B825" s="54"/>
      <c r="D825" s="32"/>
    </row>
    <row r="826" spans="1:4" ht="14.5" x14ac:dyDescent="0.35">
      <c r="A826" s="53"/>
      <c r="B826" s="54"/>
      <c r="D826" s="32"/>
    </row>
    <row r="827" spans="1:4" ht="14.5" x14ac:dyDescent="0.35">
      <c r="A827" s="53"/>
      <c r="B827" s="54"/>
      <c r="D827" s="32"/>
    </row>
    <row r="828" spans="1:4" ht="14.5" x14ac:dyDescent="0.35">
      <c r="A828" s="53"/>
      <c r="B828" s="54"/>
      <c r="D828" s="32"/>
    </row>
    <row r="829" spans="1:4" ht="14.5" x14ac:dyDescent="0.35">
      <c r="A829" s="53"/>
      <c r="B829" s="54"/>
      <c r="D829" s="32"/>
    </row>
    <row r="830" spans="1:4" ht="14.5" x14ac:dyDescent="0.35">
      <c r="A830" s="53"/>
      <c r="B830" s="54"/>
      <c r="D830" s="32"/>
    </row>
    <row r="831" spans="1:4" ht="14.5" x14ac:dyDescent="0.35">
      <c r="A831" s="53"/>
      <c r="B831" s="54"/>
      <c r="D831" s="32"/>
    </row>
    <row r="832" spans="1:4" ht="14.5" x14ac:dyDescent="0.35">
      <c r="A832" s="53"/>
      <c r="B832" s="54"/>
      <c r="D832" s="32"/>
    </row>
    <row r="833" spans="1:4" ht="14.5" x14ac:dyDescent="0.35">
      <c r="A833" s="53"/>
      <c r="B833" s="54"/>
      <c r="D833" s="32"/>
    </row>
    <row r="834" spans="1:4" ht="14.5" x14ac:dyDescent="0.35">
      <c r="A834" s="53"/>
      <c r="B834" s="54"/>
      <c r="D834" s="32"/>
    </row>
    <row r="835" spans="1:4" ht="14.5" x14ac:dyDescent="0.35">
      <c r="A835" s="53"/>
      <c r="B835" s="54"/>
      <c r="D835" s="32"/>
    </row>
    <row r="836" spans="1:4" ht="14.5" x14ac:dyDescent="0.35">
      <c r="A836" s="53"/>
      <c r="B836" s="54"/>
      <c r="D836" s="32"/>
    </row>
    <row r="837" spans="1:4" ht="14.5" x14ac:dyDescent="0.35">
      <c r="A837" s="53"/>
      <c r="B837" s="54"/>
      <c r="D837" s="32"/>
    </row>
    <row r="838" spans="1:4" ht="14.5" x14ac:dyDescent="0.35">
      <c r="A838" s="53"/>
      <c r="B838" s="54"/>
      <c r="D838" s="32"/>
    </row>
    <row r="839" spans="1:4" ht="14.5" x14ac:dyDescent="0.35">
      <c r="A839" s="53"/>
      <c r="B839" s="54"/>
      <c r="D839" s="32"/>
    </row>
    <row r="840" spans="1:4" ht="14.5" x14ac:dyDescent="0.35">
      <c r="A840" s="53"/>
      <c r="B840" s="54"/>
      <c r="D840" s="32"/>
    </row>
    <row r="841" spans="1:4" ht="14.5" x14ac:dyDescent="0.35">
      <c r="A841" s="53"/>
      <c r="B841" s="54"/>
      <c r="D841" s="32"/>
    </row>
    <row r="842" spans="1:4" ht="14.5" x14ac:dyDescent="0.35">
      <c r="A842" s="53"/>
      <c r="B842" s="54"/>
      <c r="D842" s="32"/>
    </row>
    <row r="843" spans="1:4" ht="14.5" x14ac:dyDescent="0.35">
      <c r="A843" s="53"/>
      <c r="B843" s="54"/>
      <c r="D843" s="32"/>
    </row>
    <row r="844" spans="1:4" ht="14.5" x14ac:dyDescent="0.35">
      <c r="A844" s="53"/>
      <c r="B844" s="54"/>
      <c r="D844" s="32"/>
    </row>
    <row r="845" spans="1:4" ht="14.5" x14ac:dyDescent="0.35">
      <c r="A845" s="53"/>
      <c r="B845" s="54"/>
      <c r="D845" s="32"/>
    </row>
    <row r="846" spans="1:4" ht="14.5" x14ac:dyDescent="0.35">
      <c r="A846" s="53"/>
      <c r="B846" s="54"/>
      <c r="D846" s="32"/>
    </row>
    <row r="847" spans="1:4" ht="14.5" x14ac:dyDescent="0.35">
      <c r="A847" s="53"/>
      <c r="B847" s="54"/>
      <c r="D847" s="32"/>
    </row>
    <row r="848" spans="1:4" ht="14.5" x14ac:dyDescent="0.35">
      <c r="A848" s="53"/>
      <c r="B848" s="54"/>
      <c r="D848" s="32"/>
    </row>
    <row r="849" spans="1:4" ht="14.5" x14ac:dyDescent="0.35">
      <c r="A849" s="53"/>
      <c r="B849" s="54"/>
      <c r="D849" s="32"/>
    </row>
    <row r="850" spans="1:4" ht="14.5" x14ac:dyDescent="0.35">
      <c r="A850" s="53"/>
      <c r="B850" s="54"/>
      <c r="D850" s="32"/>
    </row>
    <row r="851" spans="1:4" ht="14.5" x14ac:dyDescent="0.35">
      <c r="A851" s="53"/>
      <c r="B851" s="54"/>
      <c r="D851" s="32"/>
    </row>
    <row r="852" spans="1:4" ht="14.5" x14ac:dyDescent="0.35">
      <c r="A852" s="53"/>
      <c r="B852" s="54"/>
      <c r="D852" s="32"/>
    </row>
    <row r="853" spans="1:4" ht="14.5" x14ac:dyDescent="0.35">
      <c r="A853" s="53"/>
      <c r="B853" s="54"/>
      <c r="D853" s="32"/>
    </row>
    <row r="854" spans="1:4" ht="14.5" x14ac:dyDescent="0.35">
      <c r="A854" s="53"/>
      <c r="B854" s="54"/>
      <c r="D854" s="32"/>
    </row>
    <row r="855" spans="1:4" ht="14.5" x14ac:dyDescent="0.35">
      <c r="A855" s="53"/>
      <c r="B855" s="54"/>
      <c r="D855" s="32"/>
    </row>
    <row r="856" spans="1:4" ht="14.5" x14ac:dyDescent="0.35">
      <c r="A856" s="53"/>
      <c r="B856" s="54"/>
      <c r="D856" s="32"/>
    </row>
    <row r="857" spans="1:4" ht="14.5" x14ac:dyDescent="0.35">
      <c r="A857" s="53"/>
      <c r="B857" s="54"/>
      <c r="D857" s="32"/>
    </row>
    <row r="858" spans="1:4" ht="14.5" x14ac:dyDescent="0.35">
      <c r="A858" s="53"/>
      <c r="B858" s="54"/>
      <c r="D858" s="32"/>
    </row>
    <row r="859" spans="1:4" ht="14.5" x14ac:dyDescent="0.35">
      <c r="A859" s="53"/>
      <c r="B859" s="54"/>
      <c r="D859" s="32"/>
    </row>
    <row r="860" spans="1:4" ht="14.5" x14ac:dyDescent="0.35">
      <c r="A860" s="53"/>
      <c r="B860" s="54"/>
      <c r="D860" s="32"/>
    </row>
    <row r="861" spans="1:4" ht="14.5" x14ac:dyDescent="0.35">
      <c r="A861" s="53"/>
      <c r="B861" s="54"/>
      <c r="D861" s="32"/>
    </row>
    <row r="862" spans="1:4" ht="14.5" x14ac:dyDescent="0.35">
      <c r="A862" s="53"/>
      <c r="B862" s="54"/>
      <c r="D862" s="32"/>
    </row>
    <row r="863" spans="1:4" ht="14.5" x14ac:dyDescent="0.35">
      <c r="A863" s="53"/>
      <c r="B863" s="54"/>
      <c r="D863" s="32"/>
    </row>
    <row r="864" spans="1:4" ht="14.5" x14ac:dyDescent="0.35">
      <c r="A864" s="53"/>
      <c r="B864" s="54"/>
      <c r="D864" s="32"/>
    </row>
    <row r="865" spans="1:4" ht="14.5" x14ac:dyDescent="0.35">
      <c r="A865" s="53"/>
      <c r="B865" s="54"/>
      <c r="D865" s="32"/>
    </row>
    <row r="866" spans="1:4" ht="14.5" x14ac:dyDescent="0.35">
      <c r="A866" s="53"/>
      <c r="B866" s="54"/>
      <c r="D866" s="32"/>
    </row>
    <row r="867" spans="1:4" ht="14.5" x14ac:dyDescent="0.35">
      <c r="A867" s="53"/>
      <c r="B867" s="54"/>
      <c r="D867" s="32"/>
    </row>
    <row r="868" spans="1:4" ht="14.5" x14ac:dyDescent="0.35">
      <c r="A868" s="53"/>
      <c r="B868" s="54"/>
      <c r="D868" s="32"/>
    </row>
    <row r="869" spans="1:4" ht="14.5" x14ac:dyDescent="0.35">
      <c r="A869" s="53"/>
      <c r="B869" s="54"/>
      <c r="D869" s="32"/>
    </row>
    <row r="870" spans="1:4" ht="14.5" x14ac:dyDescent="0.35">
      <c r="A870" s="53"/>
      <c r="B870" s="54"/>
      <c r="D870" s="32"/>
    </row>
    <row r="871" spans="1:4" ht="14.5" x14ac:dyDescent="0.35">
      <c r="A871" s="53"/>
      <c r="B871" s="54"/>
      <c r="D871" s="32"/>
    </row>
    <row r="872" spans="1:4" ht="14.5" x14ac:dyDescent="0.35">
      <c r="A872" s="53"/>
      <c r="B872" s="54"/>
      <c r="D872" s="32"/>
    </row>
    <row r="873" spans="1:4" ht="14.5" x14ac:dyDescent="0.35">
      <c r="A873" s="53"/>
      <c r="B873" s="54"/>
      <c r="D873" s="32"/>
    </row>
    <row r="874" spans="1:4" ht="14.5" x14ac:dyDescent="0.35">
      <c r="A874" s="53"/>
      <c r="B874" s="54"/>
      <c r="D874" s="32"/>
    </row>
    <row r="875" spans="1:4" ht="14.5" x14ac:dyDescent="0.35">
      <c r="A875" s="53"/>
      <c r="B875" s="54"/>
      <c r="D875" s="32"/>
    </row>
    <row r="876" spans="1:4" ht="14.5" x14ac:dyDescent="0.35">
      <c r="A876" s="53"/>
      <c r="B876" s="54"/>
      <c r="D876" s="32"/>
    </row>
    <row r="877" spans="1:4" ht="14.5" x14ac:dyDescent="0.35">
      <c r="A877" s="53"/>
      <c r="B877" s="54"/>
      <c r="D877" s="32"/>
    </row>
    <row r="878" spans="1:4" ht="14.5" x14ac:dyDescent="0.35">
      <c r="A878" s="53"/>
      <c r="B878" s="54"/>
      <c r="D878" s="32"/>
    </row>
    <row r="879" spans="1:4" ht="14.5" x14ac:dyDescent="0.35">
      <c r="A879" s="53"/>
      <c r="B879" s="54"/>
      <c r="D879" s="32"/>
    </row>
    <row r="880" spans="1:4" ht="14.5" x14ac:dyDescent="0.35">
      <c r="A880" s="53"/>
      <c r="B880" s="54"/>
      <c r="D880" s="32"/>
    </row>
    <row r="881" spans="1:4" ht="14.5" x14ac:dyDescent="0.35">
      <c r="A881" s="53"/>
      <c r="B881" s="54"/>
      <c r="D881" s="32"/>
    </row>
    <row r="882" spans="1:4" ht="14.5" x14ac:dyDescent="0.35">
      <c r="A882" s="53"/>
      <c r="B882" s="54"/>
      <c r="D882" s="32"/>
    </row>
    <row r="883" spans="1:4" ht="14.5" x14ac:dyDescent="0.35">
      <c r="A883" s="53"/>
      <c r="B883" s="54"/>
      <c r="D883" s="32"/>
    </row>
    <row r="884" spans="1:4" ht="14.5" x14ac:dyDescent="0.35">
      <c r="A884" s="53"/>
      <c r="B884" s="54"/>
      <c r="D884" s="32"/>
    </row>
    <row r="885" spans="1:4" ht="14.5" x14ac:dyDescent="0.35">
      <c r="A885" s="53"/>
      <c r="B885" s="54"/>
      <c r="D885" s="32"/>
    </row>
    <row r="886" spans="1:4" ht="14.5" x14ac:dyDescent="0.35">
      <c r="A886" s="53"/>
      <c r="B886" s="54"/>
      <c r="D886" s="32"/>
    </row>
    <row r="887" spans="1:4" ht="14.5" x14ac:dyDescent="0.35">
      <c r="A887" s="53"/>
      <c r="B887" s="54"/>
      <c r="D887" s="32"/>
    </row>
    <row r="888" spans="1:4" ht="14.5" x14ac:dyDescent="0.35">
      <c r="A888" s="53"/>
      <c r="B888" s="54"/>
      <c r="D888" s="32"/>
    </row>
    <row r="889" spans="1:4" ht="14.5" x14ac:dyDescent="0.35">
      <c r="A889" s="53"/>
      <c r="B889" s="54"/>
      <c r="D889" s="32"/>
    </row>
    <row r="890" spans="1:4" ht="14.5" x14ac:dyDescent="0.35">
      <c r="A890" s="53"/>
      <c r="B890" s="54"/>
      <c r="D890" s="32"/>
    </row>
    <row r="891" spans="1:4" ht="14.5" x14ac:dyDescent="0.35">
      <c r="A891" s="53"/>
      <c r="B891" s="54"/>
      <c r="D891" s="32"/>
    </row>
    <row r="892" spans="1:4" ht="14.5" x14ac:dyDescent="0.35">
      <c r="A892" s="53"/>
      <c r="B892" s="54"/>
      <c r="D892" s="32"/>
    </row>
    <row r="893" spans="1:4" ht="14.5" x14ac:dyDescent="0.35">
      <c r="A893" s="53"/>
      <c r="B893" s="54"/>
      <c r="D893" s="32"/>
    </row>
    <row r="894" spans="1:4" ht="14.5" x14ac:dyDescent="0.35">
      <c r="A894" s="53"/>
      <c r="B894" s="54"/>
      <c r="D894" s="32"/>
    </row>
    <row r="895" spans="1:4" ht="14.5" x14ac:dyDescent="0.35">
      <c r="A895" s="53"/>
      <c r="B895" s="54"/>
      <c r="D895" s="32"/>
    </row>
    <row r="896" spans="1:4" ht="14.5" x14ac:dyDescent="0.35">
      <c r="A896" s="53"/>
      <c r="B896" s="54"/>
      <c r="D896" s="32"/>
    </row>
    <row r="897" spans="1:4" ht="14.5" x14ac:dyDescent="0.35">
      <c r="A897" s="53"/>
      <c r="B897" s="54"/>
      <c r="D897" s="32"/>
    </row>
    <row r="898" spans="1:4" ht="14.5" x14ac:dyDescent="0.35">
      <c r="A898" s="53"/>
      <c r="B898" s="54"/>
      <c r="D898" s="32"/>
    </row>
    <row r="899" spans="1:4" ht="14.5" x14ac:dyDescent="0.35">
      <c r="A899" s="53"/>
      <c r="B899" s="54"/>
      <c r="D899" s="32"/>
    </row>
    <row r="900" spans="1:4" ht="14.5" x14ac:dyDescent="0.35">
      <c r="A900" s="53"/>
      <c r="B900" s="54"/>
      <c r="D900" s="32"/>
    </row>
    <row r="901" spans="1:4" ht="14.5" x14ac:dyDescent="0.35">
      <c r="A901" s="53"/>
      <c r="B901" s="54"/>
      <c r="D901" s="32"/>
    </row>
    <row r="902" spans="1:4" ht="14.5" x14ac:dyDescent="0.35">
      <c r="A902" s="53"/>
      <c r="B902" s="54"/>
      <c r="D902" s="32"/>
    </row>
    <row r="903" spans="1:4" ht="14.5" x14ac:dyDescent="0.35">
      <c r="A903" s="53"/>
      <c r="B903" s="54"/>
      <c r="D903" s="32"/>
    </row>
    <row r="904" spans="1:4" ht="14.5" x14ac:dyDescent="0.35">
      <c r="A904" s="53"/>
      <c r="B904" s="54"/>
      <c r="D904" s="32"/>
    </row>
    <row r="905" spans="1:4" ht="14.5" x14ac:dyDescent="0.35">
      <c r="A905" s="53"/>
      <c r="B905" s="54"/>
      <c r="D905" s="32"/>
    </row>
    <row r="906" spans="1:4" ht="14.5" x14ac:dyDescent="0.35">
      <c r="A906" s="53"/>
      <c r="B906" s="54"/>
      <c r="D906" s="32"/>
    </row>
    <row r="907" spans="1:4" ht="14.5" x14ac:dyDescent="0.35">
      <c r="A907" s="53"/>
      <c r="B907" s="54"/>
      <c r="D907" s="32"/>
    </row>
    <row r="908" spans="1:4" ht="14.5" x14ac:dyDescent="0.35">
      <c r="A908" s="53"/>
      <c r="B908" s="54"/>
      <c r="D908" s="32"/>
    </row>
    <row r="909" spans="1:4" ht="14.5" x14ac:dyDescent="0.35">
      <c r="A909" s="53"/>
      <c r="B909" s="54"/>
      <c r="D909" s="32"/>
    </row>
    <row r="910" spans="1:4" ht="14.5" x14ac:dyDescent="0.35">
      <c r="A910" s="53"/>
      <c r="B910" s="54"/>
      <c r="D910" s="32"/>
    </row>
    <row r="911" spans="1:4" ht="14.5" x14ac:dyDescent="0.35">
      <c r="A911" s="53"/>
      <c r="B911" s="54"/>
      <c r="D911" s="32"/>
    </row>
    <row r="912" spans="1:4" ht="14.5" x14ac:dyDescent="0.35">
      <c r="A912" s="53"/>
      <c r="B912" s="54"/>
      <c r="D912" s="32"/>
    </row>
    <row r="913" spans="1:4" ht="14.5" x14ac:dyDescent="0.35">
      <c r="A913" s="53"/>
      <c r="B913" s="54"/>
      <c r="D913" s="32"/>
    </row>
    <row r="914" spans="1:4" ht="14.5" x14ac:dyDescent="0.35">
      <c r="A914" s="53"/>
      <c r="B914" s="54"/>
      <c r="D914" s="32"/>
    </row>
    <row r="915" spans="1:4" ht="14.5" x14ac:dyDescent="0.35">
      <c r="A915" s="53"/>
      <c r="B915" s="54"/>
      <c r="D915" s="32"/>
    </row>
    <row r="916" spans="1:4" ht="14.5" x14ac:dyDescent="0.35">
      <c r="A916" s="53"/>
      <c r="B916" s="54"/>
      <c r="D916" s="32"/>
    </row>
    <row r="917" spans="1:4" ht="14.5" x14ac:dyDescent="0.35">
      <c r="A917" s="53"/>
      <c r="B917" s="54"/>
      <c r="D917" s="32"/>
    </row>
    <row r="918" spans="1:4" ht="14.5" x14ac:dyDescent="0.35">
      <c r="A918" s="53"/>
      <c r="B918" s="54"/>
      <c r="D918" s="32"/>
    </row>
    <row r="919" spans="1:4" ht="14.5" x14ac:dyDescent="0.35">
      <c r="A919" s="53"/>
      <c r="B919" s="54"/>
      <c r="D919" s="32"/>
    </row>
    <row r="920" spans="1:4" ht="14.5" x14ac:dyDescent="0.35">
      <c r="A920" s="53"/>
      <c r="B920" s="54"/>
      <c r="D920" s="32"/>
    </row>
    <row r="921" spans="1:4" ht="14.5" x14ac:dyDescent="0.35">
      <c r="A921" s="53"/>
      <c r="B921" s="54"/>
      <c r="D921" s="32"/>
    </row>
    <row r="922" spans="1:4" ht="14.5" x14ac:dyDescent="0.35">
      <c r="A922" s="53"/>
      <c r="B922" s="54"/>
      <c r="D922" s="32"/>
    </row>
    <row r="923" spans="1:4" ht="14.5" x14ac:dyDescent="0.35">
      <c r="A923" s="53"/>
      <c r="B923" s="54"/>
      <c r="D923" s="32"/>
    </row>
    <row r="924" spans="1:4" ht="14.5" x14ac:dyDescent="0.35">
      <c r="A924" s="53"/>
      <c r="B924" s="54"/>
      <c r="D924" s="32"/>
    </row>
    <row r="925" spans="1:4" ht="14.5" x14ac:dyDescent="0.35">
      <c r="A925" s="53"/>
      <c r="B925" s="54"/>
      <c r="D925" s="32"/>
    </row>
    <row r="926" spans="1:4" ht="14.5" x14ac:dyDescent="0.35">
      <c r="A926" s="53"/>
      <c r="B926" s="54"/>
      <c r="D926" s="32"/>
    </row>
    <row r="927" spans="1:4" ht="14.5" x14ac:dyDescent="0.35">
      <c r="A927" s="53"/>
      <c r="B927" s="54"/>
      <c r="D927" s="32"/>
    </row>
    <row r="928" spans="1:4" ht="14.5" x14ac:dyDescent="0.35">
      <c r="A928" s="53"/>
      <c r="B928" s="54"/>
      <c r="D928" s="32"/>
    </row>
    <row r="929" spans="1:4" ht="14.5" x14ac:dyDescent="0.35">
      <c r="A929" s="53"/>
      <c r="B929" s="54"/>
      <c r="D929" s="32"/>
    </row>
    <row r="930" spans="1:4" ht="14.5" x14ac:dyDescent="0.35">
      <c r="A930" s="53"/>
      <c r="B930" s="54"/>
      <c r="D930" s="32"/>
    </row>
    <row r="931" spans="1:4" ht="14.5" x14ac:dyDescent="0.35">
      <c r="A931" s="53"/>
      <c r="B931" s="54"/>
      <c r="D931" s="32"/>
    </row>
    <row r="932" spans="1:4" ht="14.5" x14ac:dyDescent="0.35">
      <c r="A932" s="53"/>
      <c r="B932" s="54"/>
      <c r="D932" s="32"/>
    </row>
    <row r="933" spans="1:4" ht="14.5" x14ac:dyDescent="0.35">
      <c r="A933" s="53"/>
      <c r="B933" s="54"/>
      <c r="D933" s="32"/>
    </row>
    <row r="934" spans="1:4" ht="14.5" x14ac:dyDescent="0.35">
      <c r="A934" s="53"/>
      <c r="B934" s="54"/>
      <c r="D934" s="32"/>
    </row>
    <row r="935" spans="1:4" ht="14.5" x14ac:dyDescent="0.35">
      <c r="A935" s="53"/>
      <c r="B935" s="54"/>
      <c r="D935" s="32"/>
    </row>
    <row r="936" spans="1:4" ht="14.5" x14ac:dyDescent="0.35">
      <c r="A936" s="53"/>
      <c r="B936" s="54"/>
      <c r="D936" s="32"/>
    </row>
    <row r="937" spans="1:4" ht="14.5" x14ac:dyDescent="0.35">
      <c r="A937" s="53"/>
      <c r="B937" s="54"/>
      <c r="D937" s="32"/>
    </row>
    <row r="938" spans="1:4" ht="14.5" x14ac:dyDescent="0.35">
      <c r="A938" s="53"/>
      <c r="B938" s="54"/>
      <c r="D938" s="32"/>
    </row>
    <row r="939" spans="1:4" ht="14.5" x14ac:dyDescent="0.35">
      <c r="A939" s="53"/>
      <c r="B939" s="54"/>
      <c r="D939" s="32"/>
    </row>
    <row r="940" spans="1:4" ht="14.5" x14ac:dyDescent="0.35">
      <c r="A940" s="53"/>
      <c r="B940" s="54"/>
      <c r="D940" s="32"/>
    </row>
    <row r="941" spans="1:4" ht="14.5" x14ac:dyDescent="0.35">
      <c r="A941" s="53"/>
      <c r="B941" s="54"/>
      <c r="D941" s="32"/>
    </row>
    <row r="942" spans="1:4" ht="14.5" x14ac:dyDescent="0.35">
      <c r="A942" s="53"/>
      <c r="B942" s="54"/>
      <c r="D942" s="32"/>
    </row>
    <row r="943" spans="1:4" ht="14.5" x14ac:dyDescent="0.35">
      <c r="A943" s="53"/>
      <c r="B943" s="54"/>
      <c r="D943" s="32"/>
    </row>
    <row r="944" spans="1:4" ht="14.5" x14ac:dyDescent="0.35">
      <c r="A944" s="53"/>
      <c r="B944" s="54"/>
      <c r="D944" s="32"/>
    </row>
    <row r="945" spans="1:4" ht="14.5" x14ac:dyDescent="0.35">
      <c r="A945" s="53"/>
      <c r="B945" s="54"/>
      <c r="D945" s="32"/>
    </row>
    <row r="946" spans="1:4" ht="14.5" x14ac:dyDescent="0.35">
      <c r="A946" s="53"/>
      <c r="B946" s="54"/>
      <c r="D946" s="32"/>
    </row>
    <row r="947" spans="1:4" ht="14.5" x14ac:dyDescent="0.35">
      <c r="A947" s="53"/>
      <c r="B947" s="54"/>
      <c r="D947" s="32"/>
    </row>
    <row r="948" spans="1:4" ht="14.5" x14ac:dyDescent="0.35">
      <c r="A948" s="53"/>
      <c r="B948" s="54"/>
      <c r="D948" s="32"/>
    </row>
    <row r="949" spans="1:4" ht="14.5" x14ac:dyDescent="0.35">
      <c r="A949" s="53"/>
      <c r="B949" s="54"/>
      <c r="D949" s="32"/>
    </row>
    <row r="950" spans="1:4" ht="14.5" x14ac:dyDescent="0.35">
      <c r="A950" s="53"/>
      <c r="B950" s="54"/>
      <c r="D950" s="32"/>
    </row>
    <row r="951" spans="1:4" ht="14.5" x14ac:dyDescent="0.35">
      <c r="A951" s="53"/>
      <c r="B951" s="54"/>
      <c r="D951" s="32"/>
    </row>
    <row r="952" spans="1:4" ht="14.5" x14ac:dyDescent="0.35">
      <c r="A952" s="53"/>
      <c r="B952" s="54"/>
      <c r="D952" s="32"/>
    </row>
    <row r="953" spans="1:4" ht="14.5" x14ac:dyDescent="0.35">
      <c r="A953" s="53"/>
      <c r="B953" s="54"/>
      <c r="D953" s="32"/>
    </row>
    <row r="954" spans="1:4" ht="14.5" x14ac:dyDescent="0.35">
      <c r="A954" s="53"/>
      <c r="B954" s="54"/>
      <c r="D954" s="32"/>
    </row>
    <row r="955" spans="1:4" ht="14.5" x14ac:dyDescent="0.35">
      <c r="A955" s="53"/>
      <c r="B955" s="54"/>
      <c r="D955" s="32"/>
    </row>
    <row r="956" spans="1:4" ht="14.5" x14ac:dyDescent="0.35">
      <c r="A956" s="53"/>
      <c r="B956" s="54"/>
      <c r="D956" s="32"/>
    </row>
    <row r="957" spans="1:4" ht="14.5" x14ac:dyDescent="0.35">
      <c r="A957" s="53"/>
      <c r="B957" s="54"/>
      <c r="D957" s="32"/>
    </row>
    <row r="958" spans="1:4" ht="14.5" x14ac:dyDescent="0.35">
      <c r="A958" s="53"/>
      <c r="B958" s="54"/>
      <c r="D958" s="32"/>
    </row>
    <row r="959" spans="1:4" ht="14.5" x14ac:dyDescent="0.35">
      <c r="A959" s="53"/>
      <c r="B959" s="54"/>
      <c r="D959" s="32"/>
    </row>
    <row r="960" spans="1:4" ht="14.5" x14ac:dyDescent="0.35">
      <c r="A960" s="53"/>
      <c r="B960" s="54"/>
      <c r="D960" s="32"/>
    </row>
    <row r="961" spans="1:4" ht="14.5" x14ac:dyDescent="0.35">
      <c r="A961" s="53"/>
      <c r="B961" s="54"/>
      <c r="D961" s="32"/>
    </row>
    <row r="962" spans="1:4" ht="14.5" x14ac:dyDescent="0.35">
      <c r="A962" s="53"/>
      <c r="B962" s="54"/>
      <c r="D962" s="32"/>
    </row>
    <row r="963" spans="1:4" ht="14.5" x14ac:dyDescent="0.35">
      <c r="A963" s="53"/>
      <c r="B963" s="54"/>
      <c r="D963" s="32"/>
    </row>
    <row r="964" spans="1:4" ht="14.5" x14ac:dyDescent="0.35">
      <c r="A964" s="53"/>
      <c r="B964" s="54"/>
      <c r="D964" s="32"/>
    </row>
    <row r="965" spans="1:4" ht="14.5" x14ac:dyDescent="0.35">
      <c r="A965" s="53"/>
      <c r="B965" s="54"/>
      <c r="D965" s="32"/>
    </row>
    <row r="966" spans="1:4" ht="14.5" x14ac:dyDescent="0.35">
      <c r="A966" s="53"/>
      <c r="B966" s="54"/>
      <c r="D966" s="32"/>
    </row>
    <row r="967" spans="1:4" ht="14.5" x14ac:dyDescent="0.35">
      <c r="A967" s="53"/>
      <c r="B967" s="54"/>
      <c r="D967" s="32"/>
    </row>
    <row r="968" spans="1:4" ht="14.5" x14ac:dyDescent="0.35">
      <c r="A968" s="53"/>
      <c r="B968" s="54"/>
      <c r="D968" s="32"/>
    </row>
    <row r="969" spans="1:4" ht="14.5" x14ac:dyDescent="0.35">
      <c r="A969" s="53"/>
      <c r="B969" s="54"/>
      <c r="D969" s="32"/>
    </row>
    <row r="970" spans="1:4" ht="14.5" x14ac:dyDescent="0.35">
      <c r="A970" s="53"/>
      <c r="B970" s="54"/>
      <c r="D970" s="32"/>
    </row>
    <row r="971" spans="1:4" ht="14.5" x14ac:dyDescent="0.35">
      <c r="A971" s="53"/>
      <c r="B971" s="54"/>
      <c r="D971" s="32"/>
    </row>
    <row r="972" spans="1:4" ht="14.5" x14ac:dyDescent="0.35">
      <c r="A972" s="53"/>
      <c r="B972" s="54"/>
      <c r="D972" s="32"/>
    </row>
    <row r="973" spans="1:4" ht="14.5" x14ac:dyDescent="0.35">
      <c r="A973" s="53"/>
      <c r="B973" s="54"/>
      <c r="D973" s="32"/>
    </row>
    <row r="974" spans="1:4" ht="14.5" x14ac:dyDescent="0.35">
      <c r="A974" s="53"/>
      <c r="B974" s="54"/>
      <c r="D974" s="32"/>
    </row>
    <row r="975" spans="1:4" ht="14.5" x14ac:dyDescent="0.35">
      <c r="A975" s="53"/>
      <c r="B975" s="54"/>
      <c r="D975" s="32"/>
    </row>
    <row r="976" spans="1:4" ht="14.5" x14ac:dyDescent="0.35">
      <c r="A976" s="53"/>
      <c r="B976" s="54"/>
      <c r="D976" s="32"/>
    </row>
    <row r="977" spans="1:4" ht="14.5" x14ac:dyDescent="0.35">
      <c r="A977" s="53"/>
      <c r="B977" s="54"/>
      <c r="D977" s="32"/>
    </row>
    <row r="978" spans="1:4" ht="14.5" x14ac:dyDescent="0.35">
      <c r="A978" s="53"/>
      <c r="B978" s="54"/>
      <c r="D978" s="32"/>
    </row>
    <row r="979" spans="1:4" ht="14.5" x14ac:dyDescent="0.35">
      <c r="A979" s="53"/>
      <c r="B979" s="54"/>
      <c r="D979" s="32"/>
    </row>
    <row r="980" spans="1:4" ht="14.5" x14ac:dyDescent="0.35">
      <c r="A980" s="53"/>
      <c r="B980" s="54"/>
      <c r="D980" s="32"/>
    </row>
    <row r="981" spans="1:4" ht="14.5" x14ac:dyDescent="0.35">
      <c r="A981" s="53"/>
      <c r="B981" s="54"/>
      <c r="D981" s="32"/>
    </row>
    <row r="982" spans="1:4" ht="14.5" x14ac:dyDescent="0.35">
      <c r="A982" s="53"/>
      <c r="B982" s="54"/>
      <c r="D982" s="32"/>
    </row>
    <row r="983" spans="1:4" ht="14.5" x14ac:dyDescent="0.35">
      <c r="A983" s="53"/>
      <c r="B983" s="54"/>
      <c r="D983" s="32"/>
    </row>
    <row r="984" spans="1:4" ht="14.5" x14ac:dyDescent="0.35">
      <c r="A984" s="53"/>
      <c r="B984" s="54"/>
      <c r="D984" s="32"/>
    </row>
    <row r="985" spans="1:4" ht="14.5" x14ac:dyDescent="0.35">
      <c r="A985" s="53"/>
      <c r="B985" s="54"/>
      <c r="D985" s="32"/>
    </row>
    <row r="986" spans="1:4" ht="14.5" x14ac:dyDescent="0.35">
      <c r="A986" s="53"/>
      <c r="B986" s="54"/>
      <c r="D986" s="32"/>
    </row>
    <row r="987" spans="1:4" ht="14.5" x14ac:dyDescent="0.35">
      <c r="A987" s="53"/>
      <c r="B987" s="54"/>
      <c r="D987" s="32"/>
    </row>
    <row r="988" spans="1:4" ht="14.5" x14ac:dyDescent="0.35">
      <c r="A988" s="53"/>
      <c r="B988" s="54"/>
      <c r="D988" s="32"/>
    </row>
    <row r="989" spans="1:4" ht="14.5" x14ac:dyDescent="0.35">
      <c r="A989" s="53"/>
      <c r="B989" s="54"/>
      <c r="D989" s="32"/>
    </row>
    <row r="990" spans="1:4" ht="14.5" x14ac:dyDescent="0.35">
      <c r="A990" s="53"/>
      <c r="B990" s="54"/>
      <c r="D990" s="32"/>
    </row>
    <row r="991" spans="1:4" ht="14.5" x14ac:dyDescent="0.35">
      <c r="A991" s="53"/>
      <c r="B991" s="54"/>
      <c r="D991" s="32"/>
    </row>
    <row r="992" spans="1:4" ht="14.5" x14ac:dyDescent="0.35">
      <c r="A992" s="53"/>
      <c r="B992" s="54"/>
      <c r="D992" s="32"/>
    </row>
    <row r="993" spans="1:4" ht="14.5" x14ac:dyDescent="0.35">
      <c r="A993" s="53"/>
      <c r="B993" s="54"/>
      <c r="D993" s="32"/>
    </row>
    <row r="994" spans="1:4" ht="14.5" x14ac:dyDescent="0.35">
      <c r="A994" s="53"/>
      <c r="B994" s="54"/>
      <c r="D994" s="32"/>
    </row>
    <row r="995" spans="1:4" ht="14.5" x14ac:dyDescent="0.35">
      <c r="A995" s="53"/>
      <c r="B995" s="54"/>
      <c r="D995" s="32"/>
    </row>
    <row r="996" spans="1:4" ht="14.5" x14ac:dyDescent="0.35">
      <c r="A996" s="53"/>
      <c r="B996" s="54"/>
      <c r="D996" s="32"/>
    </row>
    <row r="997" spans="1:4" ht="14.5" x14ac:dyDescent="0.35">
      <c r="A997" s="53"/>
      <c r="B997" s="54"/>
      <c r="D997" s="32"/>
    </row>
    <row r="998" spans="1:4" ht="14.5" x14ac:dyDescent="0.35">
      <c r="A998" s="53"/>
      <c r="B998" s="54"/>
      <c r="D998" s="32"/>
    </row>
    <row r="999" spans="1:4" ht="14.5" x14ac:dyDescent="0.35">
      <c r="A999" s="53"/>
      <c r="B999" s="54"/>
      <c r="D999" s="32"/>
    </row>
    <row r="1000" spans="1:4" ht="14.5" x14ac:dyDescent="0.35">
      <c r="A1000" s="53"/>
      <c r="B1000" s="54"/>
      <c r="D1000" s="32"/>
    </row>
  </sheetData>
  <autoFilter ref="A2:J598" xr:uid="{00000000-0009-0000-0000-000002000000}">
    <sortState xmlns:xlrd2="http://schemas.microsoft.com/office/spreadsheetml/2017/richdata2" ref="A2:J598">
      <sortCondition ref="E2:E598"/>
    </sortState>
  </autoFilter>
  <conditionalFormatting sqref="J3:J76">
    <cfRule type="notContainsBlanks" dxfId="112" priority="1">
      <formula>LEN(TRIM(J3))&gt;0</formula>
    </cfRule>
  </conditionalFormatting>
  <conditionalFormatting sqref="J3:J76">
    <cfRule type="containsBlanks" dxfId="111" priority="2">
      <formula>LEN(TRIM(J3))=0</formula>
    </cfRule>
  </conditionalFormatting>
  <conditionalFormatting sqref="A22:F76 H22:I76">
    <cfRule type="containsBlanks" dxfId="110" priority="3">
      <formula>LEN(TRIM(A22))=0</formula>
    </cfRule>
  </conditionalFormatting>
  <conditionalFormatting sqref="I3:I76">
    <cfRule type="containsText" dxfId="109" priority="4" operator="containsText" text="BOLETO">
      <formula>NOT(ISERROR(SEARCH(("BOLETO"),(I3))))</formula>
    </cfRule>
  </conditionalFormatting>
  <conditionalFormatting sqref="I3:I76">
    <cfRule type="containsText" dxfId="108" priority="5" operator="containsText" text="CARTÃO ">
      <formula>NOT(ISERROR(SEARCH(("CARTÃO "),(I3))))</formula>
    </cfRule>
  </conditionalFormatting>
  <conditionalFormatting sqref="I3:I76">
    <cfRule type="containsText" dxfId="107" priority="6" operator="containsText" text="DEP C/C">
      <formula>NOT(ISERROR(SEARCH(("DEP C/C"),(I3))))</formula>
    </cfRule>
  </conditionalFormatting>
  <conditionalFormatting sqref="G3:I3 G4:G76 G78:G80 H4:I21">
    <cfRule type="containsBlanks" dxfId="106" priority="7">
      <formula>LEN(TRIM(G3))=0</formula>
    </cfRule>
  </conditionalFormatting>
  <conditionalFormatting sqref="C3:C21">
    <cfRule type="containsBlanks" dxfId="105" priority="8">
      <formula>LEN(TRIM(C3))=0</formula>
    </cfRule>
  </conditionalFormatting>
  <conditionalFormatting sqref="C3:C76">
    <cfRule type="containsText" dxfId="104" priority="9" stopIfTrue="1" operator="containsText" text="PENDENTE">
      <formula>NOT(ISERROR(SEARCH(("PENDENTE"),(C3))))</formula>
    </cfRule>
  </conditionalFormatting>
  <conditionalFormatting sqref="B3:B76">
    <cfRule type="timePeriod" dxfId="103" priority="10" timePeriod="yesterday">
      <formula>FLOOR(B3,1)=TODAY()-1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showGridLines="0" workbookViewId="0">
      <pane ySplit="2" topLeftCell="A3" activePane="bottomLeft" state="frozen"/>
      <selection activeCell="F19" sqref="F19"/>
      <selection pane="bottomLeft" activeCell="F19" sqref="F19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3.8164062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15" customHeight="1" x14ac:dyDescent="0.35">
      <c r="A1" s="32"/>
      <c r="B1" s="32"/>
      <c r="C1" s="32"/>
      <c r="D1" s="32"/>
      <c r="E1" s="1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11"/>
      <c r="B9" s="11"/>
      <c r="C9" s="11"/>
      <c r="D9" s="5"/>
      <c r="E9" s="8"/>
      <c r="F9" s="12"/>
      <c r="G9" s="12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55"/>
      <c r="B16" s="55"/>
      <c r="C16" s="55"/>
      <c r="D16" s="56"/>
      <c r="E16" s="57"/>
      <c r="F16" s="58"/>
      <c r="G16" s="58"/>
      <c r="H16" s="56"/>
      <c r="I16" s="56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11"/>
      <c r="B22" s="11"/>
      <c r="C22" s="11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35">
      <c r="A25" s="11"/>
      <c r="B25" s="11"/>
      <c r="C25" s="11"/>
      <c r="D25" s="59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 x14ac:dyDescent="0.35">
      <c r="A35" s="11"/>
      <c r="B35" s="11"/>
      <c r="C35" s="11"/>
      <c r="D35" s="13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 x14ac:dyDescent="0.35">
      <c r="A36" s="11"/>
      <c r="B36" s="11"/>
      <c r="C36" s="11"/>
      <c r="D36" s="59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" customHeight="1" x14ac:dyDescent="0.35">
      <c r="A38" s="11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" customHeight="1" x14ac:dyDescent="0.35">
      <c r="A40" s="11"/>
      <c r="B40" s="11"/>
      <c r="C40" s="11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" customHeight="1" x14ac:dyDescent="0.35">
      <c r="A41" s="11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" customHeight="1" x14ac:dyDescent="0.35">
      <c r="A42" s="11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customHeight="1" x14ac:dyDescent="0.35">
      <c r="A45" s="11"/>
      <c r="B45" s="11"/>
      <c r="C45" s="11"/>
      <c r="D45" s="5"/>
      <c r="E45" s="8"/>
      <c r="F45" s="12"/>
      <c r="G45" s="12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customHeight="1" x14ac:dyDescent="0.35">
      <c r="A51" s="11"/>
      <c r="B51" s="11"/>
      <c r="C51" s="11"/>
      <c r="D51" s="5"/>
      <c r="E51" s="8"/>
      <c r="F51" s="12"/>
      <c r="G51" s="12"/>
      <c r="H51" s="5"/>
      <c r="I51" s="5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customHeight="1" x14ac:dyDescent="0.35">
      <c r="A53" s="11"/>
      <c r="B53" s="11"/>
      <c r="C53" s="11"/>
      <c r="D53" s="5"/>
      <c r="E53" s="8"/>
      <c r="F53" s="12"/>
      <c r="G53" s="12">
        <f t="shared" ref="G3:G76" si="0">IF(OR(C53 = "",C53="PENDENTE"), 0, IF(OR(C53&lt;=B53,H53=1),F53,(F53*0.1966/100)*(C53-B53)+F53))</f>
        <v>0</v>
      </c>
      <c r="H53" s="5"/>
      <c r="I53" s="5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" customHeight="1" x14ac:dyDescent="0.35">
      <c r="A54" s="11"/>
      <c r="B54" s="11"/>
      <c r="C54" s="11"/>
      <c r="D54" s="5"/>
      <c r="E54" s="8"/>
      <c r="F54" s="12"/>
      <c r="G54" s="12">
        <f t="shared" si="0"/>
        <v>0</v>
      </c>
      <c r="H54" s="5"/>
      <c r="I54" s="5"/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customHeight="1" x14ac:dyDescent="0.35">
      <c r="A55" s="11"/>
      <c r="B55" s="11"/>
      <c r="C55" s="11"/>
      <c r="D55" s="5"/>
      <c r="E55" s="8"/>
      <c r="F55" s="12"/>
      <c r="G55" s="12">
        <f t="shared" si="0"/>
        <v>0</v>
      </c>
      <c r="H55" s="5"/>
      <c r="I55" s="5"/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" customHeight="1" x14ac:dyDescent="0.35">
      <c r="A56" s="11"/>
      <c r="B56" s="11"/>
      <c r="C56" s="11"/>
      <c r="D56" s="5"/>
      <c r="E56" s="8"/>
      <c r="F56" s="12"/>
      <c r="G56" s="12">
        <f t="shared" si="0"/>
        <v>0</v>
      </c>
      <c r="H56" s="5"/>
      <c r="I56" s="5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customHeight="1" x14ac:dyDescent="0.35">
      <c r="A57" s="11"/>
      <c r="B57" s="11"/>
      <c r="C57" s="11"/>
      <c r="D57" s="5"/>
      <c r="E57" s="8"/>
      <c r="F57" s="12"/>
      <c r="G57" s="12">
        <f t="shared" si="0"/>
        <v>0</v>
      </c>
      <c r="H57" s="5"/>
      <c r="I57" s="5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" customHeight="1" x14ac:dyDescent="0.35">
      <c r="A58" s="11"/>
      <c r="B58" s="11"/>
      <c r="C58" s="11"/>
      <c r="D58" s="5"/>
      <c r="E58" s="8"/>
      <c r="F58" s="12"/>
      <c r="G58" s="12">
        <f t="shared" si="0"/>
        <v>0</v>
      </c>
      <c r="H58" s="5"/>
      <c r="I58" s="5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customHeight="1" x14ac:dyDescent="0.35">
      <c r="A59" s="11"/>
      <c r="B59" s="11"/>
      <c r="C59" s="11"/>
      <c r="D59" s="5"/>
      <c r="E59" s="8"/>
      <c r="F59" s="12"/>
      <c r="G59" s="12">
        <f t="shared" si="0"/>
        <v>0</v>
      </c>
      <c r="H59" s="5"/>
      <c r="I59" s="5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" customHeight="1" x14ac:dyDescent="0.35">
      <c r="A60" s="11"/>
      <c r="B60" s="11"/>
      <c r="C60" s="11"/>
      <c r="D60" s="5"/>
      <c r="E60" s="8"/>
      <c r="F60" s="12"/>
      <c r="G60" s="12">
        <f t="shared" si="0"/>
        <v>0</v>
      </c>
      <c r="H60" s="5"/>
      <c r="I60" s="5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customHeight="1" x14ac:dyDescent="0.35">
      <c r="A61" s="11"/>
      <c r="B61" s="11"/>
      <c r="C61" s="11"/>
      <c r="D61" s="5"/>
      <c r="E61" s="8"/>
      <c r="F61" s="12"/>
      <c r="G61" s="12">
        <f t="shared" si="0"/>
        <v>0</v>
      </c>
      <c r="H61" s="5"/>
      <c r="I61" s="5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customHeight="1" x14ac:dyDescent="0.35">
      <c r="A62" s="11"/>
      <c r="B62" s="11"/>
      <c r="C62" s="11"/>
      <c r="D62" s="5"/>
      <c r="E62" s="8"/>
      <c r="F62" s="12"/>
      <c r="G62" s="12">
        <f t="shared" si="0"/>
        <v>0</v>
      </c>
      <c r="H62" s="5"/>
      <c r="I62" s="5"/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" customHeight="1" x14ac:dyDescent="0.35">
      <c r="A63" s="11"/>
      <c r="B63" s="11"/>
      <c r="C63" s="11"/>
      <c r="D63" s="5"/>
      <c r="E63" s="8"/>
      <c r="F63" s="12"/>
      <c r="G63" s="12">
        <f t="shared" si="0"/>
        <v>0</v>
      </c>
      <c r="H63" s="5"/>
      <c r="I63" s="5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customHeight="1" x14ac:dyDescent="0.35">
      <c r="A77" s="19"/>
      <c r="B77" s="19"/>
      <c r="C77" s="19"/>
      <c r="D77" s="18"/>
      <c r="E77" s="20"/>
      <c r="F77" s="21">
        <f t="shared" ref="F77:G77" si="1">SUM(F3:F76)</f>
        <v>0</v>
      </c>
      <c r="G77" s="21">
        <f t="shared" si="1"/>
        <v>0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" customHeight="1" x14ac:dyDescent="0.35">
      <c r="A78" s="19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customHeight="1" x14ac:dyDescent="0.35">
      <c r="A79" s="19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customHeight="1" x14ac:dyDescent="0.35">
      <c r="A80" s="19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" customHeight="1" x14ac:dyDescent="0.35">
      <c r="A81" s="19"/>
      <c r="B81" s="19"/>
      <c r="C81" s="19"/>
      <c r="D81" s="18"/>
      <c r="E81" s="20"/>
      <c r="F81" s="23"/>
      <c r="G81" s="23"/>
      <c r="H81" s="18"/>
      <c r="I81" s="18"/>
      <c r="J81" s="18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" customHeight="1" x14ac:dyDescent="0.35">
      <c r="A82" s="19"/>
      <c r="B82" s="19"/>
      <c r="C82" s="19"/>
      <c r="D82" s="18"/>
      <c r="E82" s="20"/>
      <c r="F82" s="23"/>
      <c r="G82" s="23"/>
      <c r="H82" s="18"/>
      <c r="I82" s="18"/>
      <c r="J82" s="18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" customHeight="1" x14ac:dyDescent="0.35">
      <c r="A83" s="19"/>
      <c r="B83" s="19"/>
      <c r="C83" s="19"/>
      <c r="D83" s="18"/>
      <c r="E83" s="20"/>
      <c r="F83" s="23"/>
      <c r="G83" s="23"/>
      <c r="H83" s="18"/>
      <c r="I83" s="18"/>
      <c r="J83" s="18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" customHeight="1" x14ac:dyDescent="0.35">
      <c r="A84" s="19"/>
      <c r="B84" s="19"/>
      <c r="C84" s="19"/>
      <c r="D84" s="18"/>
      <c r="E84" s="20"/>
      <c r="F84" s="23"/>
      <c r="G84" s="23"/>
      <c r="H84" s="18"/>
      <c r="I84" s="18"/>
      <c r="J84" s="18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" customHeight="1" x14ac:dyDescent="0.35">
      <c r="A85" s="19"/>
      <c r="B85" s="19"/>
      <c r="C85" s="19"/>
      <c r="D85" s="18"/>
      <c r="E85" s="20"/>
      <c r="F85" s="23"/>
      <c r="G85" s="23"/>
      <c r="H85" s="18"/>
      <c r="I85" s="18"/>
      <c r="J85" s="18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" customHeight="1" x14ac:dyDescent="0.35">
      <c r="A86" s="19"/>
      <c r="B86" s="19"/>
      <c r="C86" s="19"/>
      <c r="D86" s="18"/>
      <c r="E86" s="20"/>
      <c r="F86" s="23"/>
      <c r="G86" s="23"/>
      <c r="H86" s="18"/>
      <c r="I86" s="18"/>
      <c r="J86" s="18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" customHeight="1" x14ac:dyDescent="0.35">
      <c r="A87" s="19"/>
      <c r="B87" s="19"/>
      <c r="C87" s="19"/>
      <c r="D87" s="18"/>
      <c r="E87" s="20"/>
      <c r="F87" s="23"/>
      <c r="G87" s="23"/>
      <c r="H87" s="18"/>
      <c r="I87" s="18"/>
      <c r="J87" s="18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" customHeight="1" x14ac:dyDescent="0.35">
      <c r="A88" s="19"/>
      <c r="B88" s="19"/>
      <c r="C88" s="19"/>
      <c r="D88" s="18"/>
      <c r="E88" s="20"/>
      <c r="F88" s="23"/>
      <c r="G88" s="23"/>
      <c r="H88" s="18"/>
      <c r="I88" s="18"/>
      <c r="J88" s="18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" customHeight="1" x14ac:dyDescent="0.35">
      <c r="A89" s="19"/>
      <c r="B89" s="19"/>
      <c r="C89" s="19"/>
      <c r="D89" s="18"/>
      <c r="E89" s="20"/>
      <c r="F89" s="23"/>
      <c r="G89" s="23"/>
      <c r="H89" s="18"/>
      <c r="I89" s="18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" customHeight="1" x14ac:dyDescent="0.35">
      <c r="A90" s="19"/>
      <c r="B90" s="19"/>
      <c r="C90" s="19"/>
      <c r="D90" s="18"/>
      <c r="E90" s="20"/>
      <c r="F90" s="23"/>
      <c r="G90" s="23"/>
      <c r="H90" s="18"/>
      <c r="I90" s="18"/>
      <c r="J90" s="18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" customHeight="1" x14ac:dyDescent="0.35">
      <c r="A91" s="19"/>
      <c r="B91" s="19"/>
      <c r="C91" s="19"/>
      <c r="D91" s="18"/>
      <c r="E91" s="20"/>
      <c r="F91" s="23"/>
      <c r="G91" s="23"/>
      <c r="H91" s="18"/>
      <c r="I91" s="18"/>
      <c r="J91" s="18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" customHeight="1" x14ac:dyDescent="0.35">
      <c r="A92" s="19"/>
      <c r="B92" s="19"/>
      <c r="C92" s="19"/>
      <c r="D92" s="18"/>
      <c r="E92" s="20"/>
      <c r="F92" s="23"/>
      <c r="G92" s="23"/>
      <c r="H92" s="18"/>
      <c r="I92" s="18"/>
      <c r="J92" s="18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" customHeight="1" x14ac:dyDescent="0.35">
      <c r="A93" s="19"/>
      <c r="B93" s="19"/>
      <c r="C93" s="19"/>
      <c r="D93" s="18"/>
      <c r="E93" s="20"/>
      <c r="F93" s="23"/>
      <c r="G93" s="23"/>
      <c r="H93" s="18"/>
      <c r="I93" s="18"/>
      <c r="J93" s="18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" customHeight="1" x14ac:dyDescent="0.35">
      <c r="A94" s="19"/>
      <c r="B94" s="19"/>
      <c r="C94" s="19"/>
      <c r="D94" s="18"/>
      <c r="E94" s="20"/>
      <c r="F94" s="23"/>
      <c r="G94" s="23"/>
      <c r="H94" s="18"/>
      <c r="I94" s="18"/>
      <c r="J94" s="18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" customHeight="1" x14ac:dyDescent="0.35">
      <c r="A95" s="19"/>
      <c r="B95" s="19"/>
      <c r="C95" s="19"/>
      <c r="D95" s="18"/>
      <c r="E95" s="20"/>
      <c r="F95" s="23"/>
      <c r="G95" s="23"/>
      <c r="H95" s="18"/>
      <c r="I95" s="18"/>
      <c r="J95" s="18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" customHeight="1" x14ac:dyDescent="0.35">
      <c r="A96" s="19"/>
      <c r="B96" s="19"/>
      <c r="C96" s="19"/>
      <c r="D96" s="18"/>
      <c r="E96" s="20"/>
      <c r="F96" s="23"/>
      <c r="G96" s="23"/>
      <c r="H96" s="18"/>
      <c r="I96" s="18"/>
      <c r="J96" s="18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" customHeight="1" x14ac:dyDescent="0.35">
      <c r="A97" s="19"/>
      <c r="B97" s="19"/>
      <c r="C97" s="19"/>
      <c r="D97" s="18"/>
      <c r="E97" s="20"/>
      <c r="F97" s="23"/>
      <c r="G97" s="23"/>
      <c r="H97" s="18"/>
      <c r="I97" s="18"/>
      <c r="J97" s="18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" customHeight="1" x14ac:dyDescent="0.35">
      <c r="A98" s="19"/>
      <c r="B98" s="19"/>
      <c r="C98" s="19"/>
      <c r="D98" s="18"/>
      <c r="E98" s="20"/>
      <c r="F98" s="23"/>
      <c r="G98" s="23"/>
      <c r="H98" s="18"/>
      <c r="I98" s="18"/>
      <c r="J98" s="18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" customHeight="1" x14ac:dyDescent="0.35">
      <c r="A99" s="19"/>
      <c r="B99" s="19"/>
      <c r="C99" s="19"/>
      <c r="D99" s="18"/>
      <c r="E99" s="20"/>
      <c r="F99" s="23"/>
      <c r="G99" s="23"/>
      <c r="H99" s="18"/>
      <c r="I99" s="18"/>
      <c r="J99" s="18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" customHeight="1" x14ac:dyDescent="0.35">
      <c r="A100" s="19"/>
      <c r="B100" s="19"/>
      <c r="C100" s="19"/>
      <c r="D100" s="18"/>
      <c r="E100" s="20"/>
      <c r="F100" s="23"/>
      <c r="G100" s="23"/>
      <c r="H100" s="18"/>
      <c r="I100" s="18"/>
      <c r="J100" s="18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" customHeight="1" x14ac:dyDescent="0.35">
      <c r="A101" s="19"/>
      <c r="B101" s="19"/>
      <c r="C101" s="19"/>
      <c r="D101" s="18"/>
      <c r="E101" s="20"/>
      <c r="F101" s="23"/>
      <c r="G101" s="23"/>
      <c r="H101" s="18"/>
      <c r="I101" s="18"/>
      <c r="J101" s="18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" customHeight="1" x14ac:dyDescent="0.35">
      <c r="A102" s="19"/>
      <c r="B102" s="19"/>
      <c r="C102" s="19"/>
      <c r="D102" s="18"/>
      <c r="E102" s="20"/>
      <c r="F102" s="23"/>
      <c r="G102" s="23"/>
      <c r="H102" s="18"/>
      <c r="I102" s="18"/>
      <c r="J102" s="18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" customHeight="1" x14ac:dyDescent="0.35">
      <c r="A103" s="19"/>
      <c r="B103" s="19"/>
      <c r="C103" s="19"/>
      <c r="D103" s="18"/>
      <c r="E103" s="20"/>
      <c r="F103" s="23"/>
      <c r="G103" s="23"/>
      <c r="H103" s="18"/>
      <c r="I103" s="18"/>
      <c r="J103" s="18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" customHeight="1" x14ac:dyDescent="0.35">
      <c r="A104" s="19"/>
      <c r="B104" s="19"/>
      <c r="C104" s="19"/>
      <c r="D104" s="18"/>
      <c r="E104" s="20"/>
      <c r="F104" s="23"/>
      <c r="G104" s="23"/>
      <c r="H104" s="18"/>
      <c r="I104" s="18"/>
      <c r="J104" s="18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" customHeight="1" x14ac:dyDescent="0.35">
      <c r="A105" s="19"/>
      <c r="B105" s="19"/>
      <c r="C105" s="19"/>
      <c r="D105" s="18"/>
      <c r="E105" s="20"/>
      <c r="F105" s="23"/>
      <c r="G105" s="23"/>
      <c r="H105" s="18"/>
      <c r="I105" s="18"/>
      <c r="J105" s="18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" customHeight="1" x14ac:dyDescent="0.35">
      <c r="A106" s="19"/>
      <c r="B106" s="19"/>
      <c r="C106" s="19"/>
      <c r="D106" s="18"/>
      <c r="E106" s="20"/>
      <c r="F106" s="23"/>
      <c r="G106" s="23"/>
      <c r="H106" s="18"/>
      <c r="I106" s="18"/>
      <c r="J106" s="18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" customHeight="1" x14ac:dyDescent="0.35">
      <c r="A107" s="19"/>
      <c r="B107" s="19"/>
      <c r="C107" s="19"/>
      <c r="D107" s="18"/>
      <c r="E107" s="20"/>
      <c r="F107" s="23"/>
      <c r="G107" s="23"/>
      <c r="H107" s="18"/>
      <c r="I107" s="18"/>
      <c r="J107" s="18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" customHeight="1" x14ac:dyDescent="0.35">
      <c r="A108" s="19"/>
      <c r="B108" s="19"/>
      <c r="C108" s="19"/>
      <c r="D108" s="18"/>
      <c r="E108" s="20"/>
      <c r="F108" s="23"/>
      <c r="G108" s="23"/>
      <c r="H108" s="18"/>
      <c r="I108" s="18"/>
      <c r="J108" s="18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" customHeight="1" x14ac:dyDescent="0.35">
      <c r="A109" s="19"/>
      <c r="B109" s="19"/>
      <c r="C109" s="19"/>
      <c r="D109" s="18"/>
      <c r="E109" s="20"/>
      <c r="F109" s="23"/>
      <c r="G109" s="23"/>
      <c r="H109" s="18"/>
      <c r="I109" s="18"/>
      <c r="J109" s="18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" customHeight="1" x14ac:dyDescent="0.35">
      <c r="A110" s="19"/>
      <c r="B110" s="19"/>
      <c r="C110" s="19"/>
      <c r="D110" s="18"/>
      <c r="E110" s="20"/>
      <c r="F110" s="23"/>
      <c r="G110" s="23"/>
      <c r="H110" s="18"/>
      <c r="I110" s="18"/>
      <c r="J110" s="18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" customHeight="1" x14ac:dyDescent="0.35">
      <c r="A111" s="19"/>
      <c r="B111" s="19"/>
      <c r="C111" s="19"/>
      <c r="D111" s="18"/>
      <c r="E111" s="20"/>
      <c r="F111" s="23"/>
      <c r="G111" s="23"/>
      <c r="H111" s="18"/>
      <c r="I111" s="18"/>
      <c r="J111" s="18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" customHeight="1" x14ac:dyDescent="0.35">
      <c r="A112" s="19"/>
      <c r="B112" s="19"/>
      <c r="C112" s="19"/>
      <c r="D112" s="18"/>
      <c r="E112" s="20"/>
      <c r="F112" s="23"/>
      <c r="G112" s="23"/>
      <c r="H112" s="18"/>
      <c r="I112" s="18"/>
      <c r="J112" s="18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" customHeight="1" x14ac:dyDescent="0.35">
      <c r="A113" s="19"/>
      <c r="B113" s="19"/>
      <c r="C113" s="19"/>
      <c r="D113" s="18"/>
      <c r="E113" s="20"/>
      <c r="F113" s="23"/>
      <c r="G113" s="23"/>
      <c r="H113" s="18"/>
      <c r="I113" s="18"/>
      <c r="J113" s="18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" customHeight="1" x14ac:dyDescent="0.35">
      <c r="A114" s="19"/>
      <c r="B114" s="19"/>
      <c r="C114" s="19"/>
      <c r="D114" s="18"/>
      <c r="E114" s="20"/>
      <c r="F114" s="23"/>
      <c r="G114" s="23"/>
      <c r="H114" s="18"/>
      <c r="I114" s="18"/>
      <c r="J114" s="18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" customHeight="1" x14ac:dyDescent="0.35">
      <c r="A115" s="19"/>
      <c r="B115" s="19"/>
      <c r="C115" s="19"/>
      <c r="D115" s="18"/>
      <c r="E115" s="20"/>
      <c r="F115" s="23"/>
      <c r="G115" s="23"/>
      <c r="H115" s="18"/>
      <c r="I115" s="18"/>
      <c r="J115" s="18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" customHeight="1" x14ac:dyDescent="0.35">
      <c r="A116" s="19"/>
      <c r="B116" s="19"/>
      <c r="C116" s="19"/>
      <c r="D116" s="18"/>
      <c r="E116" s="20"/>
      <c r="F116" s="23"/>
      <c r="G116" s="23"/>
      <c r="H116" s="18"/>
      <c r="I116" s="18"/>
      <c r="J116" s="18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" customHeight="1" x14ac:dyDescent="0.35">
      <c r="A117" s="19"/>
      <c r="B117" s="19"/>
      <c r="C117" s="19"/>
      <c r="D117" s="18"/>
      <c r="E117" s="20"/>
      <c r="F117" s="23"/>
      <c r="G117" s="23"/>
      <c r="H117" s="18"/>
      <c r="I117" s="18"/>
      <c r="J117" s="18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" customHeight="1" x14ac:dyDescent="0.35">
      <c r="A118" s="19"/>
      <c r="B118" s="19"/>
      <c r="C118" s="19"/>
      <c r="D118" s="18"/>
      <c r="E118" s="20"/>
      <c r="F118" s="23"/>
      <c r="G118" s="23"/>
      <c r="H118" s="18"/>
      <c r="I118" s="18"/>
      <c r="J118" s="18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" customHeight="1" x14ac:dyDescent="0.35">
      <c r="A119" s="19"/>
      <c r="B119" s="19"/>
      <c r="C119" s="19"/>
      <c r="D119" s="18"/>
      <c r="E119" s="20"/>
      <c r="F119" s="23"/>
      <c r="G119" s="23"/>
      <c r="H119" s="18"/>
      <c r="I119" s="18"/>
      <c r="J119" s="18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" customHeight="1" x14ac:dyDescent="0.35">
      <c r="A120" s="19"/>
      <c r="B120" s="19"/>
      <c r="C120" s="19"/>
      <c r="D120" s="18"/>
      <c r="E120" s="20"/>
      <c r="F120" s="23"/>
      <c r="G120" s="23"/>
      <c r="H120" s="18"/>
      <c r="I120" s="18"/>
      <c r="J120" s="18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" customHeight="1" x14ac:dyDescent="0.35">
      <c r="A121" s="19"/>
      <c r="B121" s="19"/>
      <c r="C121" s="19"/>
      <c r="D121" s="18"/>
      <c r="E121" s="20"/>
      <c r="F121" s="23"/>
      <c r="G121" s="23"/>
      <c r="H121" s="18"/>
      <c r="I121" s="18"/>
      <c r="J121" s="18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" customHeight="1" x14ac:dyDescent="0.35">
      <c r="A122" s="19"/>
      <c r="B122" s="19"/>
      <c r="C122" s="19"/>
      <c r="D122" s="18"/>
      <c r="E122" s="20"/>
      <c r="F122" s="23"/>
      <c r="G122" s="23"/>
      <c r="H122" s="18"/>
      <c r="I122" s="18"/>
      <c r="J122" s="18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" customHeight="1" x14ac:dyDescent="0.35">
      <c r="A123" s="19"/>
      <c r="B123" s="19"/>
      <c r="C123" s="19"/>
      <c r="D123" s="18"/>
      <c r="E123" s="20"/>
      <c r="F123" s="23"/>
      <c r="G123" s="23"/>
      <c r="H123" s="18"/>
      <c r="I123" s="18"/>
      <c r="J123" s="18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" customHeight="1" x14ac:dyDescent="0.35">
      <c r="A124" s="25"/>
      <c r="B124" s="25"/>
      <c r="C124" s="25"/>
      <c r="D124" s="26"/>
      <c r="E124" s="27"/>
      <c r="F124" s="28"/>
      <c r="G124" s="28"/>
      <c r="H124" s="26"/>
      <c r="I124" s="26"/>
      <c r="J124" s="26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" customHeight="1" x14ac:dyDescent="0.35">
      <c r="A125" s="19"/>
      <c r="B125" s="19"/>
      <c r="C125" s="19"/>
      <c r="D125" s="18"/>
      <c r="E125" s="20"/>
      <c r="F125" s="23"/>
      <c r="G125" s="23"/>
      <c r="H125" s="18"/>
      <c r="I125" s="18"/>
      <c r="J125" s="18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" customHeight="1" x14ac:dyDescent="0.35">
      <c r="A126" s="19"/>
      <c r="B126" s="19"/>
      <c r="C126" s="19"/>
      <c r="D126" s="18"/>
      <c r="E126" s="20"/>
      <c r="F126" s="23"/>
      <c r="G126" s="23"/>
      <c r="H126" s="18"/>
      <c r="I126" s="18"/>
      <c r="J126" s="18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" customHeight="1" x14ac:dyDescent="0.35">
      <c r="A127" s="19"/>
      <c r="B127" s="19"/>
      <c r="C127" s="19"/>
      <c r="D127" s="18"/>
      <c r="E127" s="20"/>
      <c r="F127" s="23"/>
      <c r="G127" s="23"/>
      <c r="H127" s="18"/>
      <c r="I127" s="18"/>
      <c r="J127" s="18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" customHeight="1" x14ac:dyDescent="0.35">
      <c r="A128" s="19"/>
      <c r="B128" s="19"/>
      <c r="C128" s="19"/>
      <c r="D128" s="18"/>
      <c r="E128" s="20"/>
      <c r="F128" s="23"/>
      <c r="G128" s="23"/>
      <c r="H128" s="18"/>
      <c r="I128" s="18"/>
      <c r="J128" s="18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" customHeight="1" x14ac:dyDescent="0.35">
      <c r="A129" s="19"/>
      <c r="B129" s="19"/>
      <c r="C129" s="19"/>
      <c r="D129" s="18"/>
      <c r="E129" s="20"/>
      <c r="F129" s="23"/>
      <c r="G129" s="23"/>
      <c r="H129" s="18"/>
      <c r="I129" s="18"/>
      <c r="J129" s="18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" customHeight="1" x14ac:dyDescent="0.35">
      <c r="A130" s="19"/>
      <c r="B130" s="19"/>
      <c r="C130" s="19"/>
      <c r="D130" s="18"/>
      <c r="E130" s="20"/>
      <c r="F130" s="23"/>
      <c r="G130" s="23"/>
      <c r="H130" s="18"/>
      <c r="I130" s="18"/>
      <c r="J130" s="18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" customHeight="1" x14ac:dyDescent="0.35">
      <c r="A131" s="19"/>
      <c r="B131" s="19"/>
      <c r="C131" s="19"/>
      <c r="D131" s="18"/>
      <c r="E131" s="20"/>
      <c r="F131" s="23"/>
      <c r="G131" s="23"/>
      <c r="H131" s="18"/>
      <c r="I131" s="18"/>
      <c r="J131" s="18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" customHeight="1" x14ac:dyDescent="0.35">
      <c r="A132" s="25"/>
      <c r="B132" s="25"/>
      <c r="C132" s="25"/>
      <c r="D132" s="26"/>
      <c r="E132" s="27"/>
      <c r="F132" s="28"/>
      <c r="G132" s="28"/>
      <c r="H132" s="26"/>
      <c r="I132" s="26"/>
      <c r="J132" s="26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" customHeight="1" x14ac:dyDescent="0.35">
      <c r="A133" s="19"/>
      <c r="B133" s="19"/>
      <c r="C133" s="19"/>
      <c r="D133" s="18"/>
      <c r="E133" s="20"/>
      <c r="F133" s="23"/>
      <c r="G133" s="30"/>
      <c r="H133" s="24"/>
      <c r="I133" s="18"/>
      <c r="J133" s="24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" customHeight="1" x14ac:dyDescent="0.35">
      <c r="A134" s="19"/>
      <c r="B134" s="19"/>
      <c r="C134" s="19"/>
      <c r="D134" s="18"/>
      <c r="E134" s="20"/>
      <c r="F134" s="23"/>
      <c r="G134" s="23"/>
      <c r="H134" s="18"/>
      <c r="I134" s="18"/>
      <c r="J134" s="18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" customHeight="1" x14ac:dyDescent="0.35">
      <c r="A135" s="19"/>
      <c r="B135" s="19"/>
      <c r="C135" s="19"/>
      <c r="D135" s="18"/>
      <c r="E135" s="20"/>
      <c r="F135" s="23"/>
      <c r="G135" s="23"/>
      <c r="H135" s="18"/>
      <c r="I135" s="18"/>
      <c r="J135" s="18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" customHeight="1" x14ac:dyDescent="0.35">
      <c r="A136" s="19"/>
      <c r="B136" s="19"/>
      <c r="C136" s="19"/>
      <c r="D136" s="18"/>
      <c r="E136" s="20"/>
      <c r="F136" s="23"/>
      <c r="G136" s="23"/>
      <c r="H136" s="18"/>
      <c r="I136" s="18"/>
      <c r="J136" s="18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" customHeight="1" x14ac:dyDescent="0.35">
      <c r="A137" s="19"/>
      <c r="B137" s="19"/>
      <c r="C137" s="19"/>
      <c r="D137" s="18"/>
      <c r="E137" s="20"/>
      <c r="F137" s="23"/>
      <c r="G137" s="23"/>
      <c r="H137" s="18"/>
      <c r="I137" s="18"/>
      <c r="J137" s="18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" customHeight="1" x14ac:dyDescent="0.35">
      <c r="A138" s="19"/>
      <c r="B138" s="19"/>
      <c r="C138" s="19"/>
      <c r="D138" s="18"/>
      <c r="E138" s="20"/>
      <c r="F138" s="23"/>
      <c r="G138" s="23"/>
      <c r="H138" s="18"/>
      <c r="I138" s="18"/>
      <c r="J138" s="18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" customHeight="1" x14ac:dyDescent="0.35">
      <c r="A139" s="19"/>
      <c r="B139" s="19"/>
      <c r="C139" s="19"/>
      <c r="D139" s="18"/>
      <c r="E139" s="20"/>
      <c r="F139" s="23"/>
      <c r="G139" s="23"/>
      <c r="H139" s="18"/>
      <c r="I139" s="18"/>
      <c r="J139" s="18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" customHeight="1" x14ac:dyDescent="0.35">
      <c r="A140" s="19"/>
      <c r="B140" s="19"/>
      <c r="C140" s="19"/>
      <c r="D140" s="18"/>
      <c r="E140" s="20"/>
      <c r="F140" s="23"/>
      <c r="G140" s="23"/>
      <c r="H140" s="18"/>
      <c r="I140" s="18"/>
      <c r="J140" s="18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" customHeight="1" x14ac:dyDescent="0.35">
      <c r="A141" s="19"/>
      <c r="B141" s="19"/>
      <c r="C141" s="19"/>
      <c r="D141" s="18"/>
      <c r="E141" s="20"/>
      <c r="F141" s="23"/>
      <c r="G141" s="23"/>
      <c r="H141" s="18"/>
      <c r="I141" s="18"/>
      <c r="J141" s="18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" customHeight="1" x14ac:dyDescent="0.35">
      <c r="A142" s="19"/>
      <c r="B142" s="19"/>
      <c r="C142" s="19"/>
      <c r="D142" s="18"/>
      <c r="E142" s="20"/>
      <c r="F142" s="23"/>
      <c r="G142" s="23"/>
      <c r="H142" s="18"/>
      <c r="I142" s="18"/>
      <c r="J142" s="18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" customHeight="1" x14ac:dyDescent="0.35">
      <c r="A143" s="19"/>
      <c r="B143" s="19"/>
      <c r="C143" s="19"/>
      <c r="D143" s="18"/>
      <c r="E143" s="20"/>
      <c r="F143" s="23"/>
      <c r="G143" s="23"/>
      <c r="H143" s="18"/>
      <c r="I143" s="18"/>
      <c r="J143" s="18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" customHeight="1" x14ac:dyDescent="0.35">
      <c r="A144" s="19"/>
      <c r="B144" s="19"/>
      <c r="C144" s="19"/>
      <c r="D144" s="18"/>
      <c r="E144" s="20"/>
      <c r="F144" s="23"/>
      <c r="G144" s="23"/>
      <c r="H144" s="18"/>
      <c r="I144" s="18"/>
      <c r="J144" s="18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" customHeight="1" x14ac:dyDescent="0.35">
      <c r="A145" s="19"/>
      <c r="B145" s="19"/>
      <c r="C145" s="19"/>
      <c r="D145" s="18"/>
      <c r="E145" s="20"/>
      <c r="F145" s="23"/>
      <c r="G145" s="23"/>
      <c r="H145" s="18"/>
      <c r="I145" s="18"/>
      <c r="J145" s="18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" customHeight="1" x14ac:dyDescent="0.35">
      <c r="A146" s="19"/>
      <c r="B146" s="19"/>
      <c r="C146" s="19"/>
      <c r="D146" s="18"/>
      <c r="E146" s="20"/>
      <c r="F146" s="23"/>
      <c r="G146" s="23"/>
      <c r="H146" s="18"/>
      <c r="I146" s="18"/>
      <c r="J146" s="18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" customHeight="1" x14ac:dyDescent="0.35">
      <c r="A147" s="19"/>
      <c r="B147" s="19"/>
      <c r="C147" s="19"/>
      <c r="D147" s="18"/>
      <c r="E147" s="20"/>
      <c r="F147" s="23"/>
      <c r="G147" s="23"/>
      <c r="H147" s="18"/>
      <c r="I147" s="18"/>
      <c r="J147" s="18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" customHeight="1" x14ac:dyDescent="0.35">
      <c r="A148" s="19"/>
      <c r="B148" s="19"/>
      <c r="C148" s="19"/>
      <c r="D148" s="18"/>
      <c r="E148" s="20"/>
      <c r="F148" s="23"/>
      <c r="G148" s="23"/>
      <c r="H148" s="18"/>
      <c r="I148" s="18"/>
      <c r="J148" s="18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" customHeight="1" x14ac:dyDescent="0.35">
      <c r="A149" s="19"/>
      <c r="B149" s="19"/>
      <c r="C149" s="19"/>
      <c r="D149" s="18"/>
      <c r="E149" s="20"/>
      <c r="F149" s="23"/>
      <c r="G149" s="23"/>
      <c r="H149" s="18"/>
      <c r="I149" s="18"/>
      <c r="J149" s="18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" customHeight="1" x14ac:dyDescent="0.35">
      <c r="A150" s="19"/>
      <c r="B150" s="19"/>
      <c r="C150" s="19"/>
      <c r="D150" s="18"/>
      <c r="E150" s="20"/>
      <c r="F150" s="23"/>
      <c r="G150" s="23"/>
      <c r="H150" s="18"/>
      <c r="I150" s="18"/>
      <c r="J150" s="18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" customHeight="1" x14ac:dyDescent="0.35">
      <c r="A151" s="19"/>
      <c r="B151" s="19"/>
      <c r="C151" s="19"/>
      <c r="D151" s="18"/>
      <c r="E151" s="20"/>
      <c r="F151" s="23"/>
      <c r="G151" s="23"/>
      <c r="H151" s="18"/>
      <c r="I151" s="18"/>
      <c r="J151" s="18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" customHeight="1" x14ac:dyDescent="0.35">
      <c r="A152" s="19"/>
      <c r="B152" s="19"/>
      <c r="C152" s="19"/>
      <c r="D152" s="18"/>
      <c r="E152" s="20"/>
      <c r="F152" s="23"/>
      <c r="G152" s="23"/>
      <c r="H152" s="18"/>
      <c r="I152" s="18"/>
      <c r="J152" s="18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" customHeight="1" x14ac:dyDescent="0.35">
      <c r="A153" s="19"/>
      <c r="B153" s="19"/>
      <c r="C153" s="19"/>
      <c r="D153" s="18"/>
      <c r="E153" s="20"/>
      <c r="F153" s="23"/>
      <c r="G153" s="23"/>
      <c r="H153" s="18"/>
      <c r="I153" s="18"/>
      <c r="J153" s="18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" customHeight="1" x14ac:dyDescent="0.35">
      <c r="A154" s="19"/>
      <c r="B154" s="19"/>
      <c r="C154" s="19"/>
      <c r="D154" s="18"/>
      <c r="E154" s="20"/>
      <c r="F154" s="23"/>
      <c r="G154" s="23"/>
      <c r="H154" s="18"/>
      <c r="I154" s="18"/>
      <c r="J154" s="18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" customHeight="1" x14ac:dyDescent="0.35">
      <c r="A155" s="19"/>
      <c r="B155" s="19"/>
      <c r="C155" s="19"/>
      <c r="D155" s="18"/>
      <c r="E155" s="20"/>
      <c r="F155" s="23"/>
      <c r="G155" s="23"/>
      <c r="H155" s="18"/>
      <c r="I155" s="18"/>
      <c r="J155" s="18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" customHeight="1" x14ac:dyDescent="0.35">
      <c r="A156" s="19"/>
      <c r="B156" s="19"/>
      <c r="C156" s="19"/>
      <c r="D156" s="18"/>
      <c r="E156" s="20"/>
      <c r="F156" s="23"/>
      <c r="G156" s="23"/>
      <c r="H156" s="18"/>
      <c r="I156" s="18"/>
      <c r="J156" s="18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" customHeight="1" x14ac:dyDescent="0.35">
      <c r="A157" s="19"/>
      <c r="B157" s="19"/>
      <c r="C157" s="19"/>
      <c r="D157" s="18"/>
      <c r="E157" s="20"/>
      <c r="F157" s="23"/>
      <c r="G157" s="23"/>
      <c r="H157" s="18"/>
      <c r="I157" s="18"/>
      <c r="J157" s="18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" customHeight="1" x14ac:dyDescent="0.35">
      <c r="A158" s="19"/>
      <c r="B158" s="19"/>
      <c r="C158" s="19"/>
      <c r="D158" s="18"/>
      <c r="E158" s="20"/>
      <c r="F158" s="23"/>
      <c r="G158" s="23"/>
      <c r="H158" s="18"/>
      <c r="I158" s="18"/>
      <c r="J158" s="18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" customHeight="1" x14ac:dyDescent="0.35">
      <c r="A159" s="19"/>
      <c r="B159" s="19"/>
      <c r="C159" s="19"/>
      <c r="D159" s="18"/>
      <c r="E159" s="20"/>
      <c r="F159" s="23"/>
      <c r="G159" s="23"/>
      <c r="H159" s="18"/>
      <c r="I159" s="18"/>
      <c r="J159" s="18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" customHeight="1" x14ac:dyDescent="0.35">
      <c r="A160" s="19"/>
      <c r="B160" s="19"/>
      <c r="C160" s="19"/>
      <c r="D160" s="18"/>
      <c r="E160" s="20"/>
      <c r="F160" s="23"/>
      <c r="G160" s="23"/>
      <c r="H160" s="18"/>
      <c r="I160" s="18"/>
      <c r="J160" s="18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" customHeight="1" x14ac:dyDescent="0.35">
      <c r="A161" s="19"/>
      <c r="B161" s="19"/>
      <c r="C161" s="19"/>
      <c r="D161" s="18"/>
      <c r="E161" s="20"/>
      <c r="F161" s="23"/>
      <c r="G161" s="23"/>
      <c r="H161" s="18"/>
      <c r="I161" s="18"/>
      <c r="J161" s="18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" customHeight="1" x14ac:dyDescent="0.35">
      <c r="A162" s="19"/>
      <c r="B162" s="19"/>
      <c r="C162" s="19"/>
      <c r="D162" s="18"/>
      <c r="E162" s="20"/>
      <c r="F162" s="23"/>
      <c r="G162" s="23"/>
      <c r="H162" s="18"/>
      <c r="I162" s="18"/>
      <c r="J162" s="18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" customHeight="1" x14ac:dyDescent="0.35">
      <c r="A163" s="19"/>
      <c r="B163" s="19"/>
      <c r="C163" s="19"/>
      <c r="D163" s="18"/>
      <c r="E163" s="20"/>
      <c r="F163" s="23"/>
      <c r="G163" s="23"/>
      <c r="H163" s="18"/>
      <c r="I163" s="18"/>
      <c r="J163" s="18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" customHeight="1" x14ac:dyDescent="0.35">
      <c r="A164" s="19"/>
      <c r="B164" s="19"/>
      <c r="C164" s="19"/>
      <c r="D164" s="18"/>
      <c r="E164" s="20"/>
      <c r="F164" s="23"/>
      <c r="G164" s="23"/>
      <c r="H164" s="18"/>
      <c r="I164" s="18"/>
      <c r="J164" s="18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" customHeight="1" x14ac:dyDescent="0.35">
      <c r="A165" s="19"/>
      <c r="B165" s="19"/>
      <c r="C165" s="19"/>
      <c r="D165" s="18"/>
      <c r="E165" s="20"/>
      <c r="F165" s="23"/>
      <c r="G165" s="23"/>
      <c r="H165" s="18"/>
      <c r="I165" s="18"/>
      <c r="J165" s="18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" customHeight="1" x14ac:dyDescent="0.35">
      <c r="A166" s="19"/>
      <c r="B166" s="19"/>
      <c r="C166" s="19"/>
      <c r="D166" s="18"/>
      <c r="E166" s="20"/>
      <c r="F166" s="23"/>
      <c r="G166" s="23"/>
      <c r="H166" s="18"/>
      <c r="I166" s="18"/>
      <c r="J166" s="18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" customHeight="1" x14ac:dyDescent="0.35">
      <c r="A167" s="19"/>
      <c r="B167" s="19"/>
      <c r="C167" s="19"/>
      <c r="D167" s="18"/>
      <c r="E167" s="20"/>
      <c r="F167" s="23"/>
      <c r="G167" s="23"/>
      <c r="H167" s="18"/>
      <c r="I167" s="18"/>
      <c r="J167" s="18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" customHeight="1" x14ac:dyDescent="0.35">
      <c r="A168" s="19"/>
      <c r="B168" s="19"/>
      <c r="C168" s="19"/>
      <c r="D168" s="18"/>
      <c r="E168" s="20"/>
      <c r="F168" s="23"/>
      <c r="G168" s="23"/>
      <c r="H168" s="18"/>
      <c r="I168" s="18"/>
      <c r="J168" s="18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" customHeight="1" x14ac:dyDescent="0.35">
      <c r="A169" s="19"/>
      <c r="B169" s="19"/>
      <c r="C169" s="19"/>
      <c r="D169" s="18"/>
      <c r="E169" s="20"/>
      <c r="F169" s="23"/>
      <c r="G169" s="23"/>
      <c r="H169" s="18"/>
      <c r="I169" s="18"/>
      <c r="J169" s="18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" customHeight="1" x14ac:dyDescent="0.35">
      <c r="A170" s="19"/>
      <c r="B170" s="19"/>
      <c r="C170" s="19"/>
      <c r="D170" s="18"/>
      <c r="E170" s="20"/>
      <c r="F170" s="23"/>
      <c r="G170" s="23"/>
      <c r="H170" s="18"/>
      <c r="I170" s="18"/>
      <c r="J170" s="18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" customHeight="1" x14ac:dyDescent="0.35">
      <c r="A171" s="19"/>
      <c r="B171" s="19"/>
      <c r="C171" s="19"/>
      <c r="D171" s="18"/>
      <c r="E171" s="20"/>
      <c r="F171" s="23"/>
      <c r="G171" s="23"/>
      <c r="H171" s="18"/>
      <c r="I171" s="18"/>
      <c r="J171" s="18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" customHeight="1" x14ac:dyDescent="0.35">
      <c r="A172" s="25"/>
      <c r="B172" s="25"/>
      <c r="C172" s="25"/>
      <c r="D172" s="26"/>
      <c r="E172" s="27"/>
      <c r="F172" s="28"/>
      <c r="G172" s="28"/>
      <c r="H172" s="26"/>
      <c r="I172" s="26"/>
      <c r="J172" s="26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" customHeight="1" x14ac:dyDescent="0.35">
      <c r="A173" s="19"/>
      <c r="B173" s="19"/>
      <c r="C173" s="19"/>
      <c r="D173" s="18"/>
      <c r="E173" s="20"/>
      <c r="F173" s="23"/>
      <c r="G173" s="23"/>
      <c r="H173" s="18"/>
      <c r="I173" s="18"/>
      <c r="J173" s="18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" customHeight="1" x14ac:dyDescent="0.35">
      <c r="A174" s="19"/>
      <c r="B174" s="19"/>
      <c r="C174" s="19"/>
      <c r="D174" s="18"/>
      <c r="E174" s="20"/>
      <c r="F174" s="23"/>
      <c r="G174" s="23"/>
      <c r="H174" s="18"/>
      <c r="I174" s="18"/>
      <c r="J174" s="18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" customHeight="1" x14ac:dyDescent="0.35">
      <c r="A175" s="19"/>
      <c r="B175" s="19"/>
      <c r="C175" s="19"/>
      <c r="D175" s="18"/>
      <c r="E175" s="20"/>
      <c r="F175" s="23"/>
      <c r="G175" s="23"/>
      <c r="H175" s="18"/>
      <c r="I175" s="18"/>
      <c r="J175" s="24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" customHeight="1" x14ac:dyDescent="0.35">
      <c r="A176" s="19"/>
      <c r="B176" s="19"/>
      <c r="C176" s="19"/>
      <c r="D176" s="18"/>
      <c r="E176" s="20"/>
      <c r="F176" s="23"/>
      <c r="G176" s="23"/>
      <c r="H176" s="18"/>
      <c r="I176" s="18"/>
      <c r="J176" s="24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" customHeight="1" x14ac:dyDescent="0.35">
      <c r="A177" s="19"/>
      <c r="B177" s="19"/>
      <c r="C177" s="19"/>
      <c r="D177" s="18"/>
      <c r="E177" s="20"/>
      <c r="F177" s="23"/>
      <c r="G177" s="23"/>
      <c r="H177" s="18"/>
      <c r="I177" s="18"/>
      <c r="J177" s="24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" customHeight="1" x14ac:dyDescent="0.35">
      <c r="A178" s="19"/>
      <c r="B178" s="19"/>
      <c r="C178" s="19"/>
      <c r="D178" s="18"/>
      <c r="E178" s="20"/>
      <c r="F178" s="23"/>
      <c r="G178" s="23"/>
      <c r="H178" s="18"/>
      <c r="I178" s="18"/>
      <c r="J178" s="24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" customHeight="1" x14ac:dyDescent="0.35">
      <c r="A179" s="19"/>
      <c r="B179" s="19"/>
      <c r="C179" s="19"/>
      <c r="D179" s="18"/>
      <c r="E179" s="20"/>
      <c r="F179" s="23"/>
      <c r="G179" s="23"/>
      <c r="H179" s="18"/>
      <c r="I179" s="18"/>
      <c r="J179" s="24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" customHeight="1" x14ac:dyDescent="0.35">
      <c r="A180" s="19"/>
      <c r="B180" s="19"/>
      <c r="C180" s="19"/>
      <c r="D180" s="18"/>
      <c r="E180" s="20"/>
      <c r="F180" s="23"/>
      <c r="G180" s="23"/>
      <c r="H180" s="18"/>
      <c r="I180" s="18"/>
      <c r="J180" s="24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" customHeight="1" x14ac:dyDescent="0.35">
      <c r="A181" s="19"/>
      <c r="B181" s="19"/>
      <c r="C181" s="19"/>
      <c r="D181" s="18"/>
      <c r="E181" s="20"/>
      <c r="F181" s="23"/>
      <c r="G181" s="23"/>
      <c r="H181" s="18"/>
      <c r="I181" s="18"/>
      <c r="J181" s="24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" customHeight="1" x14ac:dyDescent="0.35">
      <c r="A182" s="19"/>
      <c r="B182" s="19"/>
      <c r="C182" s="19"/>
      <c r="D182" s="18"/>
      <c r="E182" s="20"/>
      <c r="F182" s="23"/>
      <c r="G182" s="23"/>
      <c r="H182" s="18"/>
      <c r="I182" s="18"/>
      <c r="J182" s="24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" customHeight="1" x14ac:dyDescent="0.35">
      <c r="A183" s="19"/>
      <c r="B183" s="19"/>
    </row>
    <row r="184" spans="1:26" ht="15" customHeight="1" x14ac:dyDescent="0.35">
      <c r="A184" s="19"/>
      <c r="B184" s="19"/>
    </row>
    <row r="185" spans="1:26" ht="15" customHeight="1" x14ac:dyDescent="0.35">
      <c r="A185" s="19"/>
      <c r="B185" s="19"/>
    </row>
    <row r="186" spans="1:26" ht="15" customHeight="1" x14ac:dyDescent="0.35">
      <c r="A186" s="19"/>
      <c r="B186" s="19"/>
    </row>
    <row r="187" spans="1:26" ht="15" customHeight="1" x14ac:dyDescent="0.35">
      <c r="A187" s="19"/>
      <c r="B187" s="19"/>
    </row>
    <row r="188" spans="1:26" ht="15" customHeight="1" x14ac:dyDescent="0.35">
      <c r="A188" s="19"/>
      <c r="B188" s="19"/>
    </row>
    <row r="189" spans="1:26" ht="15" customHeight="1" x14ac:dyDescent="0.35">
      <c r="A189" s="19"/>
      <c r="B189" s="19"/>
    </row>
    <row r="190" spans="1:26" ht="15" customHeight="1" x14ac:dyDescent="0.35">
      <c r="A190" s="19"/>
      <c r="B190" s="19"/>
    </row>
    <row r="191" spans="1:26" ht="15" customHeight="1" x14ac:dyDescent="0.35">
      <c r="A191" s="19"/>
      <c r="B191" s="19"/>
    </row>
    <row r="192" spans="1:26" ht="15" customHeight="1" x14ac:dyDescent="0.35">
      <c r="A192" s="19"/>
      <c r="B192" s="19"/>
    </row>
    <row r="193" spans="1:2" ht="15" customHeight="1" x14ac:dyDescent="0.35">
      <c r="A193" s="19"/>
      <c r="B193" s="19"/>
    </row>
    <row r="194" spans="1:2" ht="15" customHeight="1" x14ac:dyDescent="0.35">
      <c r="A194" s="19"/>
      <c r="B194" s="19"/>
    </row>
    <row r="195" spans="1:2" ht="15" customHeight="1" x14ac:dyDescent="0.35">
      <c r="A195" s="19"/>
      <c r="B195" s="19"/>
    </row>
    <row r="196" spans="1:2" ht="15" customHeight="1" x14ac:dyDescent="0.35">
      <c r="A196" s="19"/>
      <c r="B196" s="19"/>
    </row>
    <row r="197" spans="1:2" ht="15" customHeight="1" x14ac:dyDescent="0.35">
      <c r="A197" s="19"/>
      <c r="B197" s="19"/>
    </row>
    <row r="198" spans="1:2" ht="15" customHeight="1" x14ac:dyDescent="0.35">
      <c r="A198" s="19"/>
      <c r="B198" s="19"/>
    </row>
    <row r="199" spans="1:2" ht="15" customHeight="1" x14ac:dyDescent="0.35">
      <c r="A199" s="19"/>
      <c r="B199" s="19"/>
    </row>
    <row r="200" spans="1:2" ht="15" customHeight="1" x14ac:dyDescent="0.35">
      <c r="A200" s="19"/>
      <c r="B200" s="19"/>
    </row>
    <row r="201" spans="1:2" ht="15" customHeight="1" x14ac:dyDescent="0.35">
      <c r="A201" s="19"/>
      <c r="B201" s="19"/>
    </row>
    <row r="202" spans="1:2" ht="15" customHeight="1" x14ac:dyDescent="0.35">
      <c r="A202" s="19"/>
      <c r="B202" s="19"/>
    </row>
    <row r="203" spans="1:2" ht="15" customHeight="1" x14ac:dyDescent="0.35">
      <c r="A203" s="19"/>
      <c r="B203" s="19"/>
    </row>
    <row r="204" spans="1:2" ht="15" customHeight="1" x14ac:dyDescent="0.35">
      <c r="A204" s="19"/>
      <c r="B204" s="19"/>
    </row>
    <row r="205" spans="1:2" ht="15" customHeight="1" x14ac:dyDescent="0.35">
      <c r="A205" s="19"/>
      <c r="B205" s="19"/>
    </row>
    <row r="206" spans="1:2" ht="15" customHeight="1" x14ac:dyDescent="0.35">
      <c r="A206" s="19"/>
      <c r="B206" s="19"/>
    </row>
    <row r="207" spans="1:2" ht="15" customHeight="1" x14ac:dyDescent="0.35">
      <c r="A207" s="19"/>
      <c r="B207" s="19"/>
    </row>
    <row r="208" spans="1:2" ht="15" customHeight="1" x14ac:dyDescent="0.35">
      <c r="A208" s="19"/>
      <c r="B208" s="19"/>
    </row>
    <row r="209" spans="1:2" ht="15" customHeight="1" x14ac:dyDescent="0.35">
      <c r="A209" s="19"/>
      <c r="B209" s="19"/>
    </row>
    <row r="210" spans="1:2" ht="15" customHeight="1" x14ac:dyDescent="0.35">
      <c r="A210" s="19"/>
      <c r="B210" s="19"/>
    </row>
    <row r="211" spans="1:2" ht="15" customHeight="1" x14ac:dyDescent="0.35">
      <c r="A211" s="19"/>
      <c r="B211" s="19"/>
    </row>
    <row r="212" spans="1:2" ht="15" customHeight="1" x14ac:dyDescent="0.35">
      <c r="A212" s="19"/>
      <c r="B212" s="19"/>
    </row>
    <row r="213" spans="1:2" ht="15" customHeight="1" x14ac:dyDescent="0.35">
      <c r="A213" s="19"/>
      <c r="B213" s="19"/>
    </row>
    <row r="214" spans="1:2" ht="15" customHeight="1" x14ac:dyDescent="0.35">
      <c r="A214" s="19"/>
      <c r="B214" s="19"/>
    </row>
    <row r="215" spans="1:2" ht="15" customHeight="1" x14ac:dyDescent="0.35">
      <c r="A215" s="19"/>
      <c r="B215" s="19"/>
    </row>
    <row r="216" spans="1:2" ht="15" customHeight="1" x14ac:dyDescent="0.35">
      <c r="A216" s="19"/>
      <c r="B216" s="19"/>
    </row>
    <row r="217" spans="1:2" ht="15" customHeight="1" x14ac:dyDescent="0.35">
      <c r="A217" s="19"/>
      <c r="B217" s="19"/>
    </row>
    <row r="218" spans="1:2" ht="15" customHeight="1" x14ac:dyDescent="0.35">
      <c r="A218" s="19"/>
      <c r="B218" s="19"/>
    </row>
    <row r="219" spans="1:2" ht="15" customHeight="1" x14ac:dyDescent="0.35">
      <c r="A219" s="19"/>
      <c r="B219" s="19"/>
    </row>
    <row r="220" spans="1:2" ht="15" customHeight="1" x14ac:dyDescent="0.35">
      <c r="A220" s="19"/>
      <c r="B220" s="19"/>
    </row>
    <row r="221" spans="1:2" ht="15" customHeight="1" x14ac:dyDescent="0.35">
      <c r="A221" s="19"/>
      <c r="B221" s="19"/>
    </row>
    <row r="222" spans="1:2" ht="15" customHeight="1" x14ac:dyDescent="0.35">
      <c r="A222" s="19"/>
      <c r="B222" s="19"/>
    </row>
    <row r="223" spans="1:2" ht="15" customHeight="1" x14ac:dyDescent="0.35">
      <c r="A223" s="19"/>
      <c r="B223" s="19"/>
    </row>
    <row r="224" spans="1:2" ht="15" customHeight="1" x14ac:dyDescent="0.35">
      <c r="A224" s="19"/>
      <c r="B224" s="19"/>
    </row>
    <row r="225" spans="1:2" ht="15" customHeight="1" x14ac:dyDescent="0.35">
      <c r="A225" s="19"/>
      <c r="B225" s="19"/>
    </row>
    <row r="226" spans="1:2" ht="15" customHeight="1" x14ac:dyDescent="0.35">
      <c r="A226" s="19"/>
      <c r="B226" s="19"/>
    </row>
    <row r="227" spans="1:2" ht="15" customHeight="1" x14ac:dyDescent="0.35">
      <c r="A227" s="19"/>
      <c r="B227" s="19"/>
    </row>
    <row r="228" spans="1:2" ht="15" customHeight="1" x14ac:dyDescent="0.35">
      <c r="A228" s="19"/>
      <c r="B228" s="19"/>
    </row>
    <row r="229" spans="1:2" ht="15" customHeight="1" x14ac:dyDescent="0.35">
      <c r="A229" s="19"/>
      <c r="B229" s="19"/>
    </row>
    <row r="230" spans="1:2" ht="15" customHeight="1" x14ac:dyDescent="0.35">
      <c r="A230" s="19"/>
      <c r="B230" s="19"/>
    </row>
    <row r="231" spans="1:2" ht="15" customHeight="1" x14ac:dyDescent="0.35">
      <c r="A231" s="19"/>
      <c r="B231" s="19"/>
    </row>
    <row r="232" spans="1:2" ht="15" customHeight="1" x14ac:dyDescent="0.35">
      <c r="A232" s="19"/>
      <c r="B232" s="19"/>
    </row>
    <row r="233" spans="1:2" ht="15" customHeight="1" x14ac:dyDescent="0.35">
      <c r="A233" s="19"/>
      <c r="B233" s="19"/>
    </row>
    <row r="234" spans="1:2" ht="15" customHeight="1" x14ac:dyDescent="0.35">
      <c r="A234" s="19"/>
      <c r="B234" s="19"/>
    </row>
    <row r="235" spans="1:2" ht="15" customHeight="1" x14ac:dyDescent="0.35">
      <c r="A235" s="19"/>
      <c r="B235" s="19"/>
    </row>
    <row r="236" spans="1:2" ht="15" customHeight="1" x14ac:dyDescent="0.35">
      <c r="A236" s="19"/>
      <c r="B236" s="19"/>
    </row>
    <row r="237" spans="1:2" ht="15" customHeight="1" x14ac:dyDescent="0.35">
      <c r="A237" s="19"/>
      <c r="B237" s="19"/>
    </row>
    <row r="238" spans="1:2" ht="15" customHeight="1" x14ac:dyDescent="0.35">
      <c r="A238" s="19"/>
      <c r="B238" s="19"/>
    </row>
    <row r="239" spans="1:2" ht="15" customHeight="1" x14ac:dyDescent="0.35">
      <c r="A239" s="19"/>
      <c r="B239" s="19"/>
    </row>
    <row r="240" spans="1:2" ht="15" customHeight="1" x14ac:dyDescent="0.35">
      <c r="A240" s="19"/>
      <c r="B240" s="19"/>
    </row>
    <row r="241" spans="1:2" ht="15" customHeight="1" x14ac:dyDescent="0.35">
      <c r="A241" s="19"/>
      <c r="B241" s="19"/>
    </row>
    <row r="242" spans="1:2" ht="15" customHeight="1" x14ac:dyDescent="0.35">
      <c r="A242" s="19"/>
      <c r="B242" s="19"/>
    </row>
    <row r="243" spans="1:2" ht="15" customHeight="1" x14ac:dyDescent="0.35">
      <c r="A243" s="19"/>
      <c r="B243" s="19"/>
    </row>
    <row r="244" spans="1:2" ht="15" customHeight="1" x14ac:dyDescent="0.35">
      <c r="A244" s="19"/>
      <c r="B244" s="19"/>
    </row>
    <row r="245" spans="1:2" ht="15" customHeight="1" x14ac:dyDescent="0.35">
      <c r="A245" s="19"/>
      <c r="B245" s="19"/>
    </row>
    <row r="246" spans="1:2" ht="15" customHeight="1" x14ac:dyDescent="0.35">
      <c r="A246" s="19"/>
      <c r="B246" s="19"/>
    </row>
    <row r="247" spans="1:2" ht="15" customHeight="1" x14ac:dyDescent="0.35">
      <c r="A247" s="19"/>
      <c r="B247" s="19"/>
    </row>
    <row r="248" spans="1:2" ht="15" customHeight="1" x14ac:dyDescent="0.35">
      <c r="A248" s="19"/>
      <c r="B248" s="19"/>
    </row>
    <row r="249" spans="1:2" ht="15" customHeight="1" x14ac:dyDescent="0.35">
      <c r="A249" s="19"/>
      <c r="B249" s="19"/>
    </row>
    <row r="250" spans="1:2" ht="15" customHeight="1" x14ac:dyDescent="0.35">
      <c r="A250" s="19"/>
      <c r="B250" s="19"/>
    </row>
    <row r="251" spans="1:2" ht="15" customHeight="1" x14ac:dyDescent="0.35">
      <c r="A251" s="19"/>
      <c r="B251" s="19"/>
    </row>
    <row r="252" spans="1:2" ht="15" customHeight="1" x14ac:dyDescent="0.35">
      <c r="A252" s="19"/>
      <c r="B252" s="19"/>
    </row>
    <row r="253" spans="1:2" ht="15" customHeight="1" x14ac:dyDescent="0.35">
      <c r="A253" s="19"/>
      <c r="B253" s="19"/>
    </row>
    <row r="254" spans="1:2" ht="15" customHeight="1" x14ac:dyDescent="0.35">
      <c r="A254" s="19"/>
      <c r="B254" s="19"/>
    </row>
    <row r="255" spans="1:2" ht="15" customHeight="1" x14ac:dyDescent="0.35">
      <c r="A255" s="19"/>
      <c r="B255" s="19"/>
    </row>
    <row r="256" spans="1:2" ht="15" customHeight="1" x14ac:dyDescent="0.35">
      <c r="A256" s="19"/>
      <c r="B256" s="19"/>
    </row>
    <row r="257" spans="1:2" ht="15" customHeight="1" x14ac:dyDescent="0.35">
      <c r="A257" s="19"/>
      <c r="B257" s="19"/>
    </row>
    <row r="258" spans="1:2" ht="15" customHeight="1" x14ac:dyDescent="0.35">
      <c r="A258" s="19"/>
      <c r="B258" s="19"/>
    </row>
    <row r="259" spans="1:2" ht="15" customHeight="1" x14ac:dyDescent="0.35">
      <c r="A259" s="19"/>
      <c r="B259" s="19"/>
    </row>
    <row r="260" spans="1:2" ht="15" customHeight="1" x14ac:dyDescent="0.35">
      <c r="A260" s="19"/>
      <c r="B260" s="19"/>
    </row>
    <row r="261" spans="1:2" ht="15" customHeight="1" x14ac:dyDescent="0.35">
      <c r="A261" s="19"/>
      <c r="B261" s="19"/>
    </row>
    <row r="262" spans="1:2" ht="15" customHeight="1" x14ac:dyDescent="0.35">
      <c r="A262" s="19"/>
      <c r="B262" s="19"/>
    </row>
    <row r="263" spans="1:2" ht="15" customHeight="1" x14ac:dyDescent="0.35">
      <c r="A263" s="19"/>
      <c r="B263" s="19"/>
    </row>
    <row r="264" spans="1:2" ht="15" customHeight="1" x14ac:dyDescent="0.35">
      <c r="A264" s="19"/>
      <c r="B264" s="19"/>
    </row>
    <row r="265" spans="1:2" ht="15" customHeight="1" x14ac:dyDescent="0.35">
      <c r="A265" s="19"/>
      <c r="B265" s="19"/>
    </row>
    <row r="266" spans="1:2" ht="15" customHeight="1" x14ac:dyDescent="0.35">
      <c r="A266" s="19"/>
      <c r="B266" s="19"/>
    </row>
    <row r="267" spans="1:2" ht="15" customHeight="1" x14ac:dyDescent="0.35">
      <c r="A267" s="19"/>
      <c r="B267" s="19"/>
    </row>
    <row r="268" spans="1:2" ht="15" customHeight="1" x14ac:dyDescent="0.35">
      <c r="A268" s="19"/>
      <c r="B268" s="19"/>
    </row>
    <row r="269" spans="1:2" ht="15" customHeight="1" x14ac:dyDescent="0.35">
      <c r="A269" s="19"/>
      <c r="B269" s="19"/>
    </row>
    <row r="270" spans="1:2" ht="15" customHeight="1" x14ac:dyDescent="0.35">
      <c r="A270" s="19"/>
      <c r="B270" s="19"/>
    </row>
    <row r="271" spans="1:2" ht="15" customHeight="1" x14ac:dyDescent="0.35">
      <c r="A271" s="19"/>
      <c r="B271" s="19"/>
    </row>
    <row r="272" spans="1:2" ht="15" customHeight="1" x14ac:dyDescent="0.35">
      <c r="A272" s="19"/>
      <c r="B272" s="19"/>
    </row>
    <row r="273" spans="1:2" ht="15" customHeight="1" x14ac:dyDescent="0.35">
      <c r="A273" s="19"/>
      <c r="B273" s="19"/>
    </row>
    <row r="274" spans="1:2" ht="15" customHeight="1" x14ac:dyDescent="0.35">
      <c r="A274" s="19"/>
      <c r="B274" s="19"/>
    </row>
    <row r="275" spans="1:2" ht="15" customHeight="1" x14ac:dyDescent="0.35">
      <c r="A275" s="19"/>
      <c r="B275" s="19"/>
    </row>
    <row r="276" spans="1:2" ht="15" customHeight="1" x14ac:dyDescent="0.35">
      <c r="A276" s="19"/>
      <c r="B276" s="19"/>
    </row>
    <row r="277" spans="1:2" ht="15" customHeight="1" x14ac:dyDescent="0.35">
      <c r="A277" s="19"/>
      <c r="B277" s="19"/>
    </row>
    <row r="278" spans="1:2" ht="15" customHeight="1" x14ac:dyDescent="0.35">
      <c r="A278" s="19"/>
      <c r="B278" s="19"/>
    </row>
    <row r="279" spans="1:2" ht="15" customHeight="1" x14ac:dyDescent="0.35">
      <c r="A279" s="19"/>
      <c r="B279" s="19"/>
    </row>
    <row r="280" spans="1:2" ht="15" customHeight="1" x14ac:dyDescent="0.35">
      <c r="A280" s="19"/>
      <c r="B280" s="19"/>
    </row>
    <row r="281" spans="1:2" ht="15" customHeight="1" x14ac:dyDescent="0.35">
      <c r="A281" s="19"/>
      <c r="B281" s="19"/>
    </row>
    <row r="282" spans="1:2" ht="15" customHeight="1" x14ac:dyDescent="0.35">
      <c r="A282" s="19"/>
      <c r="B282" s="19"/>
    </row>
    <row r="283" spans="1:2" ht="15" customHeight="1" x14ac:dyDescent="0.35">
      <c r="A283" s="19"/>
      <c r="B283" s="19"/>
    </row>
    <row r="284" spans="1:2" ht="15" customHeight="1" x14ac:dyDescent="0.35">
      <c r="A284" s="19"/>
      <c r="B284" s="19"/>
    </row>
    <row r="285" spans="1:2" ht="15" customHeight="1" x14ac:dyDescent="0.35">
      <c r="A285" s="19"/>
      <c r="B285" s="19"/>
    </row>
    <row r="286" spans="1:2" ht="15" customHeight="1" x14ac:dyDescent="0.35">
      <c r="A286" s="19"/>
      <c r="B286" s="19"/>
    </row>
    <row r="287" spans="1:2" ht="15" customHeight="1" x14ac:dyDescent="0.35">
      <c r="A287" s="19"/>
      <c r="B287" s="19"/>
    </row>
    <row r="288" spans="1:2" ht="15" customHeight="1" x14ac:dyDescent="0.35">
      <c r="A288" s="19"/>
      <c r="B288" s="19"/>
    </row>
    <row r="289" spans="1:2" ht="15" customHeight="1" x14ac:dyDescent="0.35">
      <c r="A289" s="19"/>
      <c r="B289" s="19"/>
    </row>
    <row r="290" spans="1:2" ht="15" customHeight="1" x14ac:dyDescent="0.35">
      <c r="A290" s="19"/>
      <c r="B290" s="19"/>
    </row>
    <row r="291" spans="1:2" ht="15" customHeight="1" x14ac:dyDescent="0.35">
      <c r="A291" s="19"/>
      <c r="B291" s="19"/>
    </row>
    <row r="292" spans="1:2" ht="15" customHeight="1" x14ac:dyDescent="0.35">
      <c r="A292" s="19"/>
      <c r="B292" s="19"/>
    </row>
    <row r="293" spans="1:2" ht="15" customHeight="1" x14ac:dyDescent="0.35">
      <c r="A293" s="19"/>
      <c r="B293" s="19"/>
    </row>
    <row r="294" spans="1:2" ht="15" customHeight="1" x14ac:dyDescent="0.35">
      <c r="A294" s="19"/>
      <c r="B294" s="19"/>
    </row>
    <row r="295" spans="1:2" ht="15" customHeight="1" x14ac:dyDescent="0.35">
      <c r="A295" s="19"/>
      <c r="B295" s="19"/>
    </row>
    <row r="296" spans="1:2" ht="15" customHeight="1" x14ac:dyDescent="0.35">
      <c r="A296" s="19"/>
      <c r="B296" s="19"/>
    </row>
    <row r="297" spans="1:2" ht="15" customHeight="1" x14ac:dyDescent="0.35">
      <c r="A297" s="19"/>
      <c r="B297" s="19"/>
    </row>
    <row r="298" spans="1:2" ht="15" customHeight="1" x14ac:dyDescent="0.35">
      <c r="A298" s="19"/>
      <c r="B298" s="19"/>
    </row>
    <row r="299" spans="1:2" ht="15" customHeight="1" x14ac:dyDescent="0.35">
      <c r="A299" s="19"/>
      <c r="B299" s="19"/>
    </row>
    <row r="300" spans="1:2" ht="15" customHeight="1" x14ac:dyDescent="0.35">
      <c r="A300" s="19"/>
      <c r="B300" s="19"/>
    </row>
    <row r="301" spans="1:2" ht="15" customHeight="1" x14ac:dyDescent="0.35">
      <c r="A301" s="19"/>
      <c r="B301" s="19"/>
    </row>
    <row r="302" spans="1:2" ht="15" customHeight="1" x14ac:dyDescent="0.35">
      <c r="A302" s="19"/>
      <c r="B302" s="19"/>
    </row>
    <row r="303" spans="1:2" ht="15" customHeight="1" x14ac:dyDescent="0.35">
      <c r="A303" s="19"/>
      <c r="B303" s="19"/>
    </row>
    <row r="304" spans="1:2" ht="15" customHeight="1" x14ac:dyDescent="0.35">
      <c r="A304" s="19"/>
      <c r="B304" s="19"/>
    </row>
    <row r="305" spans="1:2" ht="15" customHeight="1" x14ac:dyDescent="0.35">
      <c r="A305" s="19"/>
      <c r="B305" s="19"/>
    </row>
    <row r="306" spans="1:2" ht="15" customHeight="1" x14ac:dyDescent="0.35">
      <c r="A306" s="19"/>
      <c r="B306" s="19"/>
    </row>
    <row r="307" spans="1:2" ht="15" customHeight="1" x14ac:dyDescent="0.35">
      <c r="A307" s="19"/>
      <c r="B307" s="19"/>
    </row>
    <row r="308" spans="1:2" ht="15" customHeight="1" x14ac:dyDescent="0.35">
      <c r="A308" s="19"/>
      <c r="B308" s="19"/>
    </row>
    <row r="309" spans="1:2" ht="15" customHeight="1" x14ac:dyDescent="0.35">
      <c r="A309" s="19"/>
      <c r="B309" s="19"/>
    </row>
    <row r="310" spans="1:2" ht="15" customHeight="1" x14ac:dyDescent="0.35">
      <c r="A310" s="19"/>
      <c r="B310" s="19"/>
    </row>
    <row r="311" spans="1:2" ht="15" customHeight="1" x14ac:dyDescent="0.35">
      <c r="A311" s="19"/>
      <c r="B311" s="19"/>
    </row>
    <row r="312" spans="1:2" ht="15" customHeight="1" x14ac:dyDescent="0.35">
      <c r="A312" s="19"/>
      <c r="B312" s="19"/>
    </row>
    <row r="313" spans="1:2" ht="15" customHeight="1" x14ac:dyDescent="0.35">
      <c r="A313" s="19"/>
      <c r="B313" s="19"/>
    </row>
    <row r="314" spans="1:2" ht="15" customHeight="1" x14ac:dyDescent="0.35">
      <c r="A314" s="19"/>
      <c r="B314" s="19"/>
    </row>
    <row r="315" spans="1:2" ht="15" customHeight="1" x14ac:dyDescent="0.35">
      <c r="A315" s="19"/>
      <c r="B315" s="19"/>
    </row>
    <row r="316" spans="1:2" ht="15" customHeight="1" x14ac:dyDescent="0.35">
      <c r="A316" s="19"/>
      <c r="B316" s="19"/>
    </row>
    <row r="317" spans="1:2" ht="15" customHeight="1" x14ac:dyDescent="0.35">
      <c r="A317" s="19"/>
      <c r="B317" s="19"/>
    </row>
    <row r="318" spans="1:2" ht="15" customHeight="1" x14ac:dyDescent="0.35">
      <c r="A318" s="19"/>
      <c r="B318" s="19"/>
    </row>
    <row r="319" spans="1:2" ht="15" customHeight="1" x14ac:dyDescent="0.35">
      <c r="A319" s="19"/>
      <c r="B319" s="19"/>
    </row>
    <row r="320" spans="1:2" ht="15" customHeight="1" x14ac:dyDescent="0.35">
      <c r="A320" s="19"/>
      <c r="B320" s="19"/>
    </row>
    <row r="321" spans="1:2" ht="15" customHeight="1" x14ac:dyDescent="0.35">
      <c r="A321" s="19"/>
      <c r="B321" s="19"/>
    </row>
    <row r="322" spans="1:2" ht="15" customHeight="1" x14ac:dyDescent="0.35">
      <c r="A322" s="19"/>
      <c r="B322" s="19"/>
    </row>
    <row r="323" spans="1:2" ht="15" customHeight="1" x14ac:dyDescent="0.35">
      <c r="A323" s="19"/>
      <c r="B323" s="19"/>
    </row>
    <row r="324" spans="1:2" ht="15" customHeight="1" x14ac:dyDescent="0.35">
      <c r="A324" s="19"/>
      <c r="B324" s="19"/>
    </row>
    <row r="325" spans="1:2" ht="15" customHeight="1" x14ac:dyDescent="0.35">
      <c r="A325" s="19"/>
      <c r="B325" s="19"/>
    </row>
    <row r="326" spans="1:2" ht="15" customHeight="1" x14ac:dyDescent="0.35">
      <c r="A326" s="19"/>
      <c r="B326" s="19"/>
    </row>
    <row r="327" spans="1:2" ht="15" customHeight="1" x14ac:dyDescent="0.35">
      <c r="A327" s="19"/>
      <c r="B327" s="19"/>
    </row>
    <row r="328" spans="1:2" ht="15" customHeight="1" x14ac:dyDescent="0.35">
      <c r="A328" s="19"/>
      <c r="B328" s="19"/>
    </row>
    <row r="329" spans="1:2" ht="15" customHeight="1" x14ac:dyDescent="0.35">
      <c r="A329" s="19"/>
      <c r="B329" s="19"/>
    </row>
    <row r="330" spans="1:2" ht="15" customHeight="1" x14ac:dyDescent="0.35">
      <c r="A330" s="19"/>
      <c r="B330" s="19"/>
    </row>
    <row r="331" spans="1:2" ht="15" customHeight="1" x14ac:dyDescent="0.35">
      <c r="A331" s="19"/>
      <c r="B331" s="19"/>
    </row>
    <row r="332" spans="1:2" ht="15" customHeight="1" x14ac:dyDescent="0.35">
      <c r="A332" s="19"/>
      <c r="B332" s="19"/>
    </row>
    <row r="333" spans="1:2" ht="15" customHeight="1" x14ac:dyDescent="0.35">
      <c r="A333" s="19"/>
      <c r="B333" s="19"/>
    </row>
    <row r="334" spans="1:2" ht="15" customHeight="1" x14ac:dyDescent="0.35">
      <c r="A334" s="19"/>
      <c r="B334" s="19"/>
    </row>
    <row r="335" spans="1:2" ht="15" customHeight="1" x14ac:dyDescent="0.35">
      <c r="A335" s="19"/>
      <c r="B335" s="19"/>
    </row>
    <row r="336" spans="1:2" ht="15" customHeight="1" x14ac:dyDescent="0.35">
      <c r="A336" s="19"/>
      <c r="B336" s="19"/>
    </row>
    <row r="337" spans="1:2" ht="15" customHeight="1" x14ac:dyDescent="0.35">
      <c r="A337" s="19"/>
      <c r="B337" s="19"/>
    </row>
    <row r="338" spans="1:2" ht="15" customHeight="1" x14ac:dyDescent="0.35">
      <c r="A338" s="19"/>
      <c r="B338" s="19"/>
    </row>
    <row r="339" spans="1:2" ht="15" customHeight="1" x14ac:dyDescent="0.35">
      <c r="A339" s="19"/>
      <c r="B339" s="19"/>
    </row>
    <row r="340" spans="1:2" ht="15" customHeight="1" x14ac:dyDescent="0.35">
      <c r="A340" s="19"/>
      <c r="B340" s="19"/>
    </row>
    <row r="341" spans="1:2" ht="15" customHeight="1" x14ac:dyDescent="0.35">
      <c r="A341" s="19"/>
      <c r="B341" s="19"/>
    </row>
    <row r="342" spans="1:2" ht="15" customHeight="1" x14ac:dyDescent="0.35">
      <c r="A342" s="19"/>
      <c r="B342" s="19"/>
    </row>
    <row r="343" spans="1:2" ht="15" customHeight="1" x14ac:dyDescent="0.35">
      <c r="A343" s="19"/>
      <c r="B343" s="19"/>
    </row>
    <row r="344" spans="1:2" ht="15" customHeight="1" x14ac:dyDescent="0.35">
      <c r="A344" s="19"/>
      <c r="B344" s="19"/>
    </row>
    <row r="345" spans="1:2" ht="15" customHeight="1" x14ac:dyDescent="0.35">
      <c r="A345" s="19"/>
      <c r="B345" s="19"/>
    </row>
    <row r="346" spans="1:2" ht="15" customHeight="1" x14ac:dyDescent="0.35">
      <c r="A346" s="19"/>
      <c r="B346" s="19"/>
    </row>
    <row r="347" spans="1:2" ht="15" customHeight="1" x14ac:dyDescent="0.35">
      <c r="A347" s="19"/>
      <c r="B347" s="19"/>
    </row>
    <row r="348" spans="1:2" ht="15" customHeight="1" x14ac:dyDescent="0.35">
      <c r="A348" s="19"/>
      <c r="B348" s="19"/>
    </row>
    <row r="349" spans="1:2" ht="15" customHeight="1" x14ac:dyDescent="0.35">
      <c r="A349" s="19"/>
      <c r="B349" s="19"/>
    </row>
    <row r="350" spans="1:2" ht="15" customHeight="1" x14ac:dyDescent="0.35">
      <c r="A350" s="19"/>
      <c r="B350" s="19"/>
    </row>
    <row r="351" spans="1:2" ht="15" customHeight="1" x14ac:dyDescent="0.35">
      <c r="A351" s="19"/>
      <c r="B351" s="19"/>
    </row>
    <row r="352" spans="1:2" ht="15" customHeight="1" x14ac:dyDescent="0.35">
      <c r="A352" s="19"/>
      <c r="B352" s="19"/>
    </row>
    <row r="353" spans="1:2" ht="15" customHeight="1" x14ac:dyDescent="0.35">
      <c r="A353" s="19"/>
      <c r="B353" s="19"/>
    </row>
    <row r="354" spans="1:2" ht="15" customHeight="1" x14ac:dyDescent="0.35">
      <c r="A354" s="47"/>
      <c r="B354" s="47"/>
    </row>
    <row r="355" spans="1:2" ht="15" customHeight="1" x14ac:dyDescent="0.35">
      <c r="A355" s="19"/>
      <c r="B355" s="19"/>
    </row>
    <row r="356" spans="1:2" ht="15" customHeight="1" x14ac:dyDescent="0.35">
      <c r="A356" s="19"/>
      <c r="B356" s="19"/>
    </row>
    <row r="357" spans="1:2" ht="15" customHeight="1" x14ac:dyDescent="0.35">
      <c r="A357" s="19"/>
      <c r="B357" s="19"/>
    </row>
    <row r="358" spans="1:2" ht="15" customHeight="1" x14ac:dyDescent="0.35">
      <c r="A358" s="19"/>
      <c r="B358" s="19"/>
    </row>
    <row r="359" spans="1:2" ht="15" customHeight="1" x14ac:dyDescent="0.35">
      <c r="A359" s="19"/>
      <c r="B359" s="19"/>
    </row>
    <row r="360" spans="1:2" ht="15" customHeight="1" x14ac:dyDescent="0.35">
      <c r="A360" s="19"/>
      <c r="B360" s="19"/>
    </row>
    <row r="361" spans="1:2" ht="15" customHeight="1" x14ac:dyDescent="0.35">
      <c r="A361" s="19"/>
      <c r="B361" s="19"/>
    </row>
    <row r="362" spans="1:2" ht="15" customHeight="1" x14ac:dyDescent="0.35">
      <c r="A362" s="19"/>
      <c r="B362" s="19"/>
    </row>
    <row r="363" spans="1:2" ht="15" customHeight="1" x14ac:dyDescent="0.35">
      <c r="A363" s="19"/>
      <c r="B363" s="19"/>
    </row>
    <row r="364" spans="1:2" ht="15" customHeight="1" x14ac:dyDescent="0.35">
      <c r="A364" s="19"/>
      <c r="B364" s="19"/>
    </row>
    <row r="365" spans="1:2" ht="15" customHeight="1" x14ac:dyDescent="0.35">
      <c r="A365" s="19"/>
      <c r="B365" s="19"/>
    </row>
    <row r="366" spans="1:2" ht="15" customHeight="1" x14ac:dyDescent="0.35">
      <c r="A366" s="19"/>
      <c r="B366" s="19"/>
    </row>
    <row r="367" spans="1:2" ht="15" customHeight="1" x14ac:dyDescent="0.35">
      <c r="A367" s="19"/>
      <c r="B367" s="19"/>
    </row>
    <row r="368" spans="1:2" ht="15" customHeight="1" x14ac:dyDescent="0.35">
      <c r="A368" s="19"/>
      <c r="B368" s="19"/>
    </row>
    <row r="369" spans="1:2" ht="15" customHeight="1" x14ac:dyDescent="0.35">
      <c r="A369" s="19"/>
      <c r="B369" s="19"/>
    </row>
    <row r="370" spans="1:2" ht="15" customHeight="1" x14ac:dyDescent="0.35">
      <c r="A370" s="19"/>
      <c r="B370" s="19"/>
    </row>
    <row r="371" spans="1:2" ht="15" customHeight="1" x14ac:dyDescent="0.35">
      <c r="A371" s="19"/>
      <c r="B371" s="19"/>
    </row>
    <row r="372" spans="1:2" ht="15" customHeight="1" x14ac:dyDescent="0.35">
      <c r="A372" s="19"/>
      <c r="B372" s="19"/>
    </row>
    <row r="373" spans="1:2" ht="15" customHeight="1" x14ac:dyDescent="0.35">
      <c r="A373" s="19"/>
      <c r="B373" s="19"/>
    </row>
    <row r="374" spans="1:2" ht="15" customHeight="1" x14ac:dyDescent="0.35">
      <c r="A374" s="19"/>
      <c r="B374" s="19"/>
    </row>
    <row r="375" spans="1:2" ht="15" customHeight="1" x14ac:dyDescent="0.35">
      <c r="A375" s="19"/>
      <c r="B375" s="19"/>
    </row>
    <row r="376" spans="1:2" ht="15" customHeight="1" x14ac:dyDescent="0.35">
      <c r="A376" s="19"/>
      <c r="B376" s="19"/>
    </row>
    <row r="377" spans="1:2" ht="15" customHeight="1" x14ac:dyDescent="0.35">
      <c r="A377" s="19"/>
      <c r="B377" s="19"/>
    </row>
    <row r="378" spans="1:2" ht="15" customHeight="1" x14ac:dyDescent="0.35">
      <c r="A378" s="19"/>
      <c r="B378" s="19"/>
    </row>
    <row r="379" spans="1:2" ht="15" customHeight="1" x14ac:dyDescent="0.35">
      <c r="A379" s="19"/>
      <c r="B379" s="19"/>
    </row>
    <row r="380" spans="1:2" ht="15" customHeight="1" x14ac:dyDescent="0.35">
      <c r="A380" s="19"/>
      <c r="B380" s="19"/>
    </row>
    <row r="381" spans="1:2" ht="15" customHeight="1" x14ac:dyDescent="0.35">
      <c r="A381" s="19"/>
      <c r="B381" s="19"/>
    </row>
    <row r="382" spans="1:2" ht="15" customHeight="1" x14ac:dyDescent="0.35">
      <c r="A382" s="19"/>
      <c r="B382" s="19"/>
    </row>
    <row r="383" spans="1:2" ht="15" customHeight="1" x14ac:dyDescent="0.35">
      <c r="A383" s="19"/>
      <c r="B383" s="19"/>
    </row>
    <row r="384" spans="1:2" ht="15" customHeight="1" x14ac:dyDescent="0.35">
      <c r="A384" s="19"/>
      <c r="B384" s="19"/>
    </row>
    <row r="385" spans="1:2" ht="15" customHeight="1" x14ac:dyDescent="0.35">
      <c r="A385" s="19"/>
      <c r="B385" s="19"/>
    </row>
    <row r="386" spans="1:2" ht="15" customHeight="1" x14ac:dyDescent="0.35">
      <c r="A386" s="19"/>
      <c r="B386" s="19"/>
    </row>
    <row r="387" spans="1:2" ht="15" customHeight="1" x14ac:dyDescent="0.35">
      <c r="A387" s="19"/>
      <c r="B387" s="19"/>
    </row>
    <row r="388" spans="1:2" ht="15" customHeight="1" x14ac:dyDescent="0.35">
      <c r="A388" s="19"/>
      <c r="B388" s="19"/>
    </row>
    <row r="389" spans="1:2" ht="15" customHeight="1" x14ac:dyDescent="0.35">
      <c r="A389" s="19"/>
      <c r="B389" s="19"/>
    </row>
    <row r="390" spans="1:2" ht="15" customHeight="1" x14ac:dyDescent="0.35">
      <c r="A390" s="19"/>
      <c r="B390" s="19"/>
    </row>
    <row r="391" spans="1:2" ht="15" customHeight="1" x14ac:dyDescent="0.35">
      <c r="A391" s="19"/>
      <c r="B391" s="19"/>
    </row>
    <row r="392" spans="1:2" ht="15" customHeight="1" x14ac:dyDescent="0.35">
      <c r="A392" s="19"/>
      <c r="B392" s="19"/>
    </row>
    <row r="393" spans="1:2" ht="15" customHeight="1" x14ac:dyDescent="0.35">
      <c r="A393" s="19"/>
      <c r="B393" s="19"/>
    </row>
    <row r="394" spans="1:2" ht="15" customHeight="1" x14ac:dyDescent="0.35">
      <c r="A394" s="19"/>
      <c r="B394" s="19"/>
    </row>
    <row r="395" spans="1:2" ht="15" customHeight="1" x14ac:dyDescent="0.35">
      <c r="A395" s="19"/>
      <c r="B395" s="19"/>
    </row>
    <row r="396" spans="1:2" ht="15" customHeight="1" x14ac:dyDescent="0.35">
      <c r="A396" s="19"/>
      <c r="B396" s="19"/>
    </row>
    <row r="397" spans="1:2" ht="15" customHeight="1" x14ac:dyDescent="0.35">
      <c r="A397" s="19"/>
      <c r="B397" s="19"/>
    </row>
    <row r="398" spans="1:2" ht="15" customHeight="1" x14ac:dyDescent="0.35">
      <c r="A398" s="19"/>
      <c r="B398" s="19"/>
    </row>
    <row r="399" spans="1:2" ht="15" customHeight="1" x14ac:dyDescent="0.35">
      <c r="A399" s="19"/>
      <c r="B399" s="19"/>
    </row>
    <row r="400" spans="1:2" ht="15" customHeight="1" x14ac:dyDescent="0.35">
      <c r="A400" s="19"/>
      <c r="B400" s="19"/>
    </row>
    <row r="401" spans="1:2" ht="15" customHeight="1" x14ac:dyDescent="0.35">
      <c r="A401" s="19"/>
      <c r="B401" s="19"/>
    </row>
    <row r="402" spans="1:2" ht="15" customHeight="1" x14ac:dyDescent="0.35">
      <c r="A402" s="19"/>
      <c r="B402" s="19"/>
    </row>
    <row r="403" spans="1:2" ht="15" customHeight="1" x14ac:dyDescent="0.35">
      <c r="A403" s="19"/>
      <c r="B403" s="19"/>
    </row>
    <row r="404" spans="1:2" ht="15" customHeight="1" x14ac:dyDescent="0.35">
      <c r="A404" s="19"/>
      <c r="B404" s="19"/>
    </row>
    <row r="405" spans="1:2" ht="15" customHeight="1" x14ac:dyDescent="0.35">
      <c r="A405" s="19"/>
      <c r="B405" s="19"/>
    </row>
    <row r="406" spans="1:2" ht="15" customHeight="1" x14ac:dyDescent="0.35">
      <c r="A406" s="19"/>
      <c r="B406" s="19"/>
    </row>
    <row r="407" spans="1:2" ht="15" customHeight="1" x14ac:dyDescent="0.35">
      <c r="A407" s="19"/>
      <c r="B407" s="19"/>
    </row>
    <row r="408" spans="1:2" ht="15" customHeight="1" x14ac:dyDescent="0.35">
      <c r="A408" s="19"/>
      <c r="B408" s="19"/>
    </row>
    <row r="409" spans="1:2" ht="15" customHeight="1" x14ac:dyDescent="0.35">
      <c r="A409" s="19"/>
      <c r="B409" s="19"/>
    </row>
    <row r="410" spans="1:2" ht="15" customHeight="1" x14ac:dyDescent="0.35">
      <c r="A410" s="19"/>
      <c r="B410" s="19"/>
    </row>
    <row r="411" spans="1:2" ht="15" customHeight="1" x14ac:dyDescent="0.35">
      <c r="A411" s="19"/>
      <c r="B411" s="19"/>
    </row>
    <row r="412" spans="1:2" ht="15" customHeight="1" x14ac:dyDescent="0.35">
      <c r="A412" s="19"/>
      <c r="B412" s="19"/>
    </row>
    <row r="413" spans="1:2" ht="15" customHeight="1" x14ac:dyDescent="0.35">
      <c r="A413" s="19"/>
      <c r="B413" s="19"/>
    </row>
    <row r="414" spans="1:2" ht="15" customHeight="1" x14ac:dyDescent="0.35">
      <c r="A414" s="19"/>
      <c r="B414" s="19"/>
    </row>
    <row r="415" spans="1:2" ht="15" customHeight="1" x14ac:dyDescent="0.35">
      <c r="A415" s="19"/>
      <c r="B415" s="19"/>
    </row>
    <row r="416" spans="1:2" ht="15" customHeight="1" x14ac:dyDescent="0.35">
      <c r="A416" s="19"/>
      <c r="B416" s="19"/>
    </row>
    <row r="417" spans="1:2" ht="15" customHeight="1" x14ac:dyDescent="0.35">
      <c r="A417" s="19"/>
      <c r="B417" s="19"/>
    </row>
    <row r="418" spans="1:2" ht="15" customHeight="1" x14ac:dyDescent="0.35">
      <c r="A418" s="19"/>
      <c r="B418" s="19"/>
    </row>
    <row r="419" spans="1:2" ht="15" customHeight="1" x14ac:dyDescent="0.35">
      <c r="A419" s="19"/>
      <c r="B419" s="19"/>
    </row>
    <row r="420" spans="1:2" ht="15" customHeight="1" x14ac:dyDescent="0.35">
      <c r="A420" s="19"/>
      <c r="B420" s="19"/>
    </row>
    <row r="421" spans="1:2" ht="15" customHeight="1" x14ac:dyDescent="0.35">
      <c r="A421" s="19"/>
      <c r="B421" s="19"/>
    </row>
    <row r="422" spans="1:2" ht="15" customHeight="1" x14ac:dyDescent="0.35">
      <c r="A422" s="19"/>
      <c r="B422" s="19"/>
    </row>
    <row r="423" spans="1:2" ht="15" customHeight="1" x14ac:dyDescent="0.35">
      <c r="A423" s="19"/>
      <c r="B423" s="19"/>
    </row>
    <row r="424" spans="1:2" ht="15" customHeight="1" x14ac:dyDescent="0.35">
      <c r="A424" s="52"/>
      <c r="B424" s="52"/>
    </row>
    <row r="425" spans="1:2" ht="15" customHeight="1" x14ac:dyDescent="0.35">
      <c r="A425" s="52"/>
      <c r="B425" s="52"/>
    </row>
    <row r="426" spans="1:2" ht="15" customHeight="1" x14ac:dyDescent="0.35">
      <c r="A426" s="52"/>
      <c r="B426" s="52"/>
    </row>
    <row r="427" spans="1:2" ht="15" customHeight="1" x14ac:dyDescent="0.35">
      <c r="A427" s="52"/>
      <c r="B427" s="52"/>
    </row>
    <row r="428" spans="1:2" ht="15" customHeight="1" x14ac:dyDescent="0.35">
      <c r="A428" s="52"/>
      <c r="B428" s="52"/>
    </row>
    <row r="429" spans="1:2" ht="15" customHeight="1" x14ac:dyDescent="0.35">
      <c r="A429" s="52"/>
      <c r="B429" s="52"/>
    </row>
    <row r="430" spans="1:2" ht="15" customHeight="1" x14ac:dyDescent="0.35">
      <c r="A430" s="52"/>
      <c r="B430" s="52"/>
    </row>
    <row r="431" spans="1:2" ht="15" customHeight="1" x14ac:dyDescent="0.35">
      <c r="A431" s="52"/>
      <c r="B431" s="52"/>
    </row>
    <row r="432" spans="1:2" ht="15" customHeight="1" x14ac:dyDescent="0.35">
      <c r="A432" s="52"/>
      <c r="B432" s="52"/>
    </row>
    <row r="433" spans="1:2" ht="15" customHeight="1" x14ac:dyDescent="0.35">
      <c r="A433" s="52"/>
      <c r="B433" s="52"/>
    </row>
    <row r="434" spans="1:2" ht="15" customHeight="1" x14ac:dyDescent="0.35">
      <c r="A434" s="52"/>
      <c r="B434" s="52"/>
    </row>
    <row r="435" spans="1:2" ht="15" customHeight="1" x14ac:dyDescent="0.35">
      <c r="A435" s="52"/>
      <c r="B435" s="52"/>
    </row>
    <row r="436" spans="1:2" ht="15" customHeight="1" x14ac:dyDescent="0.35">
      <c r="A436" s="52"/>
      <c r="B436" s="52"/>
    </row>
    <row r="437" spans="1:2" ht="15" customHeight="1" x14ac:dyDescent="0.35">
      <c r="A437" s="52"/>
      <c r="B437" s="52"/>
    </row>
    <row r="438" spans="1:2" ht="15" customHeight="1" x14ac:dyDescent="0.35">
      <c r="A438" s="52"/>
      <c r="B438" s="52"/>
    </row>
    <row r="439" spans="1:2" ht="15" customHeight="1" x14ac:dyDescent="0.35">
      <c r="A439" s="52"/>
      <c r="B439" s="52"/>
    </row>
    <row r="440" spans="1:2" ht="15" customHeight="1" x14ac:dyDescent="0.35">
      <c r="A440" s="52"/>
      <c r="B440" s="52"/>
    </row>
    <row r="441" spans="1:2" ht="15" customHeight="1" x14ac:dyDescent="0.35">
      <c r="A441" s="52"/>
      <c r="B441" s="52"/>
    </row>
    <row r="442" spans="1:2" ht="15" customHeight="1" x14ac:dyDescent="0.35">
      <c r="A442" s="52"/>
      <c r="B442" s="52"/>
    </row>
    <row r="443" spans="1:2" ht="15" customHeight="1" x14ac:dyDescent="0.35">
      <c r="A443" s="52"/>
      <c r="B443" s="52"/>
    </row>
    <row r="444" spans="1:2" ht="15" customHeight="1" x14ac:dyDescent="0.35">
      <c r="A444" s="52"/>
      <c r="B444" s="52"/>
    </row>
    <row r="445" spans="1:2" ht="15" customHeight="1" x14ac:dyDescent="0.35">
      <c r="A445" s="52"/>
      <c r="B445" s="52"/>
    </row>
    <row r="446" spans="1:2" ht="15" customHeight="1" x14ac:dyDescent="0.35">
      <c r="A446" s="52"/>
      <c r="B446" s="52"/>
    </row>
    <row r="447" spans="1:2" ht="15" customHeight="1" x14ac:dyDescent="0.35">
      <c r="A447" s="52"/>
      <c r="B447" s="52"/>
    </row>
    <row r="448" spans="1:2" ht="15" customHeight="1" x14ac:dyDescent="0.35">
      <c r="A448" s="52"/>
      <c r="B448" s="52"/>
    </row>
    <row r="449" spans="1:2" ht="15" customHeight="1" x14ac:dyDescent="0.35">
      <c r="A449" s="52"/>
      <c r="B449" s="52"/>
    </row>
    <row r="450" spans="1:2" ht="15" customHeight="1" x14ac:dyDescent="0.35">
      <c r="A450" s="52"/>
      <c r="B450" s="52"/>
    </row>
    <row r="451" spans="1:2" ht="15" customHeight="1" x14ac:dyDescent="0.35">
      <c r="A451" s="52"/>
      <c r="B451" s="52"/>
    </row>
    <row r="452" spans="1:2" ht="15" customHeight="1" x14ac:dyDescent="0.35">
      <c r="A452" s="52"/>
      <c r="B452" s="52"/>
    </row>
    <row r="453" spans="1:2" ht="15" customHeight="1" x14ac:dyDescent="0.35">
      <c r="A453" s="52"/>
      <c r="B453" s="52"/>
    </row>
    <row r="454" spans="1:2" ht="15" customHeight="1" x14ac:dyDescent="0.35">
      <c r="A454" s="52"/>
      <c r="B454" s="52"/>
    </row>
    <row r="455" spans="1:2" ht="15" customHeight="1" x14ac:dyDescent="0.35">
      <c r="A455" s="52"/>
      <c r="B455" s="52"/>
    </row>
    <row r="456" spans="1:2" ht="15" customHeight="1" x14ac:dyDescent="0.35">
      <c r="A456" s="52"/>
      <c r="B456" s="52"/>
    </row>
    <row r="457" spans="1:2" ht="15" customHeight="1" x14ac:dyDescent="0.35">
      <c r="A457" s="52"/>
      <c r="B457" s="52"/>
    </row>
    <row r="458" spans="1:2" ht="15" customHeight="1" x14ac:dyDescent="0.35">
      <c r="A458" s="52"/>
      <c r="B458" s="52"/>
    </row>
    <row r="459" spans="1:2" ht="15" customHeight="1" x14ac:dyDescent="0.35">
      <c r="A459" s="52"/>
      <c r="B459" s="52"/>
    </row>
    <row r="460" spans="1:2" ht="15" customHeight="1" x14ac:dyDescent="0.35">
      <c r="A460" s="52"/>
      <c r="B460" s="52"/>
    </row>
    <row r="461" spans="1:2" ht="15" customHeight="1" x14ac:dyDescent="0.35">
      <c r="A461" s="52"/>
      <c r="B461" s="52"/>
    </row>
    <row r="462" spans="1:2" ht="15" customHeight="1" x14ac:dyDescent="0.35">
      <c r="A462" s="52"/>
      <c r="B462" s="52"/>
    </row>
    <row r="463" spans="1:2" ht="15" customHeight="1" x14ac:dyDescent="0.35">
      <c r="A463" s="52"/>
      <c r="B463" s="52"/>
    </row>
    <row r="464" spans="1:2" ht="15" customHeight="1" x14ac:dyDescent="0.35">
      <c r="A464" s="52"/>
      <c r="B464" s="52"/>
    </row>
    <row r="465" spans="1:2" ht="15" customHeight="1" x14ac:dyDescent="0.35">
      <c r="A465" s="52"/>
      <c r="B465" s="52"/>
    </row>
    <row r="466" spans="1:2" ht="15" customHeight="1" x14ac:dyDescent="0.35">
      <c r="A466" s="52"/>
      <c r="B466" s="52"/>
    </row>
    <row r="467" spans="1:2" ht="15" customHeight="1" x14ac:dyDescent="0.35">
      <c r="A467" s="52"/>
      <c r="B467" s="52"/>
    </row>
    <row r="468" spans="1:2" ht="15" customHeight="1" x14ac:dyDescent="0.35">
      <c r="A468" s="52"/>
      <c r="B468" s="52"/>
    </row>
    <row r="469" spans="1:2" ht="15" customHeight="1" x14ac:dyDescent="0.35">
      <c r="A469" s="52"/>
      <c r="B469" s="52"/>
    </row>
    <row r="470" spans="1:2" ht="15" customHeight="1" x14ac:dyDescent="0.35">
      <c r="A470" s="52"/>
      <c r="B470" s="52"/>
    </row>
    <row r="471" spans="1:2" ht="15" customHeight="1" x14ac:dyDescent="0.35">
      <c r="A471" s="52"/>
      <c r="B471" s="52"/>
    </row>
    <row r="472" spans="1:2" ht="15" customHeight="1" x14ac:dyDescent="0.35">
      <c r="A472" s="52"/>
      <c r="B472" s="52"/>
    </row>
    <row r="473" spans="1:2" ht="15" customHeight="1" x14ac:dyDescent="0.35">
      <c r="A473" s="52"/>
      <c r="B473" s="52"/>
    </row>
    <row r="474" spans="1:2" ht="15" customHeight="1" x14ac:dyDescent="0.35">
      <c r="A474" s="52"/>
      <c r="B474" s="52"/>
    </row>
    <row r="475" spans="1:2" ht="15" customHeight="1" x14ac:dyDescent="0.35">
      <c r="A475" s="52"/>
      <c r="B475" s="52"/>
    </row>
    <row r="476" spans="1:2" ht="15" customHeight="1" x14ac:dyDescent="0.35">
      <c r="A476" s="52"/>
      <c r="B476" s="52"/>
    </row>
    <row r="477" spans="1:2" ht="15" customHeight="1" x14ac:dyDescent="0.35">
      <c r="A477" s="52"/>
      <c r="B477" s="52"/>
    </row>
    <row r="478" spans="1:2" ht="15" customHeight="1" x14ac:dyDescent="0.35">
      <c r="A478" s="52"/>
      <c r="B478" s="52"/>
    </row>
    <row r="479" spans="1:2" ht="15" customHeight="1" x14ac:dyDescent="0.35">
      <c r="A479" s="52"/>
      <c r="B479" s="52"/>
    </row>
    <row r="480" spans="1:2" ht="15" customHeight="1" x14ac:dyDescent="0.35">
      <c r="A480" s="52"/>
      <c r="B480" s="52"/>
    </row>
    <row r="481" spans="1:2" ht="15" customHeight="1" x14ac:dyDescent="0.35">
      <c r="A481" s="52"/>
      <c r="B481" s="52"/>
    </row>
    <row r="482" spans="1:2" ht="15" customHeight="1" x14ac:dyDescent="0.35">
      <c r="A482" s="52"/>
      <c r="B482" s="52"/>
    </row>
    <row r="483" spans="1:2" ht="15" customHeight="1" x14ac:dyDescent="0.35">
      <c r="A483" s="52"/>
      <c r="B483" s="52"/>
    </row>
    <row r="484" spans="1:2" ht="15" customHeight="1" x14ac:dyDescent="0.35">
      <c r="A484" s="52"/>
      <c r="B484" s="52"/>
    </row>
    <row r="485" spans="1:2" ht="15" customHeight="1" x14ac:dyDescent="0.35">
      <c r="A485" s="52"/>
      <c r="B485" s="52"/>
    </row>
    <row r="486" spans="1:2" ht="15" customHeight="1" x14ac:dyDescent="0.35">
      <c r="A486" s="52"/>
      <c r="B486" s="52"/>
    </row>
    <row r="487" spans="1:2" ht="15" customHeight="1" x14ac:dyDescent="0.35">
      <c r="A487" s="52"/>
      <c r="B487" s="52"/>
    </row>
    <row r="488" spans="1:2" ht="15" customHeight="1" x14ac:dyDescent="0.35">
      <c r="A488" s="52"/>
      <c r="B488" s="52"/>
    </row>
    <row r="489" spans="1:2" ht="15" customHeight="1" x14ac:dyDescent="0.35">
      <c r="A489" s="52"/>
      <c r="B489" s="52"/>
    </row>
    <row r="490" spans="1:2" ht="15" customHeight="1" x14ac:dyDescent="0.35">
      <c r="A490" s="52"/>
      <c r="B490" s="52"/>
    </row>
    <row r="491" spans="1:2" ht="15" customHeight="1" x14ac:dyDescent="0.35">
      <c r="A491" s="52"/>
      <c r="B491" s="52"/>
    </row>
    <row r="492" spans="1:2" ht="15" customHeight="1" x14ac:dyDescent="0.35">
      <c r="A492" s="52"/>
      <c r="B492" s="52"/>
    </row>
    <row r="493" spans="1:2" ht="15" customHeight="1" x14ac:dyDescent="0.35">
      <c r="A493" s="52"/>
      <c r="B493" s="52"/>
    </row>
    <row r="494" spans="1:2" ht="15" customHeight="1" x14ac:dyDescent="0.35">
      <c r="A494" s="52"/>
      <c r="B494" s="52"/>
    </row>
    <row r="495" spans="1:2" ht="15" customHeight="1" x14ac:dyDescent="0.35">
      <c r="A495" s="52"/>
      <c r="B495" s="52"/>
    </row>
    <row r="496" spans="1:2" ht="15" customHeight="1" x14ac:dyDescent="0.35">
      <c r="A496" s="52"/>
      <c r="B496" s="52"/>
    </row>
    <row r="497" spans="1:2" ht="15" customHeight="1" x14ac:dyDescent="0.35">
      <c r="A497" s="52"/>
      <c r="B497" s="52"/>
    </row>
    <row r="498" spans="1:2" ht="15" customHeight="1" x14ac:dyDescent="0.35">
      <c r="A498" s="52"/>
      <c r="B498" s="52"/>
    </row>
    <row r="499" spans="1:2" ht="15" customHeight="1" x14ac:dyDescent="0.35">
      <c r="A499" s="52"/>
      <c r="B499" s="52"/>
    </row>
    <row r="500" spans="1:2" ht="15" customHeight="1" x14ac:dyDescent="0.35">
      <c r="A500" s="52"/>
      <c r="B500" s="52"/>
    </row>
    <row r="501" spans="1:2" ht="15" customHeight="1" x14ac:dyDescent="0.35">
      <c r="A501" s="52"/>
      <c r="B501" s="52"/>
    </row>
    <row r="502" spans="1:2" ht="15" customHeight="1" x14ac:dyDescent="0.35">
      <c r="A502" s="52"/>
      <c r="B502" s="52"/>
    </row>
    <row r="503" spans="1:2" ht="15" customHeight="1" x14ac:dyDescent="0.35">
      <c r="A503" s="52"/>
      <c r="B503" s="52"/>
    </row>
    <row r="504" spans="1:2" ht="15" customHeight="1" x14ac:dyDescent="0.35">
      <c r="A504" s="52"/>
      <c r="B504" s="52"/>
    </row>
    <row r="505" spans="1:2" ht="15" customHeight="1" x14ac:dyDescent="0.35">
      <c r="A505" s="52"/>
      <c r="B505" s="52"/>
    </row>
    <row r="506" spans="1:2" ht="15" customHeight="1" x14ac:dyDescent="0.35">
      <c r="A506" s="52"/>
      <c r="B506" s="52"/>
    </row>
    <row r="507" spans="1:2" ht="15" customHeight="1" x14ac:dyDescent="0.35">
      <c r="A507" s="52"/>
      <c r="B507" s="52"/>
    </row>
    <row r="508" spans="1:2" ht="15" customHeight="1" x14ac:dyDescent="0.35">
      <c r="A508" s="52"/>
      <c r="B508" s="52"/>
    </row>
    <row r="509" spans="1:2" ht="15" customHeight="1" x14ac:dyDescent="0.35">
      <c r="A509" s="52"/>
      <c r="B509" s="52"/>
    </row>
    <row r="510" spans="1:2" ht="15" customHeight="1" x14ac:dyDescent="0.35">
      <c r="A510" s="52"/>
      <c r="B510" s="52"/>
    </row>
    <row r="511" spans="1:2" ht="15" customHeight="1" x14ac:dyDescent="0.35">
      <c r="A511" s="52"/>
      <c r="B511" s="52"/>
    </row>
    <row r="512" spans="1:2" ht="15" customHeight="1" x14ac:dyDescent="0.35">
      <c r="A512" s="52"/>
      <c r="B512" s="52"/>
    </row>
    <row r="513" spans="1:2" ht="15" customHeight="1" x14ac:dyDescent="0.35">
      <c r="A513" s="52"/>
      <c r="B513" s="52"/>
    </row>
    <row r="514" spans="1:2" ht="15" customHeight="1" x14ac:dyDescent="0.35">
      <c r="A514" s="52"/>
      <c r="B514" s="52"/>
    </row>
    <row r="515" spans="1:2" ht="15" customHeight="1" x14ac:dyDescent="0.35">
      <c r="A515" s="52"/>
      <c r="B515" s="52"/>
    </row>
    <row r="516" spans="1:2" ht="15" customHeight="1" x14ac:dyDescent="0.35">
      <c r="A516" s="52"/>
      <c r="B516" s="52"/>
    </row>
    <row r="517" spans="1:2" ht="15" customHeight="1" x14ac:dyDescent="0.35">
      <c r="A517" s="52"/>
      <c r="B517" s="52"/>
    </row>
    <row r="518" spans="1:2" ht="15" customHeight="1" x14ac:dyDescent="0.35">
      <c r="A518" s="52"/>
      <c r="B518" s="52"/>
    </row>
    <row r="519" spans="1:2" ht="15" customHeight="1" x14ac:dyDescent="0.35">
      <c r="A519" s="52"/>
      <c r="B519" s="52"/>
    </row>
    <row r="520" spans="1:2" ht="15" customHeight="1" x14ac:dyDescent="0.35">
      <c r="A520" s="52"/>
      <c r="B520" s="52"/>
    </row>
    <row r="521" spans="1:2" ht="15" customHeight="1" x14ac:dyDescent="0.35">
      <c r="A521" s="52"/>
      <c r="B521" s="52"/>
    </row>
    <row r="522" spans="1:2" ht="15" customHeight="1" x14ac:dyDescent="0.35">
      <c r="A522" s="52"/>
      <c r="B522" s="52"/>
    </row>
    <row r="523" spans="1:2" ht="15" customHeight="1" x14ac:dyDescent="0.35">
      <c r="A523" s="52"/>
      <c r="B523" s="52"/>
    </row>
    <row r="524" spans="1:2" ht="15" customHeight="1" x14ac:dyDescent="0.35">
      <c r="A524" s="52"/>
      <c r="B524" s="52"/>
    </row>
    <row r="525" spans="1:2" ht="15" customHeight="1" x14ac:dyDescent="0.35">
      <c r="A525" s="52"/>
      <c r="B525" s="52"/>
    </row>
    <row r="526" spans="1:2" ht="15" customHeight="1" x14ac:dyDescent="0.35">
      <c r="A526" s="52"/>
      <c r="B526" s="52"/>
    </row>
    <row r="527" spans="1:2" ht="15" customHeight="1" x14ac:dyDescent="0.35">
      <c r="A527" s="52"/>
      <c r="B527" s="52"/>
    </row>
    <row r="528" spans="1:2" ht="15" customHeight="1" x14ac:dyDescent="0.35">
      <c r="A528" s="52"/>
      <c r="B528" s="52"/>
    </row>
    <row r="529" spans="1:2" ht="15" customHeight="1" x14ac:dyDescent="0.35">
      <c r="A529" s="52"/>
      <c r="B529" s="52"/>
    </row>
    <row r="530" spans="1:2" ht="15" customHeight="1" x14ac:dyDescent="0.35">
      <c r="A530" s="52"/>
      <c r="B530" s="52"/>
    </row>
    <row r="531" spans="1:2" ht="15" customHeight="1" x14ac:dyDescent="0.35">
      <c r="A531" s="52"/>
      <c r="B531" s="52"/>
    </row>
    <row r="532" spans="1:2" ht="15" customHeight="1" x14ac:dyDescent="0.35">
      <c r="A532" s="52"/>
      <c r="B532" s="52"/>
    </row>
    <row r="533" spans="1:2" ht="15" customHeight="1" x14ac:dyDescent="0.35">
      <c r="A533" s="52"/>
      <c r="B533" s="52"/>
    </row>
    <row r="534" spans="1:2" ht="15" customHeight="1" x14ac:dyDescent="0.35">
      <c r="A534" s="52"/>
      <c r="B534" s="52"/>
    </row>
    <row r="535" spans="1:2" ht="15" customHeight="1" x14ac:dyDescent="0.35">
      <c r="A535" s="52"/>
      <c r="B535" s="52"/>
    </row>
    <row r="536" spans="1:2" ht="15" customHeight="1" x14ac:dyDescent="0.35">
      <c r="A536" s="52"/>
      <c r="B536" s="52"/>
    </row>
    <row r="537" spans="1:2" ht="15" customHeight="1" x14ac:dyDescent="0.35">
      <c r="A537" s="52"/>
      <c r="B537" s="52"/>
    </row>
    <row r="538" spans="1:2" ht="15" customHeight="1" x14ac:dyDescent="0.35">
      <c r="A538" s="52"/>
      <c r="B538" s="52"/>
    </row>
    <row r="539" spans="1:2" ht="15" customHeight="1" x14ac:dyDescent="0.35">
      <c r="A539" s="52"/>
      <c r="B539" s="52"/>
    </row>
    <row r="540" spans="1:2" ht="15" customHeight="1" x14ac:dyDescent="0.35">
      <c r="A540" s="52"/>
      <c r="B540" s="52"/>
    </row>
    <row r="541" spans="1:2" ht="15" customHeight="1" x14ac:dyDescent="0.35">
      <c r="A541" s="52"/>
      <c r="B541" s="52"/>
    </row>
    <row r="542" spans="1:2" ht="15" customHeight="1" x14ac:dyDescent="0.35">
      <c r="A542" s="52"/>
      <c r="B542" s="52"/>
    </row>
    <row r="543" spans="1:2" ht="15" customHeight="1" x14ac:dyDescent="0.35">
      <c r="A543" s="52"/>
      <c r="B543" s="52"/>
    </row>
    <row r="544" spans="1:2" ht="15" customHeight="1" x14ac:dyDescent="0.35">
      <c r="A544" s="52"/>
      <c r="B544" s="52"/>
    </row>
    <row r="545" spans="1:2" ht="15" customHeight="1" x14ac:dyDescent="0.35">
      <c r="A545" s="52"/>
      <c r="B545" s="52"/>
    </row>
    <row r="546" spans="1:2" ht="15" customHeight="1" x14ac:dyDescent="0.35">
      <c r="A546" s="52"/>
      <c r="B546" s="52"/>
    </row>
    <row r="547" spans="1:2" ht="15" customHeight="1" x14ac:dyDescent="0.35">
      <c r="A547" s="52"/>
      <c r="B547" s="52"/>
    </row>
    <row r="548" spans="1:2" ht="15" customHeight="1" x14ac:dyDescent="0.35">
      <c r="A548" s="52"/>
      <c r="B548" s="52"/>
    </row>
    <row r="549" spans="1:2" ht="15" customHeight="1" x14ac:dyDescent="0.35">
      <c r="A549" s="52"/>
      <c r="B549" s="52"/>
    </row>
    <row r="550" spans="1:2" ht="15" customHeight="1" x14ac:dyDescent="0.35">
      <c r="A550" s="52"/>
      <c r="B550" s="52"/>
    </row>
    <row r="551" spans="1:2" ht="15" customHeight="1" x14ac:dyDescent="0.35">
      <c r="A551" s="52"/>
      <c r="B551" s="52"/>
    </row>
    <row r="552" spans="1:2" ht="15" customHeight="1" x14ac:dyDescent="0.35">
      <c r="A552" s="52"/>
      <c r="B552" s="52"/>
    </row>
    <row r="553" spans="1:2" ht="15" customHeight="1" x14ac:dyDescent="0.35">
      <c r="A553" s="52"/>
      <c r="B553" s="52"/>
    </row>
    <row r="554" spans="1:2" ht="15" customHeight="1" x14ac:dyDescent="0.35">
      <c r="A554" s="52"/>
      <c r="B554" s="52"/>
    </row>
    <row r="555" spans="1:2" ht="15" customHeight="1" x14ac:dyDescent="0.35">
      <c r="A555" s="52"/>
      <c r="B555" s="52"/>
    </row>
    <row r="556" spans="1:2" ht="15" customHeight="1" x14ac:dyDescent="0.35">
      <c r="A556" s="52"/>
      <c r="B556" s="52"/>
    </row>
    <row r="557" spans="1:2" ht="15" customHeight="1" x14ac:dyDescent="0.35">
      <c r="A557" s="52"/>
      <c r="B557" s="52"/>
    </row>
    <row r="558" spans="1:2" ht="15" customHeight="1" x14ac:dyDescent="0.35">
      <c r="A558" s="52"/>
      <c r="B558" s="52"/>
    </row>
    <row r="559" spans="1:2" ht="15" customHeight="1" x14ac:dyDescent="0.35">
      <c r="A559" s="52"/>
      <c r="B559" s="52"/>
    </row>
    <row r="560" spans="1:2" ht="15" customHeight="1" x14ac:dyDescent="0.35">
      <c r="A560" s="52"/>
      <c r="B560" s="52"/>
    </row>
    <row r="561" spans="1:2" ht="15" customHeight="1" x14ac:dyDescent="0.35">
      <c r="A561" s="52"/>
      <c r="B561" s="52"/>
    </row>
    <row r="562" spans="1:2" ht="15" customHeight="1" x14ac:dyDescent="0.35">
      <c r="A562" s="52"/>
      <c r="B562" s="52"/>
    </row>
    <row r="563" spans="1:2" ht="15" customHeight="1" x14ac:dyDescent="0.35">
      <c r="A563" s="52"/>
      <c r="B563" s="52"/>
    </row>
    <row r="564" spans="1:2" ht="15" customHeight="1" x14ac:dyDescent="0.35">
      <c r="A564" s="52"/>
      <c r="B564" s="52"/>
    </row>
    <row r="565" spans="1:2" ht="15" customHeight="1" x14ac:dyDescent="0.35">
      <c r="A565" s="52"/>
      <c r="B565" s="52"/>
    </row>
    <row r="566" spans="1:2" ht="15" customHeight="1" x14ac:dyDescent="0.35">
      <c r="A566" s="52"/>
      <c r="B566" s="52"/>
    </row>
    <row r="567" spans="1:2" ht="15" customHeight="1" x14ac:dyDescent="0.35">
      <c r="A567" s="52"/>
      <c r="B567" s="52"/>
    </row>
    <row r="568" spans="1:2" ht="15" customHeight="1" x14ac:dyDescent="0.35">
      <c r="A568" s="52"/>
      <c r="B568" s="52"/>
    </row>
    <row r="569" spans="1:2" ht="15" customHeight="1" x14ac:dyDescent="0.35">
      <c r="A569" s="52"/>
      <c r="B569" s="52"/>
    </row>
    <row r="570" spans="1:2" ht="15" customHeight="1" x14ac:dyDescent="0.35">
      <c r="A570" s="52"/>
      <c r="B570" s="52"/>
    </row>
    <row r="571" spans="1:2" ht="15" customHeight="1" x14ac:dyDescent="0.35">
      <c r="A571" s="52"/>
      <c r="B571" s="52"/>
    </row>
    <row r="572" spans="1:2" ht="15" customHeight="1" x14ac:dyDescent="0.35">
      <c r="A572" s="52"/>
      <c r="B572" s="52"/>
    </row>
    <row r="573" spans="1:2" ht="15" customHeight="1" x14ac:dyDescent="0.35">
      <c r="A573" s="52"/>
      <c r="B573" s="52"/>
    </row>
    <row r="574" spans="1:2" ht="15" customHeight="1" x14ac:dyDescent="0.35">
      <c r="A574" s="52"/>
      <c r="B574" s="52"/>
    </row>
    <row r="575" spans="1:2" ht="15" customHeight="1" x14ac:dyDescent="0.35">
      <c r="A575" s="52"/>
      <c r="B575" s="52"/>
    </row>
    <row r="576" spans="1:2" ht="15" customHeight="1" x14ac:dyDescent="0.35">
      <c r="A576" s="52"/>
      <c r="B576" s="52"/>
    </row>
    <row r="577" spans="1:2" ht="15" customHeight="1" x14ac:dyDescent="0.35">
      <c r="A577" s="52"/>
      <c r="B577" s="52"/>
    </row>
    <row r="578" spans="1:2" ht="15" customHeight="1" x14ac:dyDescent="0.35">
      <c r="A578" s="52"/>
      <c r="B578" s="52"/>
    </row>
    <row r="579" spans="1:2" ht="15" customHeight="1" x14ac:dyDescent="0.35">
      <c r="A579" s="52"/>
      <c r="B579" s="52"/>
    </row>
    <row r="580" spans="1:2" ht="15" customHeight="1" x14ac:dyDescent="0.35">
      <c r="A580" s="52"/>
      <c r="B580" s="52"/>
    </row>
    <row r="581" spans="1:2" ht="15" customHeight="1" x14ac:dyDescent="0.35">
      <c r="A581" s="52"/>
      <c r="B581" s="52"/>
    </row>
    <row r="582" spans="1:2" ht="15" customHeight="1" x14ac:dyDescent="0.35">
      <c r="A582" s="52"/>
      <c r="B582" s="52"/>
    </row>
    <row r="583" spans="1:2" ht="15" customHeight="1" x14ac:dyDescent="0.35">
      <c r="A583" s="52"/>
      <c r="B583" s="52"/>
    </row>
    <row r="584" spans="1:2" ht="15" customHeight="1" x14ac:dyDescent="0.35">
      <c r="A584" s="52"/>
      <c r="B584" s="52"/>
    </row>
    <row r="585" spans="1:2" ht="15" customHeight="1" x14ac:dyDescent="0.35">
      <c r="A585" s="52"/>
      <c r="B585" s="52"/>
    </row>
    <row r="586" spans="1:2" ht="15" customHeight="1" x14ac:dyDescent="0.35">
      <c r="A586" s="52"/>
      <c r="B586" s="52"/>
    </row>
    <row r="587" spans="1:2" ht="15" customHeight="1" x14ac:dyDescent="0.35">
      <c r="A587" s="52"/>
      <c r="B587" s="52"/>
    </row>
    <row r="588" spans="1:2" ht="15" customHeight="1" x14ac:dyDescent="0.35">
      <c r="A588" s="52"/>
      <c r="B588" s="52"/>
    </row>
    <row r="589" spans="1:2" ht="15" customHeight="1" x14ac:dyDescent="0.35">
      <c r="A589" s="52"/>
      <c r="B589" s="52"/>
    </row>
    <row r="590" spans="1:2" ht="15" customHeight="1" x14ac:dyDescent="0.35">
      <c r="A590" s="52"/>
      <c r="B590" s="52"/>
    </row>
    <row r="591" spans="1:2" ht="15" customHeight="1" x14ac:dyDescent="0.35">
      <c r="A591" s="52"/>
      <c r="B591" s="52"/>
    </row>
    <row r="592" spans="1:2" ht="15" customHeight="1" x14ac:dyDescent="0.35">
      <c r="A592" s="52"/>
      <c r="B592" s="52"/>
    </row>
    <row r="593" spans="1:2" ht="15" customHeight="1" x14ac:dyDescent="0.35">
      <c r="A593" s="52"/>
      <c r="B593" s="52"/>
    </row>
    <row r="594" spans="1:2" ht="15" customHeight="1" x14ac:dyDescent="0.35">
      <c r="A594" s="52"/>
      <c r="B594" s="52"/>
    </row>
    <row r="595" spans="1:2" ht="15" customHeight="1" x14ac:dyDescent="0.35">
      <c r="A595" s="52"/>
      <c r="B595" s="52"/>
    </row>
    <row r="596" spans="1:2" ht="15" customHeight="1" x14ac:dyDescent="0.35">
      <c r="A596" s="52"/>
      <c r="B596" s="52"/>
    </row>
    <row r="597" spans="1:2" ht="15" customHeight="1" x14ac:dyDescent="0.35">
      <c r="A597" s="52"/>
      <c r="B597" s="52"/>
    </row>
    <row r="598" spans="1:2" ht="15" customHeight="1" x14ac:dyDescent="0.35">
      <c r="A598" s="52"/>
      <c r="B598" s="52"/>
    </row>
    <row r="599" spans="1:2" ht="14.5" x14ac:dyDescent="0.35">
      <c r="B599" s="54"/>
    </row>
    <row r="600" spans="1:2" ht="14.5" x14ac:dyDescent="0.35">
      <c r="B600" s="54"/>
    </row>
    <row r="601" spans="1:2" ht="14.5" x14ac:dyDescent="0.35">
      <c r="B601" s="54"/>
    </row>
    <row r="602" spans="1:2" ht="14.5" x14ac:dyDescent="0.35">
      <c r="B602" s="54"/>
    </row>
    <row r="603" spans="1:2" ht="14.5" x14ac:dyDescent="0.35">
      <c r="B603" s="54"/>
    </row>
    <row r="604" spans="1:2" ht="14.5" x14ac:dyDescent="0.35">
      <c r="B604" s="54"/>
    </row>
    <row r="605" spans="1:2" ht="14.5" x14ac:dyDescent="0.35">
      <c r="B605" s="54"/>
    </row>
    <row r="606" spans="1:2" ht="14.5" x14ac:dyDescent="0.35">
      <c r="B606" s="54"/>
    </row>
    <row r="607" spans="1:2" ht="14.5" x14ac:dyDescent="0.35">
      <c r="B607" s="54"/>
    </row>
    <row r="608" spans="1:2" ht="14.5" x14ac:dyDescent="0.35">
      <c r="B608" s="54"/>
    </row>
    <row r="609" spans="2:2" ht="14.5" x14ac:dyDescent="0.35">
      <c r="B609" s="54"/>
    </row>
    <row r="610" spans="2:2" ht="14.5" x14ac:dyDescent="0.35">
      <c r="B610" s="54"/>
    </row>
    <row r="611" spans="2:2" ht="14.5" x14ac:dyDescent="0.35">
      <c r="B611" s="54"/>
    </row>
    <row r="612" spans="2:2" ht="14.5" x14ac:dyDescent="0.35">
      <c r="B612" s="54"/>
    </row>
    <row r="613" spans="2:2" ht="14.5" x14ac:dyDescent="0.35">
      <c r="B613" s="54"/>
    </row>
    <row r="614" spans="2:2" ht="14.5" x14ac:dyDescent="0.35">
      <c r="B614" s="54"/>
    </row>
    <row r="615" spans="2:2" ht="14.5" x14ac:dyDescent="0.35">
      <c r="B615" s="54"/>
    </row>
    <row r="616" spans="2:2" ht="14.5" x14ac:dyDescent="0.35">
      <c r="B616" s="54"/>
    </row>
    <row r="617" spans="2:2" ht="14.5" x14ac:dyDescent="0.35">
      <c r="B617" s="54"/>
    </row>
    <row r="618" spans="2:2" ht="14.5" x14ac:dyDescent="0.35">
      <c r="B618" s="54"/>
    </row>
    <row r="619" spans="2:2" ht="14.5" x14ac:dyDescent="0.35">
      <c r="B619" s="54"/>
    </row>
    <row r="620" spans="2:2" ht="14.5" x14ac:dyDescent="0.35">
      <c r="B620" s="54"/>
    </row>
    <row r="621" spans="2:2" ht="14.5" x14ac:dyDescent="0.35">
      <c r="B621" s="54"/>
    </row>
    <row r="622" spans="2:2" ht="14.5" x14ac:dyDescent="0.35">
      <c r="B622" s="54"/>
    </row>
    <row r="623" spans="2:2" ht="14.5" x14ac:dyDescent="0.35">
      <c r="B623" s="54"/>
    </row>
    <row r="624" spans="2:2" ht="14.5" x14ac:dyDescent="0.35">
      <c r="B624" s="54"/>
    </row>
    <row r="625" spans="2:2" ht="14.5" x14ac:dyDescent="0.35">
      <c r="B625" s="54"/>
    </row>
    <row r="626" spans="2:2" ht="14.5" x14ac:dyDescent="0.35">
      <c r="B626" s="54"/>
    </row>
    <row r="627" spans="2:2" ht="14.5" x14ac:dyDescent="0.35">
      <c r="B627" s="54"/>
    </row>
    <row r="628" spans="2:2" ht="14.5" x14ac:dyDescent="0.35">
      <c r="B628" s="54"/>
    </row>
    <row r="629" spans="2:2" ht="14.5" x14ac:dyDescent="0.35">
      <c r="B629" s="54"/>
    </row>
    <row r="630" spans="2:2" ht="14.5" x14ac:dyDescent="0.35">
      <c r="B630" s="54"/>
    </row>
    <row r="631" spans="2:2" ht="14.5" x14ac:dyDescent="0.35">
      <c r="B631" s="54"/>
    </row>
    <row r="632" spans="2:2" ht="14.5" x14ac:dyDescent="0.35">
      <c r="B632" s="54"/>
    </row>
    <row r="633" spans="2:2" ht="14.5" x14ac:dyDescent="0.35">
      <c r="B633" s="54"/>
    </row>
    <row r="634" spans="2:2" ht="14.5" x14ac:dyDescent="0.35">
      <c r="B634" s="54"/>
    </row>
    <row r="635" spans="2:2" ht="14.5" x14ac:dyDescent="0.35">
      <c r="B635" s="54"/>
    </row>
    <row r="636" spans="2:2" ht="14.5" x14ac:dyDescent="0.35">
      <c r="B636" s="54"/>
    </row>
    <row r="637" spans="2:2" ht="14.5" x14ac:dyDescent="0.35">
      <c r="B637" s="54"/>
    </row>
    <row r="638" spans="2:2" ht="14.5" x14ac:dyDescent="0.35">
      <c r="B638" s="54"/>
    </row>
    <row r="639" spans="2:2" ht="14.5" x14ac:dyDescent="0.35">
      <c r="B639" s="54"/>
    </row>
    <row r="640" spans="2:2" ht="14.5" x14ac:dyDescent="0.35">
      <c r="B640" s="54"/>
    </row>
    <row r="641" spans="2:2" ht="14.5" x14ac:dyDescent="0.35">
      <c r="B641" s="54"/>
    </row>
    <row r="642" spans="2:2" ht="14.5" x14ac:dyDescent="0.35">
      <c r="B642" s="54"/>
    </row>
    <row r="643" spans="2:2" ht="14.5" x14ac:dyDescent="0.35">
      <c r="B643" s="54"/>
    </row>
    <row r="644" spans="2:2" ht="14.5" x14ac:dyDescent="0.35">
      <c r="B644" s="54"/>
    </row>
    <row r="645" spans="2:2" ht="14.5" x14ac:dyDescent="0.35">
      <c r="B645" s="54"/>
    </row>
    <row r="646" spans="2:2" ht="14.5" x14ac:dyDescent="0.35">
      <c r="B646" s="54"/>
    </row>
    <row r="647" spans="2:2" ht="14.5" x14ac:dyDescent="0.35">
      <c r="B647" s="54"/>
    </row>
    <row r="648" spans="2:2" ht="14.5" x14ac:dyDescent="0.35">
      <c r="B648" s="54"/>
    </row>
    <row r="649" spans="2:2" ht="14.5" x14ac:dyDescent="0.35">
      <c r="B649" s="54"/>
    </row>
    <row r="650" spans="2:2" ht="14.5" x14ac:dyDescent="0.35">
      <c r="B650" s="54"/>
    </row>
    <row r="651" spans="2:2" ht="14.5" x14ac:dyDescent="0.35">
      <c r="B651" s="54"/>
    </row>
    <row r="652" spans="2:2" ht="14.5" x14ac:dyDescent="0.35">
      <c r="B652" s="54"/>
    </row>
    <row r="653" spans="2:2" ht="14.5" x14ac:dyDescent="0.35">
      <c r="B653" s="54"/>
    </row>
    <row r="654" spans="2:2" ht="14.5" x14ac:dyDescent="0.35">
      <c r="B654" s="54"/>
    </row>
    <row r="655" spans="2:2" ht="14.5" x14ac:dyDescent="0.35">
      <c r="B655" s="54"/>
    </row>
    <row r="656" spans="2:2" ht="14.5" x14ac:dyDescent="0.35">
      <c r="B656" s="54"/>
    </row>
    <row r="657" spans="2:2" ht="14.5" x14ac:dyDescent="0.35">
      <c r="B657" s="54"/>
    </row>
    <row r="658" spans="2:2" ht="14.5" x14ac:dyDescent="0.35">
      <c r="B658" s="54"/>
    </row>
    <row r="659" spans="2:2" ht="14.5" x14ac:dyDescent="0.35">
      <c r="B659" s="54"/>
    </row>
    <row r="660" spans="2:2" ht="14.5" x14ac:dyDescent="0.35">
      <c r="B660" s="54"/>
    </row>
    <row r="661" spans="2:2" ht="14.5" x14ac:dyDescent="0.35">
      <c r="B661" s="54"/>
    </row>
    <row r="662" spans="2:2" ht="14.5" x14ac:dyDescent="0.35">
      <c r="B662" s="54"/>
    </row>
    <row r="663" spans="2:2" ht="14.5" x14ac:dyDescent="0.35">
      <c r="B663" s="54"/>
    </row>
    <row r="664" spans="2:2" ht="14.5" x14ac:dyDescent="0.35">
      <c r="B664" s="54"/>
    </row>
    <row r="665" spans="2:2" ht="14.5" x14ac:dyDescent="0.35">
      <c r="B665" s="54"/>
    </row>
    <row r="666" spans="2:2" ht="14.5" x14ac:dyDescent="0.35">
      <c r="B666" s="54"/>
    </row>
    <row r="667" spans="2:2" ht="14.5" x14ac:dyDescent="0.35">
      <c r="B667" s="54"/>
    </row>
    <row r="668" spans="2:2" ht="14.5" x14ac:dyDescent="0.35">
      <c r="B668" s="54"/>
    </row>
    <row r="669" spans="2:2" ht="14.5" x14ac:dyDescent="0.35">
      <c r="B669" s="54"/>
    </row>
    <row r="670" spans="2:2" ht="14.5" x14ac:dyDescent="0.35">
      <c r="B670" s="54"/>
    </row>
    <row r="671" spans="2:2" ht="14.5" x14ac:dyDescent="0.35">
      <c r="B671" s="54"/>
    </row>
    <row r="672" spans="2:2" ht="14.5" x14ac:dyDescent="0.35">
      <c r="B672" s="54"/>
    </row>
    <row r="673" spans="2:2" ht="14.5" x14ac:dyDescent="0.35">
      <c r="B673" s="54"/>
    </row>
    <row r="674" spans="2:2" ht="14.5" x14ac:dyDescent="0.35">
      <c r="B674" s="54"/>
    </row>
    <row r="675" spans="2:2" ht="14.5" x14ac:dyDescent="0.35">
      <c r="B675" s="54"/>
    </row>
    <row r="676" spans="2:2" ht="14.5" x14ac:dyDescent="0.35">
      <c r="B676" s="54"/>
    </row>
    <row r="677" spans="2:2" ht="14.5" x14ac:dyDescent="0.35">
      <c r="B677" s="54"/>
    </row>
    <row r="678" spans="2:2" ht="14.5" x14ac:dyDescent="0.35">
      <c r="B678" s="54"/>
    </row>
    <row r="679" spans="2:2" ht="14.5" x14ac:dyDescent="0.35">
      <c r="B679" s="54"/>
    </row>
    <row r="680" spans="2:2" ht="14.5" x14ac:dyDescent="0.35">
      <c r="B680" s="54"/>
    </row>
    <row r="681" spans="2:2" ht="14.5" x14ac:dyDescent="0.35">
      <c r="B681" s="54"/>
    </row>
    <row r="682" spans="2:2" ht="14.5" x14ac:dyDescent="0.35">
      <c r="B682" s="54"/>
    </row>
    <row r="683" spans="2:2" ht="14.5" x14ac:dyDescent="0.35">
      <c r="B683" s="54"/>
    </row>
    <row r="684" spans="2:2" ht="14.5" x14ac:dyDescent="0.35">
      <c r="B684" s="54"/>
    </row>
    <row r="685" spans="2:2" ht="14.5" x14ac:dyDescent="0.35">
      <c r="B685" s="54"/>
    </row>
    <row r="686" spans="2:2" ht="14.5" x14ac:dyDescent="0.35">
      <c r="B686" s="54"/>
    </row>
    <row r="687" spans="2:2" ht="14.5" x14ac:dyDescent="0.35">
      <c r="B687" s="54"/>
    </row>
    <row r="688" spans="2:2" ht="14.5" x14ac:dyDescent="0.35">
      <c r="B688" s="54"/>
    </row>
    <row r="689" spans="2:2" ht="14.5" x14ac:dyDescent="0.35">
      <c r="B689" s="54"/>
    </row>
    <row r="690" spans="2:2" ht="14.5" x14ac:dyDescent="0.35">
      <c r="B690" s="54"/>
    </row>
    <row r="691" spans="2:2" ht="14.5" x14ac:dyDescent="0.35">
      <c r="B691" s="54"/>
    </row>
    <row r="692" spans="2:2" ht="14.5" x14ac:dyDescent="0.35">
      <c r="B692" s="54"/>
    </row>
    <row r="693" spans="2:2" ht="14.5" x14ac:dyDescent="0.35">
      <c r="B693" s="54"/>
    </row>
    <row r="694" spans="2:2" ht="14.5" x14ac:dyDescent="0.35">
      <c r="B694" s="54"/>
    </row>
    <row r="695" spans="2:2" ht="14.5" x14ac:dyDescent="0.35">
      <c r="B695" s="54"/>
    </row>
    <row r="696" spans="2:2" ht="14.5" x14ac:dyDescent="0.35">
      <c r="B696" s="54"/>
    </row>
    <row r="697" spans="2:2" ht="14.5" x14ac:dyDescent="0.35">
      <c r="B697" s="54"/>
    </row>
    <row r="698" spans="2:2" ht="14.5" x14ac:dyDescent="0.35">
      <c r="B698" s="54"/>
    </row>
    <row r="699" spans="2:2" ht="14.5" x14ac:dyDescent="0.35">
      <c r="B699" s="54"/>
    </row>
    <row r="700" spans="2:2" ht="14.5" x14ac:dyDescent="0.35">
      <c r="B700" s="54"/>
    </row>
    <row r="701" spans="2:2" ht="14.5" x14ac:dyDescent="0.35">
      <c r="B701" s="54"/>
    </row>
    <row r="702" spans="2:2" ht="14.5" x14ac:dyDescent="0.35">
      <c r="B702" s="54"/>
    </row>
    <row r="703" spans="2:2" ht="14.5" x14ac:dyDescent="0.35">
      <c r="B703" s="54"/>
    </row>
    <row r="704" spans="2:2" ht="14.5" x14ac:dyDescent="0.35">
      <c r="B704" s="54"/>
    </row>
    <row r="705" spans="2:2" ht="14.5" x14ac:dyDescent="0.35">
      <c r="B705" s="54"/>
    </row>
    <row r="706" spans="2:2" ht="14.5" x14ac:dyDescent="0.35">
      <c r="B706" s="54"/>
    </row>
    <row r="707" spans="2:2" ht="14.5" x14ac:dyDescent="0.35">
      <c r="B707" s="54"/>
    </row>
    <row r="708" spans="2:2" ht="14.5" x14ac:dyDescent="0.35">
      <c r="B708" s="54"/>
    </row>
    <row r="709" spans="2:2" ht="14.5" x14ac:dyDescent="0.35">
      <c r="B709" s="54"/>
    </row>
    <row r="710" spans="2:2" ht="14.5" x14ac:dyDescent="0.35">
      <c r="B710" s="54"/>
    </row>
    <row r="711" spans="2:2" ht="14.5" x14ac:dyDescent="0.35">
      <c r="B711" s="54"/>
    </row>
    <row r="712" spans="2:2" ht="14.5" x14ac:dyDescent="0.35">
      <c r="B712" s="54"/>
    </row>
    <row r="713" spans="2:2" ht="14.5" x14ac:dyDescent="0.35">
      <c r="B713" s="54"/>
    </row>
    <row r="714" spans="2:2" ht="14.5" x14ac:dyDescent="0.35">
      <c r="B714" s="54"/>
    </row>
    <row r="715" spans="2:2" ht="14.5" x14ac:dyDescent="0.35">
      <c r="B715" s="54"/>
    </row>
    <row r="716" spans="2:2" ht="14.5" x14ac:dyDescent="0.35">
      <c r="B716" s="54"/>
    </row>
    <row r="717" spans="2:2" ht="14.5" x14ac:dyDescent="0.35">
      <c r="B717" s="54"/>
    </row>
    <row r="718" spans="2:2" ht="14.5" x14ac:dyDescent="0.35">
      <c r="B718" s="54"/>
    </row>
    <row r="719" spans="2:2" ht="14.5" x14ac:dyDescent="0.35">
      <c r="B719" s="54"/>
    </row>
    <row r="720" spans="2:2" ht="14.5" x14ac:dyDescent="0.35">
      <c r="B720" s="54"/>
    </row>
    <row r="721" spans="2:2" ht="14.5" x14ac:dyDescent="0.35">
      <c r="B721" s="54"/>
    </row>
    <row r="722" spans="2:2" ht="14.5" x14ac:dyDescent="0.35">
      <c r="B722" s="54"/>
    </row>
    <row r="723" spans="2:2" ht="14.5" x14ac:dyDescent="0.35">
      <c r="B723" s="54"/>
    </row>
    <row r="724" spans="2:2" ht="14.5" x14ac:dyDescent="0.35">
      <c r="B724" s="54"/>
    </row>
    <row r="725" spans="2:2" ht="14.5" x14ac:dyDescent="0.35">
      <c r="B725" s="54"/>
    </row>
    <row r="726" spans="2:2" ht="14.5" x14ac:dyDescent="0.35">
      <c r="B726" s="54"/>
    </row>
    <row r="727" spans="2:2" ht="14.5" x14ac:dyDescent="0.35">
      <c r="B727" s="54"/>
    </row>
    <row r="728" spans="2:2" ht="14.5" x14ac:dyDescent="0.35">
      <c r="B728" s="54"/>
    </row>
    <row r="729" spans="2:2" ht="14.5" x14ac:dyDescent="0.35">
      <c r="B729" s="54"/>
    </row>
    <row r="730" spans="2:2" ht="14.5" x14ac:dyDescent="0.35">
      <c r="B730" s="54"/>
    </row>
    <row r="731" spans="2:2" ht="14.5" x14ac:dyDescent="0.35">
      <c r="B731" s="54"/>
    </row>
    <row r="732" spans="2:2" ht="14.5" x14ac:dyDescent="0.35">
      <c r="B732" s="54"/>
    </row>
    <row r="733" spans="2:2" ht="14.5" x14ac:dyDescent="0.35">
      <c r="B733" s="54"/>
    </row>
    <row r="734" spans="2:2" ht="14.5" x14ac:dyDescent="0.35">
      <c r="B734" s="54"/>
    </row>
    <row r="735" spans="2:2" ht="14.5" x14ac:dyDescent="0.35">
      <c r="B735" s="54"/>
    </row>
    <row r="736" spans="2:2" ht="14.5" x14ac:dyDescent="0.35">
      <c r="B736" s="54"/>
    </row>
    <row r="737" spans="2:2" ht="14.5" x14ac:dyDescent="0.35">
      <c r="B737" s="54"/>
    </row>
    <row r="738" spans="2:2" ht="14.5" x14ac:dyDescent="0.35">
      <c r="B738" s="54"/>
    </row>
    <row r="739" spans="2:2" ht="14.5" x14ac:dyDescent="0.35">
      <c r="B739" s="54"/>
    </row>
    <row r="740" spans="2:2" ht="14.5" x14ac:dyDescent="0.35">
      <c r="B740" s="54"/>
    </row>
    <row r="741" spans="2:2" ht="14.5" x14ac:dyDescent="0.35">
      <c r="B741" s="54"/>
    </row>
    <row r="742" spans="2:2" ht="14.5" x14ac:dyDescent="0.35">
      <c r="B742" s="54"/>
    </row>
    <row r="743" spans="2:2" ht="14.5" x14ac:dyDescent="0.35">
      <c r="B743" s="54"/>
    </row>
    <row r="744" spans="2:2" ht="14.5" x14ac:dyDescent="0.35">
      <c r="B744" s="54"/>
    </row>
    <row r="745" spans="2:2" ht="14.5" x14ac:dyDescent="0.35">
      <c r="B745" s="54"/>
    </row>
    <row r="746" spans="2:2" ht="14.5" x14ac:dyDescent="0.35">
      <c r="B746" s="54"/>
    </row>
    <row r="747" spans="2:2" ht="14.5" x14ac:dyDescent="0.35">
      <c r="B747" s="54"/>
    </row>
    <row r="748" spans="2:2" ht="14.5" x14ac:dyDescent="0.35">
      <c r="B748" s="54"/>
    </row>
    <row r="749" spans="2:2" ht="14.5" x14ac:dyDescent="0.35">
      <c r="B749" s="54"/>
    </row>
    <row r="750" spans="2:2" ht="14.5" x14ac:dyDescent="0.35">
      <c r="B750" s="54"/>
    </row>
    <row r="751" spans="2:2" ht="14.5" x14ac:dyDescent="0.35">
      <c r="B751" s="54"/>
    </row>
    <row r="752" spans="2:2" ht="14.5" x14ac:dyDescent="0.35">
      <c r="B752" s="54"/>
    </row>
    <row r="753" spans="2:2" ht="14.5" x14ac:dyDescent="0.35">
      <c r="B753" s="54"/>
    </row>
    <row r="754" spans="2:2" ht="14.5" x14ac:dyDescent="0.35">
      <c r="B754" s="54"/>
    </row>
    <row r="755" spans="2:2" ht="14.5" x14ac:dyDescent="0.35">
      <c r="B755" s="54"/>
    </row>
    <row r="756" spans="2:2" ht="14.5" x14ac:dyDescent="0.35">
      <c r="B756" s="54"/>
    </row>
    <row r="757" spans="2:2" ht="14.5" x14ac:dyDescent="0.35">
      <c r="B757" s="54"/>
    </row>
    <row r="758" spans="2:2" ht="14.5" x14ac:dyDescent="0.35">
      <c r="B758" s="54"/>
    </row>
    <row r="759" spans="2:2" ht="14.5" x14ac:dyDescent="0.35">
      <c r="B759" s="54"/>
    </row>
    <row r="760" spans="2:2" ht="14.5" x14ac:dyDescent="0.35">
      <c r="B760" s="54"/>
    </row>
    <row r="761" spans="2:2" ht="14.5" x14ac:dyDescent="0.35">
      <c r="B761" s="54"/>
    </row>
    <row r="762" spans="2:2" ht="14.5" x14ac:dyDescent="0.35">
      <c r="B762" s="54"/>
    </row>
    <row r="763" spans="2:2" ht="14.5" x14ac:dyDescent="0.35">
      <c r="B763" s="54"/>
    </row>
    <row r="764" spans="2:2" ht="14.5" x14ac:dyDescent="0.35">
      <c r="B764" s="54"/>
    </row>
    <row r="765" spans="2:2" ht="14.5" x14ac:dyDescent="0.35">
      <c r="B765" s="54"/>
    </row>
    <row r="766" spans="2:2" ht="14.5" x14ac:dyDescent="0.35">
      <c r="B766" s="54"/>
    </row>
    <row r="767" spans="2:2" ht="14.5" x14ac:dyDescent="0.35">
      <c r="B767" s="54"/>
    </row>
    <row r="768" spans="2:2" ht="14.5" x14ac:dyDescent="0.35">
      <c r="B768" s="54"/>
    </row>
    <row r="769" spans="2:2" ht="14.5" x14ac:dyDescent="0.35">
      <c r="B769" s="54"/>
    </row>
    <row r="770" spans="2:2" ht="14.5" x14ac:dyDescent="0.35">
      <c r="B770" s="54"/>
    </row>
    <row r="771" spans="2:2" ht="14.5" x14ac:dyDescent="0.35">
      <c r="B771" s="54"/>
    </row>
    <row r="772" spans="2:2" ht="14.5" x14ac:dyDescent="0.35">
      <c r="B772" s="54"/>
    </row>
    <row r="773" spans="2:2" ht="14.5" x14ac:dyDescent="0.35">
      <c r="B773" s="54"/>
    </row>
    <row r="774" spans="2:2" ht="14.5" x14ac:dyDescent="0.35">
      <c r="B774" s="54"/>
    </row>
    <row r="775" spans="2:2" ht="14.5" x14ac:dyDescent="0.35">
      <c r="B775" s="54"/>
    </row>
    <row r="776" spans="2:2" ht="14.5" x14ac:dyDescent="0.35">
      <c r="B776" s="54"/>
    </row>
    <row r="777" spans="2:2" ht="14.5" x14ac:dyDescent="0.35">
      <c r="B777" s="54"/>
    </row>
    <row r="778" spans="2:2" ht="14.5" x14ac:dyDescent="0.35">
      <c r="B778" s="54"/>
    </row>
    <row r="779" spans="2:2" ht="14.5" x14ac:dyDescent="0.35">
      <c r="B779" s="54"/>
    </row>
    <row r="780" spans="2:2" ht="19.5" customHeight="1" x14ac:dyDescent="0.35">
      <c r="B780" s="54"/>
    </row>
    <row r="781" spans="2:2" ht="10.5" customHeight="1" x14ac:dyDescent="0.35">
      <c r="B781" s="54"/>
    </row>
    <row r="782" spans="2:2" ht="7.5" customHeight="1" x14ac:dyDescent="0.35">
      <c r="B782" s="54"/>
    </row>
    <row r="783" spans="2:2" ht="7.5" customHeight="1" x14ac:dyDescent="0.35">
      <c r="B783" s="54"/>
    </row>
    <row r="784" spans="2:2" ht="15.75" customHeight="1" x14ac:dyDescent="0.35">
      <c r="B784" s="54"/>
    </row>
    <row r="785" spans="2:2" ht="15.75" customHeight="1" x14ac:dyDescent="0.35">
      <c r="B785" s="54"/>
    </row>
    <row r="786" spans="2:2" ht="15.75" customHeight="1" x14ac:dyDescent="0.35">
      <c r="B786" s="54"/>
    </row>
    <row r="787" spans="2:2" ht="15.75" customHeight="1" x14ac:dyDescent="0.35">
      <c r="B787" s="54"/>
    </row>
    <row r="788" spans="2:2" ht="15.75" customHeight="1" x14ac:dyDescent="0.35">
      <c r="B788" s="54"/>
    </row>
    <row r="789" spans="2:2" ht="15.75" customHeight="1" x14ac:dyDescent="0.35">
      <c r="B789" s="54"/>
    </row>
    <row r="790" spans="2:2" ht="15.75" customHeight="1" x14ac:dyDescent="0.35">
      <c r="B790" s="54"/>
    </row>
    <row r="791" spans="2:2" ht="15.75" customHeight="1" x14ac:dyDescent="0.35">
      <c r="B791" s="54"/>
    </row>
    <row r="792" spans="2:2" ht="15.75" customHeight="1" x14ac:dyDescent="0.35">
      <c r="B792" s="54"/>
    </row>
    <row r="793" spans="2:2" ht="15.75" customHeight="1" x14ac:dyDescent="0.35">
      <c r="B793" s="54"/>
    </row>
    <row r="794" spans="2:2" ht="15.75" customHeight="1" x14ac:dyDescent="0.35">
      <c r="B794" s="54"/>
    </row>
    <row r="795" spans="2:2" ht="15.75" customHeight="1" x14ac:dyDescent="0.35">
      <c r="B795" s="54"/>
    </row>
    <row r="796" spans="2:2" ht="15.75" customHeight="1" x14ac:dyDescent="0.35">
      <c r="B796" s="54"/>
    </row>
    <row r="797" spans="2:2" ht="15.75" customHeight="1" x14ac:dyDescent="0.35">
      <c r="B797" s="54"/>
    </row>
    <row r="798" spans="2:2" ht="15.75" customHeight="1" x14ac:dyDescent="0.35">
      <c r="B798" s="54"/>
    </row>
    <row r="799" spans="2:2" ht="15.75" customHeight="1" x14ac:dyDescent="0.35">
      <c r="B799" s="54"/>
    </row>
    <row r="800" spans="2:2" ht="15.75" customHeight="1" x14ac:dyDescent="0.35">
      <c r="B800" s="54"/>
    </row>
    <row r="801" spans="1:2" ht="15.75" customHeight="1" x14ac:dyDescent="0.35">
      <c r="B801" s="54"/>
    </row>
    <row r="802" spans="1:2" ht="15.75" customHeight="1" x14ac:dyDescent="0.35">
      <c r="B802" s="54"/>
    </row>
    <row r="803" spans="1:2" ht="15.75" customHeight="1" x14ac:dyDescent="0.35">
      <c r="B803" s="54"/>
    </row>
    <row r="804" spans="1:2" ht="15.75" customHeight="1" x14ac:dyDescent="0.35">
      <c r="B804" s="54"/>
    </row>
    <row r="805" spans="1:2" ht="15.75" customHeight="1" x14ac:dyDescent="0.35">
      <c r="B805" s="54"/>
    </row>
    <row r="806" spans="1:2" ht="15.75" customHeight="1" x14ac:dyDescent="0.35">
      <c r="A806" s="52"/>
      <c r="B806" s="52"/>
    </row>
    <row r="807" spans="1:2" ht="15.75" customHeight="1" x14ac:dyDescent="0.35">
      <c r="A807" s="52"/>
      <c r="B807" s="52"/>
    </row>
    <row r="808" spans="1:2" ht="15.75" customHeight="1" x14ac:dyDescent="0.35">
      <c r="A808" s="52"/>
      <c r="B808" s="52"/>
    </row>
    <row r="809" spans="1:2" ht="15.75" customHeight="1" x14ac:dyDescent="0.35">
      <c r="A809" s="52"/>
      <c r="B809" s="52"/>
    </row>
    <row r="810" spans="1:2" ht="15.75" customHeight="1" x14ac:dyDescent="0.35">
      <c r="A810" s="52"/>
      <c r="B810" s="52"/>
    </row>
    <row r="811" spans="1:2" ht="15.75" customHeight="1" x14ac:dyDescent="0.35">
      <c r="A811" s="52"/>
      <c r="B811" s="52"/>
    </row>
    <row r="812" spans="1:2" ht="15.75" customHeight="1" x14ac:dyDescent="0.35">
      <c r="A812" s="52"/>
      <c r="B812" s="52"/>
    </row>
    <row r="813" spans="1:2" ht="15.75" customHeight="1" x14ac:dyDescent="0.35">
      <c r="A813" s="52"/>
      <c r="B813" s="52"/>
    </row>
    <row r="814" spans="1:2" ht="15.75" customHeight="1" x14ac:dyDescent="0.35">
      <c r="A814" s="52"/>
      <c r="B814" s="52"/>
    </row>
    <row r="815" spans="1:2" ht="15.75" customHeight="1" x14ac:dyDescent="0.35">
      <c r="A815" s="52"/>
      <c r="B815" s="52"/>
    </row>
    <row r="816" spans="1:2" ht="15.75" customHeight="1" x14ac:dyDescent="0.35">
      <c r="A816" s="52"/>
      <c r="B816" s="52"/>
    </row>
    <row r="817" spans="1:2" ht="15.75" customHeight="1" x14ac:dyDescent="0.35">
      <c r="A817" s="52"/>
      <c r="B817" s="52"/>
    </row>
    <row r="818" spans="1:2" ht="15.75" customHeight="1" x14ac:dyDescent="0.35">
      <c r="A818" s="52"/>
      <c r="B818" s="52"/>
    </row>
    <row r="819" spans="1:2" ht="15.75" customHeight="1" x14ac:dyDescent="0.35">
      <c r="A819" s="52"/>
      <c r="B819" s="52"/>
    </row>
    <row r="820" spans="1:2" ht="15.75" customHeight="1" x14ac:dyDescent="0.35">
      <c r="A820" s="52"/>
      <c r="B820" s="52"/>
    </row>
    <row r="821" spans="1:2" ht="15.75" customHeight="1" x14ac:dyDescent="0.35">
      <c r="A821" s="52"/>
      <c r="B821" s="52"/>
    </row>
    <row r="822" spans="1:2" ht="15.75" customHeight="1" x14ac:dyDescent="0.35">
      <c r="A822" s="52"/>
      <c r="B822" s="52"/>
    </row>
    <row r="823" spans="1:2" ht="15.75" customHeight="1" x14ac:dyDescent="0.35">
      <c r="A823" s="52"/>
      <c r="B823" s="52"/>
    </row>
    <row r="824" spans="1:2" ht="15.75" customHeight="1" x14ac:dyDescent="0.35">
      <c r="A824" s="52"/>
      <c r="B824" s="52"/>
    </row>
    <row r="825" spans="1:2" ht="15.75" customHeight="1" x14ac:dyDescent="0.35">
      <c r="A825" s="52"/>
      <c r="B825" s="52"/>
    </row>
    <row r="826" spans="1:2" ht="15.75" customHeight="1" x14ac:dyDescent="0.35">
      <c r="A826" s="52"/>
      <c r="B826" s="52"/>
    </row>
    <row r="827" spans="1:2" ht="15.75" customHeight="1" x14ac:dyDescent="0.35">
      <c r="A827" s="52"/>
      <c r="B827" s="52"/>
    </row>
    <row r="828" spans="1:2" ht="15.75" customHeight="1" x14ac:dyDescent="0.35">
      <c r="A828" s="52"/>
      <c r="B828" s="52"/>
    </row>
    <row r="829" spans="1:2" ht="15.75" customHeight="1" x14ac:dyDescent="0.35">
      <c r="A829" s="52"/>
      <c r="B829" s="52"/>
    </row>
    <row r="830" spans="1:2" ht="15.75" customHeight="1" x14ac:dyDescent="0.35">
      <c r="A830" s="52"/>
      <c r="B830" s="52"/>
    </row>
    <row r="831" spans="1:2" ht="15.75" customHeight="1" x14ac:dyDescent="0.35">
      <c r="A831" s="52"/>
      <c r="B831" s="52"/>
    </row>
    <row r="832" spans="1:2" ht="15.75" customHeight="1" x14ac:dyDescent="0.35">
      <c r="A832" s="52"/>
      <c r="B832" s="52"/>
    </row>
    <row r="833" spans="1:2" ht="15.75" customHeight="1" x14ac:dyDescent="0.35">
      <c r="A833" s="52"/>
      <c r="B833" s="52"/>
    </row>
    <row r="834" spans="1:2" ht="15.75" customHeight="1" x14ac:dyDescent="0.35">
      <c r="A834" s="52"/>
      <c r="B834" s="52"/>
    </row>
    <row r="835" spans="1:2" ht="15.75" customHeight="1" x14ac:dyDescent="0.35">
      <c r="A835" s="52"/>
      <c r="B835" s="52"/>
    </row>
    <row r="836" spans="1:2" ht="15.75" customHeight="1" x14ac:dyDescent="0.35">
      <c r="A836" s="52"/>
      <c r="B836" s="52"/>
    </row>
    <row r="837" spans="1:2" ht="15.75" customHeight="1" x14ac:dyDescent="0.35">
      <c r="A837" s="52"/>
      <c r="B837" s="52"/>
    </row>
    <row r="838" spans="1:2" ht="15.75" customHeight="1" x14ac:dyDescent="0.35">
      <c r="A838" s="52"/>
      <c r="B838" s="52"/>
    </row>
    <row r="839" spans="1:2" ht="15.75" customHeight="1" x14ac:dyDescent="0.35">
      <c r="A839" s="52"/>
      <c r="B839" s="52"/>
    </row>
    <row r="840" spans="1:2" ht="15.75" customHeight="1" x14ac:dyDescent="0.35">
      <c r="A840" s="52"/>
      <c r="B840" s="52"/>
    </row>
    <row r="841" spans="1:2" ht="15.75" customHeight="1" x14ac:dyDescent="0.35">
      <c r="A841" s="52"/>
      <c r="B841" s="52"/>
    </row>
    <row r="842" spans="1:2" ht="15.75" customHeight="1" x14ac:dyDescent="0.35">
      <c r="A842" s="52"/>
      <c r="B842" s="52"/>
    </row>
    <row r="843" spans="1:2" ht="15.75" customHeight="1" x14ac:dyDescent="0.35">
      <c r="A843" s="52"/>
      <c r="B843" s="52"/>
    </row>
    <row r="844" spans="1:2" ht="15.75" customHeight="1" x14ac:dyDescent="0.35">
      <c r="A844" s="52"/>
      <c r="B844" s="52"/>
    </row>
    <row r="845" spans="1:2" ht="15.75" customHeight="1" x14ac:dyDescent="0.35">
      <c r="A845" s="52"/>
      <c r="B845" s="52"/>
    </row>
    <row r="846" spans="1:2" ht="15.75" customHeight="1" x14ac:dyDescent="0.35">
      <c r="A846" s="52"/>
      <c r="B846" s="52"/>
    </row>
    <row r="847" spans="1:2" ht="15.75" customHeight="1" x14ac:dyDescent="0.35">
      <c r="A847" s="52"/>
      <c r="B847" s="52"/>
    </row>
    <row r="848" spans="1:2" ht="15.75" customHeight="1" x14ac:dyDescent="0.35">
      <c r="A848" s="52"/>
      <c r="B848" s="52"/>
    </row>
    <row r="849" spans="1:2" ht="15.75" customHeight="1" x14ac:dyDescent="0.35">
      <c r="A849" s="52"/>
      <c r="B849" s="52"/>
    </row>
    <row r="850" spans="1:2" ht="15.75" customHeight="1" x14ac:dyDescent="0.35">
      <c r="A850" s="52"/>
      <c r="B850" s="52"/>
    </row>
    <row r="851" spans="1:2" ht="15.75" customHeight="1" x14ac:dyDescent="0.35">
      <c r="A851" s="52"/>
      <c r="B851" s="52"/>
    </row>
    <row r="852" spans="1:2" ht="15.75" customHeight="1" x14ac:dyDescent="0.35">
      <c r="A852" s="52"/>
      <c r="B852" s="52"/>
    </row>
    <row r="853" spans="1:2" ht="15.75" customHeight="1" x14ac:dyDescent="0.35">
      <c r="A853" s="52"/>
      <c r="B853" s="52"/>
    </row>
    <row r="854" spans="1:2" ht="15.75" customHeight="1" x14ac:dyDescent="0.35">
      <c r="A854" s="52"/>
      <c r="B854" s="52"/>
    </row>
    <row r="855" spans="1:2" ht="15.75" customHeight="1" x14ac:dyDescent="0.35">
      <c r="A855" s="52"/>
      <c r="B855" s="52"/>
    </row>
    <row r="856" spans="1:2" ht="15.75" customHeight="1" x14ac:dyDescent="0.35">
      <c r="A856" s="52"/>
      <c r="B856" s="52"/>
    </row>
    <row r="857" spans="1:2" ht="15.75" customHeight="1" x14ac:dyDescent="0.35">
      <c r="A857" s="52"/>
      <c r="B857" s="52"/>
    </row>
    <row r="858" spans="1:2" ht="15.75" customHeight="1" x14ac:dyDescent="0.35">
      <c r="A858" s="52"/>
      <c r="B858" s="52"/>
    </row>
    <row r="859" spans="1:2" ht="15.75" customHeight="1" x14ac:dyDescent="0.35">
      <c r="A859" s="52"/>
      <c r="B859" s="52"/>
    </row>
    <row r="860" spans="1:2" ht="15.75" customHeight="1" x14ac:dyDescent="0.35">
      <c r="A860" s="52"/>
      <c r="B860" s="52"/>
    </row>
    <row r="861" spans="1:2" ht="15.75" customHeight="1" x14ac:dyDescent="0.35">
      <c r="A861" s="52"/>
      <c r="B861" s="52"/>
    </row>
    <row r="862" spans="1:2" ht="15.75" customHeight="1" x14ac:dyDescent="0.35">
      <c r="A862" s="52"/>
      <c r="B862" s="52"/>
    </row>
    <row r="863" spans="1:2" ht="15.75" customHeight="1" x14ac:dyDescent="0.35">
      <c r="A863" s="52"/>
      <c r="B863" s="52"/>
    </row>
    <row r="864" spans="1:2" ht="15.75" customHeight="1" x14ac:dyDescent="0.35">
      <c r="A864" s="52"/>
      <c r="B864" s="52"/>
    </row>
    <row r="865" spans="1:2" ht="15.75" customHeight="1" x14ac:dyDescent="0.35">
      <c r="A865" s="52"/>
      <c r="B865" s="52"/>
    </row>
    <row r="866" spans="1:2" ht="15.75" customHeight="1" x14ac:dyDescent="0.35">
      <c r="A866" s="52"/>
      <c r="B866" s="52"/>
    </row>
    <row r="867" spans="1:2" ht="15.75" customHeight="1" x14ac:dyDescent="0.35">
      <c r="A867" s="52"/>
      <c r="B867" s="52"/>
    </row>
    <row r="868" spans="1:2" ht="15.75" customHeight="1" x14ac:dyDescent="0.35">
      <c r="A868" s="52"/>
      <c r="B868" s="52"/>
    </row>
    <row r="869" spans="1:2" ht="15.75" customHeight="1" x14ac:dyDescent="0.35">
      <c r="A869" s="52"/>
      <c r="B869" s="52"/>
    </row>
    <row r="870" spans="1:2" ht="15.75" customHeight="1" x14ac:dyDescent="0.35">
      <c r="A870" s="52"/>
      <c r="B870" s="52"/>
    </row>
    <row r="871" spans="1:2" ht="15.75" customHeight="1" x14ac:dyDescent="0.35">
      <c r="A871" s="52"/>
      <c r="B871" s="52"/>
    </row>
    <row r="872" spans="1:2" ht="15.75" customHeight="1" x14ac:dyDescent="0.35">
      <c r="A872" s="52"/>
      <c r="B872" s="52"/>
    </row>
    <row r="873" spans="1:2" ht="15.75" customHeight="1" x14ac:dyDescent="0.35">
      <c r="A873" s="52"/>
      <c r="B873" s="52"/>
    </row>
    <row r="874" spans="1:2" ht="15.75" customHeight="1" x14ac:dyDescent="0.35">
      <c r="A874" s="52"/>
      <c r="B874" s="52"/>
    </row>
    <row r="875" spans="1:2" ht="15.75" customHeight="1" x14ac:dyDescent="0.35">
      <c r="A875" s="52"/>
      <c r="B875" s="52"/>
    </row>
    <row r="876" spans="1:2" ht="15.75" customHeight="1" x14ac:dyDescent="0.35">
      <c r="A876" s="52"/>
      <c r="B876" s="52"/>
    </row>
    <row r="877" spans="1:2" ht="15.75" customHeight="1" x14ac:dyDescent="0.35">
      <c r="A877" s="52"/>
      <c r="B877" s="52"/>
    </row>
    <row r="878" spans="1:2" ht="15.75" customHeight="1" x14ac:dyDescent="0.35">
      <c r="A878" s="52"/>
      <c r="B878" s="52"/>
    </row>
    <row r="879" spans="1:2" ht="15.75" customHeight="1" x14ac:dyDescent="0.35">
      <c r="A879" s="52"/>
      <c r="B879" s="52"/>
    </row>
    <row r="880" spans="1:2" ht="15.75" customHeight="1" x14ac:dyDescent="0.35">
      <c r="A880" s="52"/>
      <c r="B880" s="52"/>
    </row>
    <row r="881" spans="1:2" ht="15.75" customHeight="1" x14ac:dyDescent="0.35">
      <c r="A881" s="52"/>
      <c r="B881" s="52"/>
    </row>
    <row r="882" spans="1:2" ht="15.75" customHeight="1" x14ac:dyDescent="0.35">
      <c r="A882" s="52"/>
      <c r="B882" s="52"/>
    </row>
    <row r="883" spans="1:2" ht="15.75" customHeight="1" x14ac:dyDescent="0.35">
      <c r="A883" s="52"/>
      <c r="B883" s="52"/>
    </row>
    <row r="884" spans="1:2" ht="15.75" customHeight="1" x14ac:dyDescent="0.35">
      <c r="A884" s="52"/>
      <c r="B884" s="52"/>
    </row>
    <row r="885" spans="1:2" ht="15.75" customHeight="1" x14ac:dyDescent="0.35">
      <c r="A885" s="52"/>
      <c r="B885" s="52"/>
    </row>
    <row r="886" spans="1:2" ht="15.75" customHeight="1" x14ac:dyDescent="0.35">
      <c r="A886" s="52"/>
      <c r="B886" s="52"/>
    </row>
    <row r="887" spans="1:2" ht="15.75" customHeight="1" x14ac:dyDescent="0.35">
      <c r="A887" s="52"/>
      <c r="B887" s="52"/>
    </row>
    <row r="888" spans="1:2" ht="15.75" customHeight="1" x14ac:dyDescent="0.35">
      <c r="A888" s="52"/>
      <c r="B888" s="52"/>
    </row>
    <row r="889" spans="1:2" ht="15.75" customHeight="1" x14ac:dyDescent="0.35">
      <c r="A889" s="52"/>
      <c r="B889" s="52"/>
    </row>
    <row r="890" spans="1:2" ht="15.75" customHeight="1" x14ac:dyDescent="0.35">
      <c r="A890" s="52"/>
      <c r="B890" s="52"/>
    </row>
    <row r="891" spans="1:2" ht="15.75" customHeight="1" x14ac:dyDescent="0.35">
      <c r="A891" s="52"/>
      <c r="B891" s="52"/>
    </row>
    <row r="892" spans="1:2" ht="15.75" customHeight="1" x14ac:dyDescent="0.35">
      <c r="A892" s="52"/>
      <c r="B892" s="52"/>
    </row>
    <row r="893" spans="1:2" ht="15.75" customHeight="1" x14ac:dyDescent="0.35">
      <c r="A893" s="52"/>
      <c r="B893" s="52"/>
    </row>
    <row r="894" spans="1:2" ht="15.75" customHeight="1" x14ac:dyDescent="0.35">
      <c r="A894" s="52"/>
      <c r="B894" s="52"/>
    </row>
    <row r="895" spans="1:2" ht="15.75" customHeight="1" x14ac:dyDescent="0.35">
      <c r="A895" s="52"/>
      <c r="B895" s="52"/>
    </row>
    <row r="896" spans="1:2" ht="15.75" customHeight="1" x14ac:dyDescent="0.35">
      <c r="A896" s="52"/>
      <c r="B896" s="52"/>
    </row>
    <row r="897" spans="1:2" ht="15.75" customHeight="1" x14ac:dyDescent="0.35">
      <c r="A897" s="52"/>
      <c r="B897" s="52"/>
    </row>
    <row r="898" spans="1:2" ht="15.75" customHeight="1" x14ac:dyDescent="0.35">
      <c r="A898" s="52"/>
      <c r="B898" s="52"/>
    </row>
    <row r="899" spans="1:2" ht="15.75" customHeight="1" x14ac:dyDescent="0.35">
      <c r="A899" s="52"/>
      <c r="B899" s="52"/>
    </row>
    <row r="900" spans="1:2" ht="15.75" customHeight="1" x14ac:dyDescent="0.35">
      <c r="A900" s="52"/>
      <c r="B900" s="52"/>
    </row>
    <row r="901" spans="1:2" ht="15.75" customHeight="1" x14ac:dyDescent="0.35">
      <c r="A901" s="52"/>
      <c r="B901" s="52"/>
    </row>
    <row r="902" spans="1:2" ht="15.75" customHeight="1" x14ac:dyDescent="0.35">
      <c r="A902" s="52"/>
      <c r="B902" s="52"/>
    </row>
    <row r="903" spans="1:2" ht="15.75" customHeight="1" x14ac:dyDescent="0.35">
      <c r="A903" s="52"/>
      <c r="B903" s="52"/>
    </row>
    <row r="904" spans="1:2" ht="15.75" customHeight="1" x14ac:dyDescent="0.35">
      <c r="A904" s="52"/>
      <c r="B904" s="52"/>
    </row>
    <row r="905" spans="1:2" ht="15.75" customHeight="1" x14ac:dyDescent="0.35">
      <c r="A905" s="52"/>
      <c r="B905" s="52"/>
    </row>
    <row r="906" spans="1:2" ht="15.75" customHeight="1" x14ac:dyDescent="0.35">
      <c r="A906" s="52"/>
      <c r="B906" s="52"/>
    </row>
    <row r="907" spans="1:2" ht="15.75" customHeight="1" x14ac:dyDescent="0.35">
      <c r="A907" s="52"/>
      <c r="B907" s="52"/>
    </row>
    <row r="908" spans="1:2" ht="15.75" customHeight="1" x14ac:dyDescent="0.35">
      <c r="A908" s="52"/>
      <c r="B908" s="52"/>
    </row>
    <row r="909" spans="1:2" ht="15.75" customHeight="1" x14ac:dyDescent="0.35">
      <c r="A909" s="52"/>
      <c r="B909" s="52"/>
    </row>
    <row r="910" spans="1:2" ht="15.75" customHeight="1" x14ac:dyDescent="0.35">
      <c r="A910" s="52"/>
      <c r="B910" s="52"/>
    </row>
    <row r="911" spans="1:2" ht="15.75" customHeight="1" x14ac:dyDescent="0.35">
      <c r="A911" s="52"/>
      <c r="B911" s="52"/>
    </row>
    <row r="912" spans="1:2" ht="15.75" customHeight="1" x14ac:dyDescent="0.35">
      <c r="A912" s="52"/>
      <c r="B912" s="52"/>
    </row>
    <row r="913" spans="1:2" ht="15.75" customHeight="1" x14ac:dyDescent="0.35">
      <c r="A913" s="52"/>
      <c r="B913" s="52"/>
    </row>
    <row r="914" spans="1:2" ht="15.75" customHeight="1" x14ac:dyDescent="0.35">
      <c r="A914" s="52"/>
      <c r="B914" s="52"/>
    </row>
    <row r="915" spans="1:2" ht="15.75" customHeight="1" x14ac:dyDescent="0.35">
      <c r="A915" s="52"/>
      <c r="B915" s="52"/>
    </row>
    <row r="916" spans="1:2" ht="15.75" customHeight="1" x14ac:dyDescent="0.35">
      <c r="A916" s="52"/>
      <c r="B916" s="52"/>
    </row>
    <row r="917" spans="1:2" ht="15.75" customHeight="1" x14ac:dyDescent="0.35">
      <c r="A917" s="52"/>
      <c r="B917" s="52"/>
    </row>
    <row r="918" spans="1:2" ht="15.75" customHeight="1" x14ac:dyDescent="0.35">
      <c r="A918" s="52"/>
      <c r="B918" s="52"/>
    </row>
    <row r="919" spans="1:2" ht="15.75" customHeight="1" x14ac:dyDescent="0.35">
      <c r="A919" s="52"/>
      <c r="B919" s="52"/>
    </row>
    <row r="920" spans="1:2" ht="15.75" customHeight="1" x14ac:dyDescent="0.35">
      <c r="A920" s="52"/>
      <c r="B920" s="52"/>
    </row>
    <row r="921" spans="1:2" ht="15.75" customHeight="1" x14ac:dyDescent="0.35">
      <c r="A921" s="52"/>
      <c r="B921" s="52"/>
    </row>
    <row r="922" spans="1:2" ht="15.75" customHeight="1" x14ac:dyDescent="0.35">
      <c r="A922" s="52"/>
      <c r="B922" s="52"/>
    </row>
    <row r="923" spans="1:2" ht="15.75" customHeight="1" x14ac:dyDescent="0.35">
      <c r="A923" s="52"/>
      <c r="B923" s="52"/>
    </row>
    <row r="924" spans="1:2" ht="15.75" customHeight="1" x14ac:dyDescent="0.35">
      <c r="A924" s="52"/>
      <c r="B924" s="52"/>
    </row>
    <row r="925" spans="1:2" ht="15.75" customHeight="1" x14ac:dyDescent="0.35">
      <c r="A925" s="52"/>
      <c r="B925" s="52"/>
    </row>
    <row r="926" spans="1:2" ht="15.75" customHeight="1" x14ac:dyDescent="0.35">
      <c r="A926" s="52"/>
      <c r="B926" s="52"/>
    </row>
    <row r="927" spans="1:2" ht="15.75" customHeight="1" x14ac:dyDescent="0.35">
      <c r="A927" s="52"/>
      <c r="B927" s="52"/>
    </row>
    <row r="928" spans="1:2" ht="15.75" customHeight="1" x14ac:dyDescent="0.35">
      <c r="A928" s="52"/>
      <c r="B928" s="52"/>
    </row>
    <row r="929" spans="1:2" ht="15.75" customHeight="1" x14ac:dyDescent="0.35">
      <c r="A929" s="52"/>
      <c r="B929" s="52"/>
    </row>
    <row r="930" spans="1:2" ht="15.75" customHeight="1" x14ac:dyDescent="0.35">
      <c r="A930" s="52"/>
      <c r="B930" s="52"/>
    </row>
    <row r="931" spans="1:2" ht="15.75" customHeight="1" x14ac:dyDescent="0.35">
      <c r="A931" s="52"/>
      <c r="B931" s="52"/>
    </row>
    <row r="932" spans="1:2" ht="15.75" customHeight="1" x14ac:dyDescent="0.35">
      <c r="A932" s="52"/>
      <c r="B932" s="52"/>
    </row>
    <row r="933" spans="1:2" ht="15.75" customHeight="1" x14ac:dyDescent="0.35">
      <c r="A933" s="52"/>
      <c r="B933" s="52"/>
    </row>
    <row r="934" spans="1:2" ht="15.75" customHeight="1" x14ac:dyDescent="0.35">
      <c r="A934" s="52"/>
      <c r="B934" s="52"/>
    </row>
    <row r="935" spans="1:2" ht="15.75" customHeight="1" x14ac:dyDescent="0.35">
      <c r="A935" s="52"/>
      <c r="B935" s="52"/>
    </row>
    <row r="936" spans="1:2" ht="15.75" customHeight="1" x14ac:dyDescent="0.35">
      <c r="A936" s="52"/>
      <c r="B936" s="52"/>
    </row>
    <row r="937" spans="1:2" ht="15.75" customHeight="1" x14ac:dyDescent="0.35">
      <c r="A937" s="52"/>
      <c r="B937" s="52"/>
    </row>
    <row r="938" spans="1:2" ht="15.75" customHeight="1" x14ac:dyDescent="0.35">
      <c r="A938" s="52"/>
      <c r="B938" s="52"/>
    </row>
    <row r="939" spans="1:2" ht="15.75" customHeight="1" x14ac:dyDescent="0.35">
      <c r="A939" s="52"/>
      <c r="B939" s="52"/>
    </row>
    <row r="940" spans="1:2" ht="15.75" customHeight="1" x14ac:dyDescent="0.35">
      <c r="A940" s="52"/>
      <c r="B940" s="52"/>
    </row>
    <row r="941" spans="1:2" ht="15.75" customHeight="1" x14ac:dyDescent="0.35">
      <c r="A941" s="52"/>
      <c r="B941" s="52"/>
    </row>
    <row r="942" spans="1:2" ht="15.75" customHeight="1" x14ac:dyDescent="0.35">
      <c r="A942" s="52"/>
      <c r="B942" s="52"/>
    </row>
    <row r="943" spans="1:2" ht="15.75" customHeight="1" x14ac:dyDescent="0.35">
      <c r="A943" s="52"/>
      <c r="B943" s="52"/>
    </row>
    <row r="944" spans="1:2" ht="15.75" customHeight="1" x14ac:dyDescent="0.35">
      <c r="A944" s="52"/>
      <c r="B944" s="52"/>
    </row>
    <row r="945" spans="1:2" ht="15.75" customHeight="1" x14ac:dyDescent="0.35">
      <c r="A945" s="52"/>
      <c r="B945" s="52"/>
    </row>
    <row r="946" spans="1:2" ht="15.75" customHeight="1" x14ac:dyDescent="0.35">
      <c r="A946" s="52"/>
      <c r="B946" s="52"/>
    </row>
    <row r="947" spans="1:2" ht="15.75" customHeight="1" x14ac:dyDescent="0.35">
      <c r="A947" s="52"/>
      <c r="B947" s="52"/>
    </row>
    <row r="948" spans="1:2" ht="15.75" customHeight="1" x14ac:dyDescent="0.35">
      <c r="A948" s="52"/>
      <c r="B948" s="52"/>
    </row>
    <row r="949" spans="1:2" ht="15.75" customHeight="1" x14ac:dyDescent="0.35">
      <c r="A949" s="52"/>
      <c r="B949" s="52"/>
    </row>
    <row r="950" spans="1:2" ht="15.75" customHeight="1" x14ac:dyDescent="0.35">
      <c r="A950" s="52"/>
      <c r="B950" s="52"/>
    </row>
    <row r="951" spans="1:2" ht="15.75" customHeight="1" x14ac:dyDescent="0.35">
      <c r="A951" s="52"/>
      <c r="B951" s="52"/>
    </row>
    <row r="952" spans="1:2" ht="15.75" customHeight="1" x14ac:dyDescent="0.35">
      <c r="A952" s="52"/>
      <c r="B952" s="52"/>
    </row>
    <row r="953" spans="1:2" ht="15.75" customHeight="1" x14ac:dyDescent="0.35">
      <c r="A953" s="52"/>
      <c r="B953" s="52"/>
    </row>
    <row r="954" spans="1:2" ht="15.75" customHeight="1" x14ac:dyDescent="0.35">
      <c r="A954" s="52"/>
      <c r="B954" s="52"/>
    </row>
    <row r="955" spans="1:2" ht="15.75" customHeight="1" x14ac:dyDescent="0.35">
      <c r="A955" s="52"/>
      <c r="B955" s="52"/>
    </row>
    <row r="956" spans="1:2" ht="15.75" customHeight="1" x14ac:dyDescent="0.35">
      <c r="A956" s="52"/>
      <c r="B956" s="52"/>
    </row>
    <row r="957" spans="1:2" ht="15.75" customHeight="1" x14ac:dyDescent="0.35">
      <c r="A957" s="52"/>
      <c r="B957" s="52"/>
    </row>
    <row r="958" spans="1:2" ht="15.75" customHeight="1" x14ac:dyDescent="0.35">
      <c r="A958" s="52"/>
      <c r="B958" s="52"/>
    </row>
    <row r="959" spans="1:2" ht="15.75" customHeight="1" x14ac:dyDescent="0.35">
      <c r="A959" s="52"/>
      <c r="B959" s="52"/>
    </row>
    <row r="960" spans="1:2" ht="15.75" customHeight="1" x14ac:dyDescent="0.35">
      <c r="A960" s="52"/>
      <c r="B960" s="52"/>
    </row>
    <row r="961" spans="1:2" ht="15.75" customHeight="1" x14ac:dyDescent="0.35">
      <c r="A961" s="52"/>
      <c r="B961" s="52"/>
    </row>
    <row r="962" spans="1:2" ht="15.75" customHeight="1" x14ac:dyDescent="0.35">
      <c r="A962" s="52"/>
      <c r="B962" s="52"/>
    </row>
    <row r="963" spans="1:2" ht="15.75" customHeight="1" x14ac:dyDescent="0.35">
      <c r="A963" s="52"/>
      <c r="B963" s="52"/>
    </row>
    <row r="964" spans="1:2" ht="15.75" customHeight="1" x14ac:dyDescent="0.35">
      <c r="A964" s="52"/>
      <c r="B964" s="52"/>
    </row>
    <row r="965" spans="1:2" ht="15.75" customHeight="1" x14ac:dyDescent="0.35">
      <c r="A965" s="52"/>
      <c r="B965" s="52"/>
    </row>
    <row r="966" spans="1:2" ht="15.75" customHeight="1" x14ac:dyDescent="0.35">
      <c r="A966" s="52"/>
      <c r="B966" s="52"/>
    </row>
    <row r="967" spans="1:2" ht="15.75" customHeight="1" x14ac:dyDescent="0.35">
      <c r="A967" s="52"/>
      <c r="B967" s="52"/>
    </row>
    <row r="968" spans="1:2" ht="15.75" customHeight="1" x14ac:dyDescent="0.35">
      <c r="A968" s="52"/>
      <c r="B968" s="52"/>
    </row>
    <row r="969" spans="1:2" ht="15.75" customHeight="1" x14ac:dyDescent="0.35">
      <c r="A969" s="52"/>
      <c r="B969" s="52"/>
    </row>
    <row r="970" spans="1:2" ht="15.75" customHeight="1" x14ac:dyDescent="0.35">
      <c r="A970" s="52"/>
      <c r="B970" s="52"/>
    </row>
    <row r="971" spans="1:2" ht="15.75" customHeight="1" x14ac:dyDescent="0.35">
      <c r="A971" s="52"/>
      <c r="B971" s="52"/>
    </row>
    <row r="972" spans="1:2" ht="15.75" customHeight="1" x14ac:dyDescent="0.35">
      <c r="A972" s="52"/>
      <c r="B972" s="52"/>
    </row>
    <row r="973" spans="1:2" ht="15.75" customHeight="1" x14ac:dyDescent="0.35">
      <c r="A973" s="52"/>
      <c r="B973" s="52"/>
    </row>
    <row r="974" spans="1:2" ht="15.75" customHeight="1" x14ac:dyDescent="0.35">
      <c r="A974" s="52"/>
      <c r="B974" s="52"/>
    </row>
    <row r="975" spans="1:2" ht="15.75" customHeight="1" x14ac:dyDescent="0.35">
      <c r="A975" s="52"/>
      <c r="B975" s="52"/>
    </row>
    <row r="976" spans="1:2" ht="14.25" customHeight="1" x14ac:dyDescent="0.35">
      <c r="A976" s="10"/>
      <c r="B976" s="60"/>
    </row>
    <row r="977" spans="1:2" ht="14.25" customHeight="1" x14ac:dyDescent="0.35">
      <c r="A977" s="10"/>
      <c r="B977" s="60"/>
    </row>
    <row r="978" spans="1:2" ht="14.25" customHeight="1" x14ac:dyDescent="0.35">
      <c r="A978" s="10"/>
      <c r="B978" s="60"/>
    </row>
    <row r="979" spans="1:2" ht="14.25" customHeight="1" x14ac:dyDescent="0.35">
      <c r="A979" s="10"/>
      <c r="B979" s="60"/>
    </row>
    <row r="980" spans="1:2" ht="14.25" customHeight="1" x14ac:dyDescent="0.35">
      <c r="A980" s="10"/>
      <c r="B980" s="60"/>
    </row>
    <row r="981" spans="1:2" ht="14.25" customHeight="1" x14ac:dyDescent="0.35">
      <c r="A981" s="10"/>
      <c r="B981" s="60"/>
    </row>
    <row r="982" spans="1:2" ht="14.25" customHeight="1" x14ac:dyDescent="0.35">
      <c r="A982" s="10"/>
      <c r="B982" s="60"/>
    </row>
    <row r="983" spans="1:2" ht="14.25" customHeight="1" x14ac:dyDescent="0.35">
      <c r="A983" s="10"/>
      <c r="B983" s="60"/>
    </row>
    <row r="984" spans="1:2" ht="14.25" customHeight="1" x14ac:dyDescent="0.35">
      <c r="A984" s="10"/>
      <c r="B984" s="60"/>
    </row>
    <row r="985" spans="1:2" ht="14.25" customHeight="1" x14ac:dyDescent="0.35">
      <c r="A985" s="10"/>
      <c r="B985" s="60"/>
    </row>
    <row r="986" spans="1:2" ht="14.25" customHeight="1" x14ac:dyDescent="0.35">
      <c r="A986" s="10"/>
      <c r="B986" s="60"/>
    </row>
    <row r="987" spans="1:2" ht="14.25" customHeight="1" x14ac:dyDescent="0.35">
      <c r="A987" s="10"/>
      <c r="B987" s="60"/>
    </row>
    <row r="988" spans="1:2" ht="14.25" customHeight="1" x14ac:dyDescent="0.35">
      <c r="A988" s="10"/>
      <c r="B988" s="60"/>
    </row>
    <row r="989" spans="1:2" ht="14.25" customHeight="1" x14ac:dyDescent="0.35">
      <c r="A989" s="10"/>
      <c r="B989" s="60"/>
    </row>
    <row r="990" spans="1:2" ht="14.25" customHeight="1" x14ac:dyDescent="0.35">
      <c r="A990" s="10"/>
      <c r="B990" s="60"/>
    </row>
    <row r="991" spans="1:2" ht="14.25" customHeight="1" x14ac:dyDescent="0.35">
      <c r="A991" s="10"/>
      <c r="B991" s="60"/>
    </row>
    <row r="992" spans="1:2" ht="14.25" customHeight="1" x14ac:dyDescent="0.35">
      <c r="A992" s="10"/>
      <c r="B992" s="60"/>
    </row>
    <row r="993" spans="1:2" ht="14.25" customHeight="1" x14ac:dyDescent="0.35">
      <c r="A993" s="10"/>
      <c r="B993" s="60"/>
    </row>
    <row r="994" spans="1:2" ht="14.25" customHeight="1" x14ac:dyDescent="0.35">
      <c r="A994" s="10"/>
      <c r="B994" s="60"/>
    </row>
    <row r="995" spans="1:2" ht="14.25" customHeight="1" x14ac:dyDescent="0.35">
      <c r="A995" s="10"/>
      <c r="B995" s="60"/>
    </row>
    <row r="996" spans="1:2" ht="14.25" customHeight="1" x14ac:dyDescent="0.35">
      <c r="A996" s="10"/>
      <c r="B996" s="60"/>
    </row>
    <row r="997" spans="1:2" ht="14.25" customHeight="1" x14ac:dyDescent="0.35">
      <c r="A997" s="10"/>
      <c r="B997" s="60"/>
    </row>
    <row r="998" spans="1:2" ht="14.25" customHeight="1" x14ac:dyDescent="0.35">
      <c r="A998" s="10"/>
      <c r="B998" s="60"/>
    </row>
    <row r="999" spans="1:2" ht="14.25" customHeight="1" x14ac:dyDescent="0.35">
      <c r="A999" s="10"/>
      <c r="B999" s="60"/>
    </row>
    <row r="1000" spans="1:2" ht="14.25" customHeight="1" x14ac:dyDescent="0.35">
      <c r="A1000" s="10"/>
      <c r="B1000" s="60"/>
    </row>
  </sheetData>
  <autoFilter ref="A2:J783" xr:uid="{00000000-0009-0000-0000-000003000000}">
    <sortState xmlns:xlrd2="http://schemas.microsoft.com/office/spreadsheetml/2017/richdata2" ref="A2:J783">
      <sortCondition ref="E2:E783"/>
    </sortState>
  </autoFilter>
  <conditionalFormatting sqref="J3:J76">
    <cfRule type="notContainsBlanks" dxfId="102" priority="1">
      <formula>LEN(TRIM(J3))&gt;0</formula>
    </cfRule>
  </conditionalFormatting>
  <conditionalFormatting sqref="J3:J76">
    <cfRule type="containsBlanks" dxfId="101" priority="2">
      <formula>LEN(TRIM(J3))=0</formula>
    </cfRule>
  </conditionalFormatting>
  <conditionalFormatting sqref="A22:F76 H22:I76">
    <cfRule type="containsBlanks" dxfId="100" priority="3">
      <formula>LEN(TRIM(A22))=0</formula>
    </cfRule>
  </conditionalFormatting>
  <conditionalFormatting sqref="I3:I76">
    <cfRule type="containsText" dxfId="99" priority="4" operator="containsText" text="BOLETO">
      <formula>NOT(ISERROR(SEARCH(("BOLETO"),(I3))))</formula>
    </cfRule>
  </conditionalFormatting>
  <conditionalFormatting sqref="I3:I76">
    <cfRule type="containsText" dxfId="98" priority="5" operator="containsText" text="CARTÃO ">
      <formula>NOT(ISERROR(SEARCH(("CARTÃO "),(I3))))</formula>
    </cfRule>
  </conditionalFormatting>
  <conditionalFormatting sqref="I3:I76">
    <cfRule type="containsText" dxfId="97" priority="6" operator="containsText" text="DEP C/C">
      <formula>NOT(ISERROR(SEARCH(("DEP C/C"),(I3))))</formula>
    </cfRule>
  </conditionalFormatting>
  <conditionalFormatting sqref="G3:I3 G4:G76 G78:G80 H4:I21">
    <cfRule type="containsBlanks" dxfId="96" priority="7">
      <formula>LEN(TRIM(G3))=0</formula>
    </cfRule>
  </conditionalFormatting>
  <conditionalFormatting sqref="C3:C21">
    <cfRule type="containsBlanks" dxfId="95" priority="8">
      <formula>LEN(TRIM(C3))=0</formula>
    </cfRule>
  </conditionalFormatting>
  <conditionalFormatting sqref="C3:C76">
    <cfRule type="containsText" dxfId="94" priority="9" operator="containsText" text="PENDENTE">
      <formula>NOT(ISERROR(SEARCH(("PENDENTE"),(C3))))</formula>
    </cfRule>
  </conditionalFormatting>
  <conditionalFormatting sqref="B3:B76">
    <cfRule type="timePeriod" dxfId="93" priority="10" timePeriod="yesterday">
      <formula>FLOOR(B3,1)=TODAY()-1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30"/>
  <sheetViews>
    <sheetView showGridLines="0" workbookViewId="0">
      <pane ySplit="2" topLeftCell="A3" activePane="bottomLeft" state="frozen"/>
      <selection activeCell="F19" sqref="F19"/>
      <selection pane="bottomLeft" activeCell="F19" sqref="F19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3.8164062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9" customHeight="1" x14ac:dyDescent="0.35">
      <c r="A1" s="32"/>
      <c r="B1" s="32"/>
      <c r="C1" s="32"/>
      <c r="D1" s="32"/>
      <c r="E1" s="1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11"/>
      <c r="B9" s="11"/>
      <c r="C9" s="11"/>
      <c r="D9" s="5"/>
      <c r="E9" s="8"/>
      <c r="F9" s="12"/>
      <c r="G9" s="12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11"/>
      <c r="B16" s="11"/>
      <c r="C16" s="11"/>
      <c r="D16" s="5"/>
      <c r="E16" s="8"/>
      <c r="F16" s="12"/>
      <c r="G16" s="12"/>
      <c r="H16" s="5"/>
      <c r="I16" s="5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11"/>
      <c r="B22" s="11"/>
      <c r="C22" s="11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35">
      <c r="A25" s="11"/>
      <c r="B25" s="11"/>
      <c r="C25" s="11"/>
      <c r="D25" s="13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 x14ac:dyDescent="0.35">
      <c r="A35" s="11"/>
      <c r="B35" s="11"/>
      <c r="C35" s="11"/>
      <c r="D35" s="13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 x14ac:dyDescent="0.35">
      <c r="A36" s="11"/>
      <c r="B36" s="11"/>
      <c r="C36" s="11"/>
      <c r="D36" s="13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" customHeight="1" x14ac:dyDescent="0.35">
      <c r="A38" s="11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" customHeight="1" x14ac:dyDescent="0.35">
      <c r="A40" s="11"/>
      <c r="B40" s="11"/>
      <c r="C40" s="11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" customHeight="1" x14ac:dyDescent="0.35">
      <c r="A41" s="11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" customHeight="1" x14ac:dyDescent="0.35">
      <c r="A42" s="11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customHeight="1" x14ac:dyDescent="0.35">
      <c r="A45" s="11"/>
      <c r="B45" s="11"/>
      <c r="C45" s="11"/>
      <c r="D45" s="5"/>
      <c r="E45" s="8"/>
      <c r="F45" s="12"/>
      <c r="G45" s="12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customHeight="1" x14ac:dyDescent="0.35">
      <c r="A51" s="11"/>
      <c r="B51" s="11"/>
      <c r="C51" s="11"/>
      <c r="D51" s="5"/>
      <c r="E51" s="8"/>
      <c r="F51" s="12"/>
      <c r="G51" s="12"/>
      <c r="H51" s="5"/>
      <c r="I51" s="5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customHeight="1" x14ac:dyDescent="0.35">
      <c r="A53" s="11"/>
      <c r="B53" s="11"/>
      <c r="C53" s="11"/>
      <c r="D53" s="5"/>
      <c r="E53" s="8"/>
      <c r="F53" s="12"/>
      <c r="G53" s="12">
        <f t="shared" ref="G3:G76" si="0">IF(OR(C53 = "",C53="PENDENTE"), 0, IF(OR(C53&lt;=B53,H53=1),F53,(F53*0.1966/100)*(C53-B53)+F53))</f>
        <v>0</v>
      </c>
      <c r="H53" s="5"/>
      <c r="I53" s="5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" customHeight="1" x14ac:dyDescent="0.35">
      <c r="A54" s="11"/>
      <c r="B54" s="11"/>
      <c r="C54" s="11"/>
      <c r="D54" s="5"/>
      <c r="E54" s="8"/>
      <c r="F54" s="12"/>
      <c r="G54" s="12">
        <f t="shared" si="0"/>
        <v>0</v>
      </c>
      <c r="H54" s="5"/>
      <c r="I54" s="5"/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customHeight="1" x14ac:dyDescent="0.35">
      <c r="A55" s="11"/>
      <c r="B55" s="11"/>
      <c r="C55" s="11"/>
      <c r="D55" s="5"/>
      <c r="E55" s="8"/>
      <c r="F55" s="12"/>
      <c r="G55" s="12">
        <f t="shared" si="0"/>
        <v>0</v>
      </c>
      <c r="H55" s="5"/>
      <c r="I55" s="5"/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" customHeight="1" x14ac:dyDescent="0.35">
      <c r="A56" s="11"/>
      <c r="B56" s="11"/>
      <c r="C56" s="11"/>
      <c r="D56" s="5"/>
      <c r="E56" s="8"/>
      <c r="F56" s="12"/>
      <c r="G56" s="12">
        <f t="shared" si="0"/>
        <v>0</v>
      </c>
      <c r="H56" s="5"/>
      <c r="I56" s="5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customHeight="1" x14ac:dyDescent="0.35">
      <c r="A57" s="11"/>
      <c r="B57" s="11"/>
      <c r="C57" s="11"/>
      <c r="D57" s="5"/>
      <c r="E57" s="8"/>
      <c r="F57" s="12"/>
      <c r="G57" s="12">
        <f t="shared" si="0"/>
        <v>0</v>
      </c>
      <c r="H57" s="5"/>
      <c r="I57" s="5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" customHeight="1" x14ac:dyDescent="0.35">
      <c r="A58" s="11"/>
      <c r="B58" s="11"/>
      <c r="C58" s="11"/>
      <c r="D58" s="5"/>
      <c r="E58" s="8"/>
      <c r="F58" s="12"/>
      <c r="G58" s="12">
        <f t="shared" si="0"/>
        <v>0</v>
      </c>
      <c r="H58" s="5"/>
      <c r="I58" s="5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customHeight="1" x14ac:dyDescent="0.35">
      <c r="A59" s="11"/>
      <c r="B59" s="11"/>
      <c r="C59" s="11"/>
      <c r="D59" s="5"/>
      <c r="E59" s="8"/>
      <c r="F59" s="12"/>
      <c r="G59" s="12">
        <f t="shared" si="0"/>
        <v>0</v>
      </c>
      <c r="H59" s="5"/>
      <c r="I59" s="5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" customHeight="1" x14ac:dyDescent="0.35">
      <c r="A60" s="11"/>
      <c r="B60" s="11"/>
      <c r="C60" s="11"/>
      <c r="D60" s="5"/>
      <c r="E60" s="8"/>
      <c r="F60" s="12"/>
      <c r="G60" s="12">
        <f t="shared" si="0"/>
        <v>0</v>
      </c>
      <c r="H60" s="5"/>
      <c r="I60" s="5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customHeight="1" x14ac:dyDescent="0.35">
      <c r="A61" s="11"/>
      <c r="B61" s="11"/>
      <c r="C61" s="11"/>
      <c r="D61" s="5"/>
      <c r="E61" s="8"/>
      <c r="F61" s="12"/>
      <c r="G61" s="12">
        <f t="shared" si="0"/>
        <v>0</v>
      </c>
      <c r="H61" s="5"/>
      <c r="I61" s="5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customHeight="1" x14ac:dyDescent="0.35">
      <c r="A62" s="11"/>
      <c r="B62" s="11"/>
      <c r="C62" s="11"/>
      <c r="D62" s="5"/>
      <c r="E62" s="8"/>
      <c r="F62" s="12"/>
      <c r="G62" s="12">
        <f t="shared" si="0"/>
        <v>0</v>
      </c>
      <c r="H62" s="5"/>
      <c r="I62" s="5"/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" customHeight="1" x14ac:dyDescent="0.35">
      <c r="A63" s="11"/>
      <c r="B63" s="11"/>
      <c r="C63" s="11"/>
      <c r="D63" s="5"/>
      <c r="E63" s="8"/>
      <c r="F63" s="12"/>
      <c r="G63" s="12">
        <f t="shared" si="0"/>
        <v>0</v>
      </c>
      <c r="H63" s="5"/>
      <c r="I63" s="5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customHeight="1" x14ac:dyDescent="0.35">
      <c r="A77" s="19"/>
      <c r="B77" s="19"/>
      <c r="C77" s="19"/>
      <c r="D77" s="18"/>
      <c r="E77" s="20"/>
      <c r="F77" s="21">
        <f t="shared" ref="F77:G77" si="1">SUM(F3:F76)</f>
        <v>0</v>
      </c>
      <c r="G77" s="21">
        <f t="shared" si="1"/>
        <v>0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" customHeight="1" x14ac:dyDescent="0.35">
      <c r="A78" s="19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customHeight="1" x14ac:dyDescent="0.35">
      <c r="A79" s="19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customHeight="1" x14ac:dyDescent="0.35">
      <c r="A80" s="19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52"/>
      <c r="B81" s="52"/>
      <c r="C81" s="19"/>
      <c r="D81" s="18"/>
      <c r="E81" s="20"/>
      <c r="F81" s="23"/>
      <c r="G81" s="23"/>
      <c r="H81" s="18"/>
      <c r="I81" s="18"/>
      <c r="J81" s="24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52"/>
      <c r="B82" s="52"/>
      <c r="C82" s="19"/>
      <c r="D82" s="18"/>
      <c r="E82" s="20"/>
      <c r="F82" s="23"/>
      <c r="G82" s="23"/>
      <c r="H82" s="18"/>
      <c r="I82" s="18"/>
      <c r="J82" s="24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52"/>
      <c r="B83" s="52"/>
      <c r="C83" s="19"/>
      <c r="D83" s="18"/>
      <c r="E83" s="20"/>
      <c r="F83" s="23"/>
      <c r="G83" s="23"/>
      <c r="H83" s="18"/>
      <c r="I83" s="18"/>
      <c r="J83" s="24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52"/>
      <c r="B84" s="52"/>
      <c r="C84" s="19"/>
      <c r="D84" s="18"/>
      <c r="E84" s="20"/>
      <c r="F84" s="23"/>
      <c r="G84" s="23"/>
      <c r="H84" s="18"/>
      <c r="I84" s="18"/>
      <c r="J84" s="24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52"/>
      <c r="B85" s="52"/>
      <c r="C85" s="19"/>
      <c r="D85" s="18"/>
      <c r="E85" s="20"/>
      <c r="F85" s="23"/>
      <c r="G85" s="23"/>
      <c r="H85" s="18"/>
      <c r="I85" s="18"/>
      <c r="J85" s="24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52"/>
      <c r="B86" s="52"/>
      <c r="C86" s="19"/>
      <c r="D86" s="18"/>
      <c r="E86" s="20"/>
      <c r="F86" s="23"/>
      <c r="G86" s="23"/>
      <c r="H86" s="18"/>
      <c r="I86" s="18"/>
      <c r="J86" s="24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52"/>
      <c r="B87" s="52"/>
      <c r="C87" s="19"/>
      <c r="D87" s="18"/>
      <c r="E87" s="20"/>
      <c r="F87" s="23"/>
      <c r="G87" s="23"/>
      <c r="H87" s="18"/>
      <c r="I87" s="18"/>
      <c r="J87" s="24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52"/>
      <c r="B88" s="52"/>
      <c r="C88" s="19"/>
      <c r="D88" s="18"/>
      <c r="E88" s="20"/>
      <c r="F88" s="23"/>
      <c r="G88" s="23"/>
      <c r="H88" s="18"/>
      <c r="I88" s="18"/>
      <c r="J88" s="24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52"/>
      <c r="B89" s="52"/>
      <c r="C89" s="19"/>
      <c r="D89" s="18"/>
      <c r="E89" s="20"/>
      <c r="F89" s="23"/>
      <c r="G89" s="23"/>
      <c r="H89" s="18"/>
      <c r="I89" s="18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52"/>
      <c r="B90" s="52"/>
      <c r="C90" s="19"/>
      <c r="D90" s="18"/>
      <c r="E90" s="20"/>
      <c r="F90" s="23"/>
      <c r="G90" s="23"/>
      <c r="H90" s="18"/>
      <c r="I90" s="18"/>
      <c r="J90" s="24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52"/>
      <c r="B91" s="52"/>
      <c r="C91" s="19"/>
      <c r="D91" s="18"/>
      <c r="E91" s="20"/>
      <c r="F91" s="23"/>
      <c r="G91" s="23"/>
      <c r="H91" s="18"/>
      <c r="I91" s="18"/>
      <c r="J91" s="24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52"/>
      <c r="B92" s="52"/>
      <c r="C92" s="19"/>
      <c r="D92" s="18"/>
      <c r="E92" s="20"/>
      <c r="F92" s="23"/>
      <c r="G92" s="23"/>
      <c r="H92" s="18"/>
      <c r="I92" s="18"/>
      <c r="J92" s="24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52"/>
      <c r="B93" s="52"/>
      <c r="C93" s="19"/>
      <c r="D93" s="18"/>
      <c r="E93" s="20"/>
      <c r="F93" s="23"/>
      <c r="G93" s="23"/>
      <c r="H93" s="18"/>
      <c r="I93" s="18"/>
      <c r="J93" s="24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52"/>
      <c r="B94" s="52"/>
      <c r="C94" s="19"/>
      <c r="D94" s="18"/>
      <c r="E94" s="20"/>
      <c r="F94" s="23"/>
      <c r="G94" s="23"/>
      <c r="H94" s="18"/>
      <c r="I94" s="18"/>
      <c r="J94" s="24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52"/>
      <c r="B95" s="52"/>
      <c r="C95" s="19"/>
      <c r="D95" s="18"/>
      <c r="E95" s="20"/>
      <c r="F95" s="23"/>
      <c r="G95" s="23"/>
      <c r="H95" s="18"/>
      <c r="I95" s="18"/>
      <c r="J95" s="24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52"/>
      <c r="B96" s="52"/>
      <c r="C96" s="19"/>
      <c r="D96" s="18"/>
      <c r="E96" s="20"/>
      <c r="F96" s="23"/>
      <c r="G96" s="23"/>
      <c r="H96" s="18"/>
      <c r="I96" s="18"/>
      <c r="J96" s="24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52"/>
      <c r="B97" s="52"/>
      <c r="C97" s="19"/>
      <c r="D97" s="18"/>
      <c r="E97" s="20"/>
      <c r="F97" s="23"/>
      <c r="G97" s="23"/>
      <c r="H97" s="18"/>
      <c r="I97" s="18"/>
      <c r="J97" s="24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52"/>
      <c r="B98" s="52"/>
      <c r="C98" s="19"/>
      <c r="D98" s="18"/>
      <c r="E98" s="20"/>
      <c r="F98" s="23"/>
      <c r="G98" s="23"/>
      <c r="H98" s="18"/>
      <c r="I98" s="18"/>
      <c r="J98" s="24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52"/>
      <c r="B99" s="52"/>
      <c r="C99" s="19"/>
      <c r="D99" s="18"/>
      <c r="E99" s="20"/>
      <c r="F99" s="23"/>
      <c r="G99" s="23"/>
      <c r="H99" s="18"/>
      <c r="I99" s="18"/>
      <c r="J99" s="24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52"/>
      <c r="B100" s="52"/>
      <c r="C100" s="19"/>
      <c r="D100" s="18"/>
      <c r="E100" s="20"/>
      <c r="F100" s="23"/>
      <c r="G100" s="23"/>
      <c r="H100" s="18"/>
      <c r="I100" s="18"/>
      <c r="J100" s="24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52"/>
      <c r="B101" s="52"/>
      <c r="C101" s="19"/>
      <c r="D101" s="18"/>
      <c r="E101" s="20"/>
      <c r="F101" s="23"/>
      <c r="G101" s="23"/>
      <c r="H101" s="18"/>
      <c r="I101" s="18"/>
      <c r="J101" s="24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52"/>
      <c r="B102" s="52"/>
      <c r="C102" s="19"/>
      <c r="D102" s="18"/>
      <c r="E102" s="20"/>
      <c r="F102" s="23"/>
      <c r="G102" s="23"/>
      <c r="H102" s="18"/>
      <c r="I102" s="18"/>
      <c r="J102" s="24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52"/>
      <c r="B103" s="52"/>
      <c r="C103" s="19"/>
      <c r="D103" s="18"/>
      <c r="E103" s="20"/>
      <c r="F103" s="23"/>
      <c r="G103" s="23"/>
      <c r="H103" s="18"/>
      <c r="I103" s="18"/>
      <c r="J103" s="24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52"/>
      <c r="B104" s="52"/>
      <c r="C104" s="19"/>
      <c r="D104" s="18"/>
      <c r="E104" s="20"/>
      <c r="F104" s="23"/>
      <c r="G104" s="23"/>
      <c r="H104" s="18"/>
      <c r="I104" s="18"/>
      <c r="J104" s="24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52"/>
      <c r="B105" s="52"/>
      <c r="C105" s="19"/>
      <c r="D105" s="18"/>
      <c r="E105" s="20"/>
      <c r="F105" s="23"/>
      <c r="G105" s="23"/>
      <c r="H105" s="18"/>
      <c r="I105" s="18"/>
      <c r="J105" s="24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</sheetData>
  <autoFilter ref="A2:J80" xr:uid="{00000000-0009-0000-0000-000004000000}">
    <sortState xmlns:xlrd2="http://schemas.microsoft.com/office/spreadsheetml/2017/richdata2" ref="A2:J80">
      <sortCondition ref="E2:E80"/>
    </sortState>
  </autoFilter>
  <conditionalFormatting sqref="J3:J76">
    <cfRule type="notContainsBlanks" dxfId="92" priority="1">
      <formula>LEN(TRIM(J3))&gt;0</formula>
    </cfRule>
  </conditionalFormatting>
  <conditionalFormatting sqref="J3:J76">
    <cfRule type="containsBlanks" dxfId="91" priority="2">
      <formula>LEN(TRIM(J3))=0</formula>
    </cfRule>
  </conditionalFormatting>
  <conditionalFormatting sqref="C22:C76">
    <cfRule type="cellIs" dxfId="90" priority="3" operator="greaterThan">
      <formula>$B$4+$B$5:$B$76</formula>
    </cfRule>
  </conditionalFormatting>
  <conditionalFormatting sqref="A22:F76 H22:I76">
    <cfRule type="containsBlanks" dxfId="89" priority="4">
      <formula>LEN(TRIM(A22))=0</formula>
    </cfRule>
  </conditionalFormatting>
  <conditionalFormatting sqref="I3:I76">
    <cfRule type="containsText" dxfId="88" priority="5" operator="containsText" text="BOLETO">
      <formula>NOT(ISERROR(SEARCH(("BOLETO"),(I3))))</formula>
    </cfRule>
  </conditionalFormatting>
  <conditionalFormatting sqref="I3:I76">
    <cfRule type="containsText" dxfId="87" priority="6" operator="containsText" text="CARTÃO ">
      <formula>NOT(ISERROR(SEARCH(("CARTÃO "),(I3))))</formula>
    </cfRule>
  </conditionalFormatting>
  <conditionalFormatting sqref="I3:I76">
    <cfRule type="containsText" dxfId="86" priority="7" operator="containsText" text="DEP C/C">
      <formula>NOT(ISERROR(SEARCH(("DEP C/C"),(I3))))</formula>
    </cfRule>
  </conditionalFormatting>
  <conditionalFormatting sqref="G3:I3 G4:G76 G78:G80 H4:I21">
    <cfRule type="containsBlanks" dxfId="85" priority="8">
      <formula>LEN(TRIM(G3))=0</formula>
    </cfRule>
  </conditionalFormatting>
  <conditionalFormatting sqref="C3:C21">
    <cfRule type="containsBlanks" dxfId="84" priority="9">
      <formula>LEN(TRIM(C3))=0</formula>
    </cfRule>
  </conditionalFormatting>
  <conditionalFormatting sqref="C3:C76">
    <cfRule type="containsText" dxfId="83" priority="10" operator="containsText" text="PENDENTE">
      <formula>NOT(ISERROR(SEARCH(("PENDENTE"),(C3))))</formula>
    </cfRule>
  </conditionalFormatting>
  <conditionalFormatting sqref="B3:B76">
    <cfRule type="timePeriod" dxfId="82" priority="11" timePeriod="yesterday">
      <formula>FLOOR(B3,1)=TODAY()-1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>
      <pane ySplit="2" topLeftCell="A3" activePane="bottomLeft" state="frozen"/>
      <selection activeCell="F19" sqref="F19"/>
      <selection pane="bottomLeft" activeCell="F19" sqref="F19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3.8164062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15" customHeight="1" x14ac:dyDescent="0.35">
      <c r="A1" s="32"/>
      <c r="B1" s="32"/>
      <c r="C1" s="32"/>
      <c r="D1" s="32"/>
      <c r="E1" s="1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11"/>
      <c r="B9" s="11"/>
      <c r="C9" s="11"/>
      <c r="D9" s="5"/>
      <c r="E9" s="8"/>
      <c r="F9" s="12"/>
      <c r="G9" s="12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11"/>
      <c r="B16" s="11"/>
      <c r="C16" s="11"/>
      <c r="D16" s="5"/>
      <c r="E16" s="8"/>
      <c r="F16" s="12"/>
      <c r="G16" s="12"/>
      <c r="H16" s="5"/>
      <c r="I16" s="5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11"/>
      <c r="B22" s="11"/>
      <c r="C22" s="11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35">
      <c r="A25" s="11"/>
      <c r="B25" s="11"/>
      <c r="C25" s="11"/>
      <c r="D25" s="13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 x14ac:dyDescent="0.35">
      <c r="A35" s="11"/>
      <c r="B35" s="11"/>
      <c r="C35" s="11"/>
      <c r="D35" s="13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 x14ac:dyDescent="0.35">
      <c r="A36" s="11"/>
      <c r="B36" s="11"/>
      <c r="C36" s="11"/>
      <c r="D36" s="13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" customHeight="1" x14ac:dyDescent="0.35">
      <c r="A38" s="11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" customHeight="1" x14ac:dyDescent="0.35">
      <c r="A40" s="11"/>
      <c r="B40" s="11"/>
      <c r="C40" s="11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" customHeight="1" x14ac:dyDescent="0.35">
      <c r="A41" s="11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" customHeight="1" x14ac:dyDescent="0.35">
      <c r="A42" s="11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customHeight="1" x14ac:dyDescent="0.35">
      <c r="A45" s="11"/>
      <c r="B45" s="11"/>
      <c r="C45" s="11"/>
      <c r="D45" s="5"/>
      <c r="E45" s="8"/>
      <c r="F45" s="12"/>
      <c r="G45" s="12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customHeight="1" x14ac:dyDescent="0.35">
      <c r="A51" s="11"/>
      <c r="B51" s="11"/>
      <c r="C51" s="11"/>
      <c r="D51" s="5"/>
      <c r="E51" s="8"/>
      <c r="F51" s="12"/>
      <c r="G51" s="12"/>
      <c r="H51" s="5"/>
      <c r="I51" s="5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customHeight="1" x14ac:dyDescent="0.35">
      <c r="A53" s="11"/>
      <c r="B53" s="11"/>
      <c r="C53" s="11"/>
      <c r="D53" s="5"/>
      <c r="E53" s="8"/>
      <c r="F53" s="12"/>
      <c r="G53" s="12">
        <f t="shared" ref="G3:G76" si="0">IF(OR(C53 = "",C53="PENDENTE"), 0, IF(OR(C53&lt;=B53,H53=1),F53,(F53*0.1966/100)*(C53-B53)+F53))</f>
        <v>0</v>
      </c>
      <c r="H53" s="5"/>
      <c r="I53" s="5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" customHeight="1" x14ac:dyDescent="0.35">
      <c r="A54" s="11"/>
      <c r="B54" s="11"/>
      <c r="C54" s="11"/>
      <c r="D54" s="5"/>
      <c r="E54" s="8"/>
      <c r="F54" s="12"/>
      <c r="G54" s="12">
        <f t="shared" si="0"/>
        <v>0</v>
      </c>
      <c r="H54" s="5"/>
      <c r="I54" s="5"/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customHeight="1" x14ac:dyDescent="0.35">
      <c r="A55" s="11"/>
      <c r="B55" s="11"/>
      <c r="C55" s="11"/>
      <c r="D55" s="5"/>
      <c r="E55" s="8"/>
      <c r="F55" s="12"/>
      <c r="G55" s="12">
        <f t="shared" si="0"/>
        <v>0</v>
      </c>
      <c r="H55" s="5"/>
      <c r="I55" s="5"/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" customHeight="1" x14ac:dyDescent="0.35">
      <c r="A56" s="11"/>
      <c r="B56" s="11"/>
      <c r="C56" s="11"/>
      <c r="D56" s="5"/>
      <c r="E56" s="8"/>
      <c r="F56" s="12"/>
      <c r="G56" s="12">
        <f t="shared" si="0"/>
        <v>0</v>
      </c>
      <c r="H56" s="5"/>
      <c r="I56" s="5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customHeight="1" x14ac:dyDescent="0.35">
      <c r="A57" s="11"/>
      <c r="B57" s="11"/>
      <c r="C57" s="11"/>
      <c r="D57" s="5"/>
      <c r="E57" s="8"/>
      <c r="F57" s="12"/>
      <c r="G57" s="12">
        <f t="shared" si="0"/>
        <v>0</v>
      </c>
      <c r="H57" s="5"/>
      <c r="I57" s="5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" customHeight="1" x14ac:dyDescent="0.35">
      <c r="A58" s="11"/>
      <c r="B58" s="11"/>
      <c r="C58" s="11"/>
      <c r="D58" s="5"/>
      <c r="E58" s="8"/>
      <c r="F58" s="12"/>
      <c r="G58" s="12">
        <f t="shared" si="0"/>
        <v>0</v>
      </c>
      <c r="H58" s="5"/>
      <c r="I58" s="5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customHeight="1" x14ac:dyDescent="0.35">
      <c r="A59" s="11"/>
      <c r="B59" s="11"/>
      <c r="C59" s="11"/>
      <c r="D59" s="5"/>
      <c r="E59" s="8"/>
      <c r="F59" s="12"/>
      <c r="G59" s="12">
        <f t="shared" si="0"/>
        <v>0</v>
      </c>
      <c r="H59" s="5"/>
      <c r="I59" s="5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" customHeight="1" x14ac:dyDescent="0.35">
      <c r="A60" s="11"/>
      <c r="B60" s="11"/>
      <c r="C60" s="11"/>
      <c r="D60" s="5"/>
      <c r="E60" s="8"/>
      <c r="F60" s="12"/>
      <c r="G60" s="12">
        <f t="shared" si="0"/>
        <v>0</v>
      </c>
      <c r="H60" s="5"/>
      <c r="I60" s="5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customHeight="1" x14ac:dyDescent="0.35">
      <c r="A61" s="11"/>
      <c r="B61" s="11"/>
      <c r="C61" s="11"/>
      <c r="D61" s="5"/>
      <c r="E61" s="8"/>
      <c r="F61" s="12"/>
      <c r="G61" s="12">
        <f t="shared" si="0"/>
        <v>0</v>
      </c>
      <c r="H61" s="5"/>
      <c r="I61" s="5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customHeight="1" x14ac:dyDescent="0.35">
      <c r="A62" s="11"/>
      <c r="B62" s="11"/>
      <c r="C62" s="11"/>
      <c r="D62" s="5"/>
      <c r="E62" s="8"/>
      <c r="F62" s="12"/>
      <c r="G62" s="12">
        <f t="shared" si="0"/>
        <v>0</v>
      </c>
      <c r="H62" s="5"/>
      <c r="I62" s="5"/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" customHeight="1" x14ac:dyDescent="0.35">
      <c r="A63" s="11"/>
      <c r="B63" s="11"/>
      <c r="C63" s="11"/>
      <c r="D63" s="5"/>
      <c r="E63" s="8"/>
      <c r="F63" s="12"/>
      <c r="G63" s="12">
        <f t="shared" si="0"/>
        <v>0</v>
      </c>
      <c r="H63" s="5"/>
      <c r="I63" s="5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customHeight="1" x14ac:dyDescent="0.35">
      <c r="A77" s="19"/>
      <c r="B77" s="19"/>
      <c r="C77" s="19"/>
      <c r="D77" s="18"/>
      <c r="E77" s="20"/>
      <c r="F77" s="21">
        <f t="shared" ref="F77:G77" si="1">SUM(F3:F76)</f>
        <v>0</v>
      </c>
      <c r="G77" s="21">
        <f t="shared" si="1"/>
        <v>0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" customHeight="1" x14ac:dyDescent="0.35">
      <c r="A78" s="19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customHeight="1" x14ac:dyDescent="0.35">
      <c r="A79" s="19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customHeight="1" x14ac:dyDescent="0.35">
      <c r="A80" s="19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" customHeight="1" x14ac:dyDescent="0.35">
      <c r="A81" s="19"/>
      <c r="B81" s="19"/>
      <c r="C81" s="19"/>
      <c r="D81" s="18"/>
      <c r="E81" s="20"/>
      <c r="F81" s="23"/>
      <c r="G81" s="23"/>
      <c r="H81" s="18"/>
      <c r="I81" s="18"/>
      <c r="J81" s="18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" customHeight="1" x14ac:dyDescent="0.35">
      <c r="A82" s="19"/>
      <c r="B82" s="19"/>
      <c r="C82" s="19"/>
      <c r="D82" s="18"/>
      <c r="E82" s="20"/>
      <c r="F82" s="23"/>
      <c r="G82" s="23"/>
      <c r="H82" s="18"/>
      <c r="I82" s="18"/>
      <c r="J82" s="18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" customHeight="1" x14ac:dyDescent="0.35">
      <c r="A83" s="19"/>
      <c r="B83" s="19"/>
      <c r="C83" s="19"/>
      <c r="D83" s="18"/>
      <c r="E83" s="20"/>
      <c r="F83" s="23"/>
      <c r="G83" s="23"/>
      <c r="H83" s="18"/>
      <c r="I83" s="18"/>
      <c r="J83" s="18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" customHeight="1" x14ac:dyDescent="0.35">
      <c r="A84" s="19"/>
      <c r="B84" s="19"/>
      <c r="C84" s="19"/>
      <c r="D84" s="18"/>
      <c r="E84" s="20"/>
      <c r="F84" s="23"/>
      <c r="G84" s="23"/>
      <c r="H84" s="18"/>
      <c r="I84" s="18"/>
      <c r="J84" s="18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" customHeight="1" x14ac:dyDescent="0.35">
      <c r="A85" s="19"/>
      <c r="B85" s="19"/>
      <c r="C85" s="19"/>
      <c r="D85" s="18"/>
      <c r="E85" s="20"/>
      <c r="F85" s="23"/>
      <c r="G85" s="23"/>
      <c r="H85" s="18"/>
      <c r="I85" s="18"/>
      <c r="J85" s="18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" customHeight="1" x14ac:dyDescent="0.35">
      <c r="A86" s="19"/>
      <c r="B86" s="19"/>
      <c r="C86" s="19"/>
      <c r="D86" s="18"/>
      <c r="E86" s="20"/>
      <c r="F86" s="23"/>
      <c r="G86" s="23"/>
      <c r="H86" s="18"/>
      <c r="I86" s="18"/>
      <c r="J86" s="18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" customHeight="1" x14ac:dyDescent="0.35">
      <c r="A87" s="19"/>
      <c r="B87" s="19"/>
      <c r="C87" s="19"/>
      <c r="D87" s="18"/>
      <c r="E87" s="20"/>
      <c r="F87" s="23"/>
      <c r="G87" s="23"/>
      <c r="H87" s="18"/>
      <c r="I87" s="18"/>
      <c r="J87" s="18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" customHeight="1" x14ac:dyDescent="0.35">
      <c r="A88" s="19"/>
      <c r="B88" s="19"/>
      <c r="C88" s="19"/>
      <c r="D88" s="18"/>
      <c r="E88" s="20"/>
      <c r="F88" s="23"/>
      <c r="G88" s="23"/>
      <c r="H88" s="18"/>
      <c r="I88" s="18"/>
      <c r="J88" s="18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" customHeight="1" x14ac:dyDescent="0.35">
      <c r="A89" s="19"/>
      <c r="B89" s="19"/>
      <c r="C89" s="19"/>
      <c r="D89" s="18"/>
      <c r="E89" s="20"/>
      <c r="F89" s="23"/>
      <c r="G89" s="23"/>
      <c r="H89" s="18"/>
      <c r="I89" s="18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" customHeight="1" x14ac:dyDescent="0.35">
      <c r="A90" s="19"/>
      <c r="B90" s="19"/>
      <c r="C90" s="19"/>
      <c r="D90" s="18"/>
      <c r="E90" s="20"/>
      <c r="F90" s="23"/>
      <c r="G90" s="23"/>
      <c r="H90" s="18"/>
      <c r="I90" s="18"/>
      <c r="J90" s="18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" customHeight="1" x14ac:dyDescent="0.35">
      <c r="A91" s="19"/>
      <c r="B91" s="19"/>
      <c r="C91" s="19"/>
      <c r="D91" s="18"/>
      <c r="E91" s="20"/>
      <c r="F91" s="23"/>
      <c r="G91" s="23"/>
      <c r="H91" s="18"/>
      <c r="I91" s="18"/>
      <c r="J91" s="18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" customHeight="1" x14ac:dyDescent="0.35">
      <c r="A92" s="19"/>
      <c r="B92" s="19"/>
      <c r="C92" s="19"/>
      <c r="D92" s="18"/>
      <c r="E92" s="20"/>
      <c r="F92" s="23"/>
      <c r="G92" s="23"/>
      <c r="H92" s="18"/>
      <c r="I92" s="18"/>
      <c r="J92" s="18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" customHeight="1" x14ac:dyDescent="0.35">
      <c r="A93" s="19"/>
      <c r="B93" s="19"/>
      <c r="C93" s="19"/>
      <c r="D93" s="18"/>
      <c r="E93" s="20"/>
      <c r="F93" s="23"/>
      <c r="G93" s="23"/>
      <c r="H93" s="18"/>
      <c r="I93" s="18"/>
      <c r="J93" s="18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" customHeight="1" x14ac:dyDescent="0.35">
      <c r="A94" s="19"/>
      <c r="B94" s="19"/>
      <c r="C94" s="19"/>
      <c r="D94" s="18"/>
      <c r="E94" s="20"/>
      <c r="F94" s="23"/>
      <c r="G94" s="23"/>
      <c r="H94" s="18"/>
      <c r="I94" s="18"/>
      <c r="J94" s="18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" customHeight="1" x14ac:dyDescent="0.35">
      <c r="A95" s="19"/>
      <c r="B95" s="19"/>
      <c r="C95" s="19"/>
      <c r="D95" s="18"/>
      <c r="E95" s="20"/>
      <c r="F95" s="23"/>
      <c r="G95" s="23"/>
      <c r="H95" s="18"/>
      <c r="I95" s="18"/>
      <c r="J95" s="18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" customHeight="1" x14ac:dyDescent="0.35">
      <c r="A96" s="19"/>
      <c r="B96" s="19"/>
      <c r="C96" s="19"/>
      <c r="D96" s="18"/>
      <c r="E96" s="20"/>
      <c r="F96" s="23"/>
      <c r="G96" s="23"/>
      <c r="H96" s="18"/>
      <c r="I96" s="18"/>
      <c r="J96" s="18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" customHeight="1" x14ac:dyDescent="0.35">
      <c r="A97" s="19"/>
      <c r="B97" s="19"/>
      <c r="C97" s="19"/>
      <c r="D97" s="18"/>
      <c r="E97" s="20"/>
      <c r="F97" s="23"/>
      <c r="G97" s="23"/>
      <c r="H97" s="18"/>
      <c r="I97" s="18"/>
      <c r="J97" s="18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" customHeight="1" x14ac:dyDescent="0.35">
      <c r="A98" s="19"/>
      <c r="B98" s="19"/>
      <c r="C98" s="19"/>
      <c r="D98" s="18"/>
      <c r="E98" s="20"/>
      <c r="F98" s="23"/>
      <c r="G98" s="23"/>
      <c r="H98" s="18"/>
      <c r="I98" s="18"/>
      <c r="J98" s="18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" customHeight="1" x14ac:dyDescent="0.35">
      <c r="A99" s="19"/>
      <c r="B99" s="19"/>
      <c r="C99" s="19"/>
      <c r="D99" s="18"/>
      <c r="E99" s="20"/>
      <c r="F99" s="23"/>
      <c r="G99" s="23"/>
      <c r="H99" s="18"/>
      <c r="I99" s="18"/>
      <c r="J99" s="18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" customHeight="1" x14ac:dyDescent="0.35">
      <c r="A100" s="19"/>
      <c r="B100" s="19"/>
      <c r="C100" s="19"/>
      <c r="D100" s="18"/>
      <c r="E100" s="20"/>
      <c r="F100" s="23"/>
      <c r="G100" s="23"/>
      <c r="H100" s="18"/>
      <c r="I100" s="18"/>
      <c r="J100" s="18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" customHeight="1" x14ac:dyDescent="0.35">
      <c r="A101" s="19"/>
      <c r="B101" s="19"/>
      <c r="C101" s="19"/>
      <c r="D101" s="18"/>
      <c r="E101" s="20"/>
      <c r="F101" s="23"/>
      <c r="G101" s="23"/>
      <c r="H101" s="18"/>
      <c r="I101" s="18"/>
      <c r="J101" s="18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" customHeight="1" x14ac:dyDescent="0.35">
      <c r="A102" s="19"/>
      <c r="B102" s="19"/>
      <c r="C102" s="19"/>
      <c r="D102" s="18"/>
      <c r="E102" s="20"/>
      <c r="F102" s="23"/>
      <c r="G102" s="23"/>
      <c r="H102" s="18"/>
      <c r="I102" s="18"/>
      <c r="J102" s="18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" customHeight="1" x14ac:dyDescent="0.35">
      <c r="A103" s="19"/>
      <c r="B103" s="19"/>
      <c r="C103" s="19"/>
      <c r="D103" s="18"/>
      <c r="E103" s="20"/>
      <c r="F103" s="23"/>
      <c r="G103" s="23"/>
      <c r="H103" s="18"/>
      <c r="I103" s="18"/>
      <c r="J103" s="18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" customHeight="1" x14ac:dyDescent="0.35">
      <c r="A104" s="19"/>
      <c r="B104" s="19"/>
      <c r="C104" s="19"/>
      <c r="D104" s="18"/>
      <c r="E104" s="20"/>
      <c r="F104" s="23"/>
      <c r="G104" s="23"/>
      <c r="H104" s="18"/>
      <c r="I104" s="18"/>
      <c r="J104" s="18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" customHeight="1" x14ac:dyDescent="0.35">
      <c r="A105" s="19"/>
      <c r="B105" s="19"/>
      <c r="C105" s="19"/>
      <c r="D105" s="18"/>
      <c r="E105" s="20"/>
      <c r="F105" s="23"/>
      <c r="G105" s="23"/>
      <c r="H105" s="18"/>
      <c r="I105" s="18"/>
      <c r="J105" s="18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" customHeight="1" x14ac:dyDescent="0.35">
      <c r="A106" s="19"/>
      <c r="B106" s="19"/>
      <c r="C106" s="19"/>
      <c r="D106" s="18"/>
      <c r="E106" s="20"/>
      <c r="F106" s="23"/>
      <c r="G106" s="23"/>
      <c r="H106" s="18"/>
      <c r="I106" s="18"/>
      <c r="J106" s="18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" customHeight="1" x14ac:dyDescent="0.35">
      <c r="A107" s="19"/>
      <c r="B107" s="19"/>
      <c r="C107" s="19"/>
      <c r="D107" s="18"/>
      <c r="E107" s="20"/>
      <c r="F107" s="23"/>
      <c r="G107" s="23"/>
      <c r="H107" s="18"/>
      <c r="I107" s="18"/>
      <c r="J107" s="18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" customHeight="1" x14ac:dyDescent="0.35">
      <c r="A108" s="19"/>
      <c r="B108" s="19"/>
      <c r="C108" s="19"/>
      <c r="D108" s="18"/>
      <c r="E108" s="20"/>
      <c r="F108" s="23"/>
      <c r="G108" s="23"/>
      <c r="H108" s="18"/>
      <c r="I108" s="18"/>
      <c r="J108" s="18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" customHeight="1" x14ac:dyDescent="0.35">
      <c r="A109" s="19"/>
      <c r="B109" s="19"/>
      <c r="C109" s="19"/>
      <c r="D109" s="18"/>
      <c r="E109" s="20"/>
      <c r="F109" s="23"/>
      <c r="G109" s="23"/>
      <c r="H109" s="18"/>
      <c r="I109" s="18"/>
      <c r="J109" s="18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" customHeight="1" x14ac:dyDescent="0.35">
      <c r="A110" s="19"/>
      <c r="B110" s="19"/>
      <c r="C110" s="19"/>
      <c r="D110" s="18"/>
      <c r="E110" s="20"/>
      <c r="F110" s="23"/>
      <c r="G110" s="23"/>
      <c r="H110" s="18"/>
      <c r="I110" s="18"/>
      <c r="J110" s="18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" customHeight="1" x14ac:dyDescent="0.35">
      <c r="A111" s="19"/>
      <c r="B111" s="19"/>
      <c r="C111" s="19"/>
      <c r="D111" s="18"/>
      <c r="E111" s="20"/>
      <c r="F111" s="23"/>
      <c r="G111" s="23"/>
      <c r="H111" s="18"/>
      <c r="I111" s="18"/>
      <c r="J111" s="18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" customHeight="1" x14ac:dyDescent="0.35">
      <c r="A112" s="19"/>
      <c r="B112" s="19"/>
      <c r="C112" s="19"/>
      <c r="D112" s="18"/>
      <c r="E112" s="20"/>
      <c r="F112" s="23"/>
      <c r="G112" s="23"/>
      <c r="H112" s="18"/>
      <c r="I112" s="18"/>
      <c r="J112" s="18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" customHeight="1" x14ac:dyDescent="0.35">
      <c r="A113" s="19"/>
      <c r="B113" s="19"/>
      <c r="C113" s="19"/>
      <c r="D113" s="18"/>
      <c r="E113" s="20"/>
      <c r="F113" s="23"/>
      <c r="G113" s="23"/>
      <c r="H113" s="18"/>
      <c r="I113" s="18"/>
      <c r="J113" s="18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" customHeight="1" x14ac:dyDescent="0.35">
      <c r="A114" s="19"/>
      <c r="B114" s="19"/>
      <c r="C114" s="19"/>
      <c r="D114" s="18"/>
      <c r="E114" s="20"/>
      <c r="F114" s="23"/>
      <c r="G114" s="23"/>
      <c r="H114" s="18"/>
      <c r="I114" s="18"/>
      <c r="J114" s="18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" customHeight="1" x14ac:dyDescent="0.35">
      <c r="A115" s="19"/>
      <c r="B115" s="19"/>
      <c r="C115" s="19"/>
      <c r="D115" s="18"/>
      <c r="E115" s="20"/>
      <c r="F115" s="23"/>
      <c r="G115" s="23"/>
      <c r="H115" s="18"/>
      <c r="I115" s="18"/>
      <c r="J115" s="18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" customHeight="1" x14ac:dyDescent="0.35">
      <c r="A116" s="19"/>
      <c r="B116" s="19"/>
      <c r="C116" s="19"/>
      <c r="D116" s="18"/>
      <c r="E116" s="20"/>
      <c r="F116" s="23"/>
      <c r="G116" s="23"/>
      <c r="H116" s="18"/>
      <c r="I116" s="18"/>
      <c r="J116" s="18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" customHeight="1" x14ac:dyDescent="0.35">
      <c r="A117" s="19"/>
      <c r="B117" s="19"/>
      <c r="C117" s="19"/>
      <c r="D117" s="18"/>
      <c r="E117" s="20"/>
      <c r="F117" s="23"/>
      <c r="G117" s="23"/>
      <c r="H117" s="18"/>
      <c r="I117" s="18"/>
      <c r="J117" s="18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" customHeight="1" x14ac:dyDescent="0.35">
      <c r="A118" s="19"/>
      <c r="B118" s="19"/>
      <c r="C118" s="19"/>
      <c r="D118" s="18"/>
      <c r="E118" s="20"/>
      <c r="F118" s="23"/>
      <c r="G118" s="23"/>
      <c r="H118" s="18"/>
      <c r="I118" s="18"/>
      <c r="J118" s="18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" customHeight="1" x14ac:dyDescent="0.35">
      <c r="A119" s="19"/>
      <c r="B119" s="19"/>
      <c r="C119" s="19"/>
      <c r="D119" s="18"/>
      <c r="E119" s="20"/>
      <c r="F119" s="23"/>
      <c r="G119" s="23"/>
      <c r="H119" s="18"/>
      <c r="I119" s="18"/>
      <c r="J119" s="18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" customHeight="1" x14ac:dyDescent="0.35">
      <c r="A120" s="19"/>
      <c r="B120" s="19"/>
      <c r="C120" s="19"/>
      <c r="D120" s="18"/>
      <c r="E120" s="20"/>
      <c r="F120" s="23"/>
      <c r="G120" s="23"/>
      <c r="H120" s="18"/>
      <c r="I120" s="18"/>
      <c r="J120" s="18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" customHeight="1" x14ac:dyDescent="0.35">
      <c r="A121" s="19"/>
      <c r="B121" s="19"/>
      <c r="C121" s="19"/>
      <c r="D121" s="18"/>
      <c r="E121" s="20"/>
      <c r="F121" s="23"/>
      <c r="G121" s="23"/>
      <c r="H121" s="18"/>
      <c r="I121" s="18"/>
      <c r="J121" s="18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" customHeight="1" x14ac:dyDescent="0.35">
      <c r="A122" s="19"/>
      <c r="B122" s="19"/>
      <c r="C122" s="19"/>
      <c r="D122" s="18"/>
      <c r="E122" s="20"/>
      <c r="F122" s="23"/>
      <c r="G122" s="23"/>
      <c r="H122" s="18"/>
      <c r="I122" s="18"/>
      <c r="J122" s="18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" customHeight="1" x14ac:dyDescent="0.35">
      <c r="A123" s="19"/>
      <c r="B123" s="19"/>
      <c r="C123" s="19"/>
      <c r="D123" s="18"/>
      <c r="E123" s="20"/>
      <c r="F123" s="23"/>
      <c r="G123" s="23"/>
      <c r="H123" s="18"/>
      <c r="I123" s="18"/>
      <c r="J123" s="18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" customHeight="1" x14ac:dyDescent="0.35">
      <c r="A124" s="25"/>
      <c r="B124" s="25"/>
      <c r="C124" s="25"/>
      <c r="D124" s="26"/>
      <c r="E124" s="27"/>
      <c r="F124" s="28"/>
      <c r="G124" s="28"/>
      <c r="H124" s="26"/>
      <c r="I124" s="26"/>
      <c r="J124" s="26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" customHeight="1" x14ac:dyDescent="0.35">
      <c r="A125" s="19"/>
      <c r="B125" s="19"/>
      <c r="C125" s="19"/>
      <c r="D125" s="18"/>
      <c r="E125" s="20"/>
      <c r="F125" s="23"/>
      <c r="G125" s="23"/>
      <c r="H125" s="18"/>
      <c r="I125" s="18"/>
      <c r="J125" s="18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" customHeight="1" x14ac:dyDescent="0.35">
      <c r="A126" s="19"/>
      <c r="B126" s="19"/>
      <c r="C126" s="19"/>
      <c r="D126" s="18"/>
      <c r="E126" s="20"/>
      <c r="F126" s="23"/>
      <c r="G126" s="23"/>
      <c r="H126" s="18"/>
      <c r="I126" s="18"/>
      <c r="J126" s="18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" customHeight="1" x14ac:dyDescent="0.35">
      <c r="A127" s="19"/>
      <c r="B127" s="19"/>
      <c r="C127" s="19"/>
      <c r="D127" s="18"/>
      <c r="E127" s="20"/>
      <c r="F127" s="23"/>
      <c r="G127" s="23"/>
      <c r="H127" s="18"/>
      <c r="I127" s="18"/>
      <c r="J127" s="18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" customHeight="1" x14ac:dyDescent="0.35">
      <c r="A128" s="19"/>
      <c r="B128" s="19"/>
      <c r="C128" s="19"/>
      <c r="D128" s="18"/>
      <c r="E128" s="20"/>
      <c r="F128" s="23"/>
      <c r="G128" s="23"/>
      <c r="H128" s="18"/>
      <c r="I128" s="18"/>
      <c r="J128" s="18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" customHeight="1" x14ac:dyDescent="0.35">
      <c r="A129" s="19"/>
      <c r="B129" s="19"/>
      <c r="C129" s="19"/>
      <c r="D129" s="18"/>
      <c r="E129" s="20"/>
      <c r="F129" s="23"/>
      <c r="G129" s="23"/>
      <c r="H129" s="18"/>
      <c r="I129" s="18"/>
      <c r="J129" s="18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" customHeight="1" x14ac:dyDescent="0.35">
      <c r="A130" s="19"/>
      <c r="B130" s="19"/>
      <c r="C130" s="19"/>
      <c r="D130" s="18"/>
      <c r="E130" s="20"/>
      <c r="F130" s="23"/>
      <c r="G130" s="23"/>
      <c r="H130" s="18"/>
      <c r="I130" s="18"/>
      <c r="J130" s="18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" customHeight="1" x14ac:dyDescent="0.35">
      <c r="A131" s="19"/>
      <c r="B131" s="19"/>
      <c r="C131" s="19"/>
      <c r="D131" s="18"/>
      <c r="E131" s="20"/>
      <c r="F131" s="23"/>
      <c r="G131" s="23"/>
      <c r="H131" s="18"/>
      <c r="I131" s="18"/>
      <c r="J131" s="18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" customHeight="1" x14ac:dyDescent="0.35">
      <c r="A132" s="25"/>
      <c r="B132" s="25"/>
      <c r="C132" s="25"/>
      <c r="D132" s="26"/>
      <c r="E132" s="27"/>
      <c r="F132" s="28"/>
      <c r="G132" s="28"/>
      <c r="H132" s="26"/>
      <c r="I132" s="26"/>
      <c r="J132" s="26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" customHeight="1" x14ac:dyDescent="0.35">
      <c r="A133" s="19"/>
      <c r="B133" s="19"/>
      <c r="C133" s="19"/>
      <c r="D133" s="18"/>
      <c r="E133" s="20"/>
      <c r="F133" s="23"/>
      <c r="G133" s="30"/>
      <c r="H133" s="24"/>
      <c r="I133" s="18"/>
      <c r="J133" s="24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" customHeight="1" x14ac:dyDescent="0.35">
      <c r="A134" s="19"/>
      <c r="B134" s="19"/>
      <c r="C134" s="19"/>
      <c r="D134" s="18"/>
      <c r="E134" s="20"/>
      <c r="F134" s="23"/>
      <c r="G134" s="23"/>
      <c r="H134" s="18"/>
      <c r="I134" s="18"/>
      <c r="J134" s="18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" customHeight="1" x14ac:dyDescent="0.35">
      <c r="A135" s="19"/>
      <c r="B135" s="19"/>
      <c r="C135" s="19"/>
      <c r="D135" s="18"/>
      <c r="E135" s="20"/>
      <c r="F135" s="23"/>
      <c r="G135" s="23"/>
      <c r="H135" s="18"/>
      <c r="I135" s="18"/>
      <c r="J135" s="18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" customHeight="1" x14ac:dyDescent="0.35">
      <c r="A136" s="19"/>
      <c r="B136" s="19"/>
      <c r="C136" s="19"/>
      <c r="D136" s="18"/>
      <c r="E136" s="20"/>
      <c r="F136" s="23"/>
      <c r="G136" s="23"/>
      <c r="H136" s="18"/>
      <c r="I136" s="18"/>
      <c r="J136" s="18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" customHeight="1" x14ac:dyDescent="0.35">
      <c r="A137" s="19"/>
      <c r="B137" s="19"/>
      <c r="C137" s="19"/>
      <c r="D137" s="18"/>
      <c r="E137" s="20"/>
      <c r="F137" s="23"/>
      <c r="G137" s="23"/>
      <c r="H137" s="18"/>
      <c r="I137" s="18"/>
      <c r="J137" s="18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" customHeight="1" x14ac:dyDescent="0.35">
      <c r="A138" s="19"/>
      <c r="B138" s="19"/>
      <c r="C138" s="19"/>
      <c r="D138" s="18"/>
      <c r="E138" s="20"/>
      <c r="F138" s="23"/>
      <c r="G138" s="23"/>
      <c r="H138" s="18"/>
      <c r="I138" s="18"/>
      <c r="J138" s="18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" customHeight="1" x14ac:dyDescent="0.35">
      <c r="A139" s="19"/>
      <c r="B139" s="19"/>
      <c r="C139" s="19"/>
      <c r="D139" s="18"/>
      <c r="E139" s="20"/>
      <c r="F139" s="23"/>
      <c r="G139" s="23"/>
      <c r="H139" s="18"/>
      <c r="I139" s="18"/>
      <c r="J139" s="18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" customHeight="1" x14ac:dyDescent="0.35">
      <c r="A140" s="19"/>
      <c r="B140" s="19"/>
      <c r="C140" s="19"/>
      <c r="D140" s="18"/>
      <c r="E140" s="20"/>
      <c r="F140" s="23"/>
      <c r="G140" s="23"/>
      <c r="H140" s="18"/>
      <c r="I140" s="18"/>
      <c r="J140" s="18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" customHeight="1" x14ac:dyDescent="0.35">
      <c r="A141" s="19"/>
      <c r="B141" s="19"/>
      <c r="C141" s="19"/>
      <c r="D141" s="18"/>
      <c r="E141" s="20"/>
      <c r="F141" s="23"/>
      <c r="G141" s="23"/>
      <c r="H141" s="18"/>
      <c r="I141" s="18"/>
      <c r="J141" s="18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" customHeight="1" x14ac:dyDescent="0.35">
      <c r="A142" s="19"/>
      <c r="B142" s="19"/>
      <c r="C142" s="19"/>
      <c r="D142" s="18"/>
      <c r="E142" s="20"/>
      <c r="F142" s="23"/>
      <c r="G142" s="23"/>
      <c r="H142" s="18"/>
      <c r="I142" s="18"/>
      <c r="J142" s="18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" customHeight="1" x14ac:dyDescent="0.35">
      <c r="A143" s="19"/>
      <c r="B143" s="19"/>
      <c r="C143" s="19"/>
      <c r="D143" s="18"/>
      <c r="E143" s="20"/>
      <c r="F143" s="23"/>
      <c r="G143" s="23"/>
      <c r="H143" s="18"/>
      <c r="I143" s="18"/>
      <c r="J143" s="18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" customHeight="1" x14ac:dyDescent="0.35">
      <c r="A144" s="19"/>
      <c r="B144" s="19"/>
      <c r="C144" s="19"/>
      <c r="D144" s="18"/>
      <c r="E144" s="20"/>
      <c r="F144" s="23"/>
      <c r="G144" s="23"/>
      <c r="H144" s="18"/>
      <c r="I144" s="18"/>
      <c r="J144" s="18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" customHeight="1" x14ac:dyDescent="0.35">
      <c r="A145" s="19"/>
      <c r="B145" s="19"/>
      <c r="C145" s="19"/>
      <c r="D145" s="18"/>
      <c r="E145" s="20"/>
      <c r="F145" s="23"/>
      <c r="G145" s="23"/>
      <c r="H145" s="18"/>
      <c r="I145" s="18"/>
      <c r="J145" s="18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" customHeight="1" x14ac:dyDescent="0.35">
      <c r="A146" s="19"/>
      <c r="B146" s="19"/>
      <c r="C146" s="19"/>
      <c r="D146" s="18"/>
      <c r="E146" s="20"/>
      <c r="F146" s="23"/>
      <c r="G146" s="23"/>
      <c r="H146" s="18"/>
      <c r="I146" s="18"/>
      <c r="J146" s="18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" customHeight="1" x14ac:dyDescent="0.35">
      <c r="A147" s="19"/>
      <c r="B147" s="19"/>
      <c r="C147" s="19"/>
      <c r="D147" s="18"/>
      <c r="E147" s="20"/>
      <c r="F147" s="23"/>
      <c r="G147" s="23"/>
      <c r="H147" s="18"/>
      <c r="I147" s="18"/>
      <c r="J147" s="18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" customHeight="1" x14ac:dyDescent="0.35">
      <c r="A148" s="19"/>
      <c r="B148" s="19"/>
      <c r="C148" s="19"/>
      <c r="D148" s="18"/>
      <c r="E148" s="20"/>
      <c r="F148" s="23"/>
      <c r="G148" s="23"/>
      <c r="H148" s="18"/>
      <c r="I148" s="18"/>
      <c r="J148" s="18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" customHeight="1" x14ac:dyDescent="0.35">
      <c r="A149" s="19"/>
      <c r="B149" s="19"/>
      <c r="C149" s="19"/>
      <c r="D149" s="18"/>
      <c r="E149" s="20"/>
      <c r="F149" s="23"/>
      <c r="G149" s="23"/>
      <c r="H149" s="18"/>
      <c r="I149" s="18"/>
      <c r="J149" s="18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" customHeight="1" x14ac:dyDescent="0.35">
      <c r="A150" s="19"/>
      <c r="B150" s="19"/>
      <c r="C150" s="19"/>
      <c r="D150" s="18"/>
      <c r="E150" s="20"/>
      <c r="F150" s="23"/>
      <c r="G150" s="23"/>
      <c r="H150" s="18"/>
      <c r="I150" s="18"/>
      <c r="J150" s="18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" customHeight="1" x14ac:dyDescent="0.35">
      <c r="A151" s="19"/>
      <c r="B151" s="19"/>
      <c r="C151" s="19"/>
      <c r="D151" s="18"/>
      <c r="E151" s="20"/>
      <c r="F151" s="23"/>
      <c r="G151" s="23"/>
      <c r="H151" s="18"/>
      <c r="I151" s="18"/>
      <c r="J151" s="18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" customHeight="1" x14ac:dyDescent="0.35">
      <c r="A152" s="19"/>
      <c r="B152" s="19"/>
      <c r="C152" s="19"/>
      <c r="D152" s="18"/>
      <c r="E152" s="20"/>
      <c r="F152" s="23"/>
      <c r="G152" s="23"/>
      <c r="H152" s="18"/>
      <c r="I152" s="18"/>
      <c r="J152" s="18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" customHeight="1" x14ac:dyDescent="0.35">
      <c r="A153" s="19"/>
      <c r="B153" s="19"/>
      <c r="C153" s="19"/>
      <c r="D153" s="18"/>
      <c r="E153" s="20"/>
      <c r="F153" s="23"/>
      <c r="G153" s="23"/>
      <c r="H153" s="18"/>
      <c r="I153" s="18"/>
      <c r="J153" s="18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" customHeight="1" x14ac:dyDescent="0.35">
      <c r="A154" s="19"/>
      <c r="B154" s="19"/>
      <c r="C154" s="19"/>
      <c r="D154" s="18"/>
      <c r="E154" s="20"/>
      <c r="F154" s="23"/>
      <c r="G154" s="23"/>
      <c r="H154" s="18"/>
      <c r="I154" s="18"/>
      <c r="J154" s="18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" customHeight="1" x14ac:dyDescent="0.35">
      <c r="A155" s="19"/>
      <c r="B155" s="19"/>
      <c r="C155" s="19"/>
      <c r="D155" s="18"/>
      <c r="E155" s="20"/>
      <c r="F155" s="23"/>
      <c r="G155" s="23"/>
      <c r="H155" s="18"/>
      <c r="I155" s="18"/>
      <c r="J155" s="18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" customHeight="1" x14ac:dyDescent="0.35">
      <c r="A156" s="19"/>
      <c r="B156" s="19"/>
      <c r="C156" s="19"/>
      <c r="D156" s="18"/>
      <c r="E156" s="20"/>
      <c r="F156" s="23"/>
      <c r="G156" s="23"/>
      <c r="H156" s="18"/>
      <c r="I156" s="18"/>
      <c r="J156" s="18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" customHeight="1" x14ac:dyDescent="0.35">
      <c r="A157" s="19"/>
      <c r="B157" s="19"/>
      <c r="C157" s="19"/>
      <c r="D157" s="18"/>
      <c r="E157" s="20"/>
      <c r="F157" s="23"/>
      <c r="G157" s="23"/>
      <c r="H157" s="18"/>
      <c r="I157" s="18"/>
      <c r="J157" s="18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" customHeight="1" x14ac:dyDescent="0.35">
      <c r="A158" s="19"/>
      <c r="B158" s="19"/>
      <c r="C158" s="19"/>
      <c r="D158" s="18"/>
      <c r="E158" s="20"/>
      <c r="F158" s="23"/>
      <c r="G158" s="23"/>
      <c r="H158" s="18"/>
      <c r="I158" s="18"/>
      <c r="J158" s="18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" customHeight="1" x14ac:dyDescent="0.35">
      <c r="A159" s="19"/>
      <c r="B159" s="19"/>
      <c r="C159" s="19"/>
      <c r="D159" s="18"/>
      <c r="E159" s="20"/>
      <c r="F159" s="23"/>
      <c r="G159" s="23"/>
      <c r="H159" s="18"/>
      <c r="I159" s="18"/>
      <c r="J159" s="18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" customHeight="1" x14ac:dyDescent="0.35">
      <c r="A160" s="19"/>
      <c r="B160" s="19"/>
      <c r="C160" s="19"/>
      <c r="D160" s="18"/>
      <c r="E160" s="20"/>
      <c r="F160" s="23"/>
      <c r="G160" s="23"/>
      <c r="H160" s="18"/>
      <c r="I160" s="18"/>
      <c r="J160" s="18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" customHeight="1" x14ac:dyDescent="0.35">
      <c r="A161" s="19"/>
      <c r="B161" s="19"/>
      <c r="C161" s="19"/>
      <c r="D161" s="18"/>
      <c r="E161" s="20"/>
      <c r="F161" s="23"/>
      <c r="G161" s="23"/>
      <c r="H161" s="18"/>
      <c r="I161" s="18"/>
      <c r="J161" s="18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" customHeight="1" x14ac:dyDescent="0.35">
      <c r="A162" s="19"/>
      <c r="B162" s="19"/>
      <c r="C162" s="19"/>
      <c r="D162" s="18"/>
      <c r="E162" s="20"/>
      <c r="F162" s="23"/>
      <c r="G162" s="23"/>
      <c r="H162" s="18"/>
      <c r="I162" s="18"/>
      <c r="J162" s="18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" customHeight="1" x14ac:dyDescent="0.35">
      <c r="A163" s="19"/>
      <c r="B163" s="19"/>
      <c r="C163" s="19"/>
      <c r="D163" s="18"/>
      <c r="E163" s="20"/>
      <c r="F163" s="23"/>
      <c r="G163" s="23"/>
      <c r="H163" s="18"/>
      <c r="I163" s="18"/>
      <c r="J163" s="18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" customHeight="1" x14ac:dyDescent="0.35">
      <c r="A164" s="19"/>
      <c r="B164" s="19"/>
      <c r="C164" s="19"/>
      <c r="D164" s="18"/>
      <c r="E164" s="20"/>
      <c r="F164" s="23"/>
      <c r="G164" s="23"/>
      <c r="H164" s="18"/>
      <c r="I164" s="18"/>
      <c r="J164" s="18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" customHeight="1" x14ac:dyDescent="0.35">
      <c r="A165" s="19"/>
      <c r="B165" s="19"/>
      <c r="C165" s="19"/>
      <c r="D165" s="18"/>
      <c r="E165" s="20"/>
      <c r="F165" s="23"/>
      <c r="G165" s="23"/>
      <c r="H165" s="18"/>
      <c r="I165" s="18"/>
      <c r="J165" s="18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" customHeight="1" x14ac:dyDescent="0.35">
      <c r="A166" s="19"/>
      <c r="B166" s="19"/>
      <c r="C166" s="19"/>
      <c r="D166" s="18"/>
      <c r="E166" s="20"/>
      <c r="F166" s="23"/>
      <c r="G166" s="23"/>
      <c r="H166" s="18"/>
      <c r="I166" s="18"/>
      <c r="J166" s="18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" customHeight="1" x14ac:dyDescent="0.35">
      <c r="A167" s="19"/>
      <c r="B167" s="19"/>
      <c r="C167" s="19"/>
      <c r="D167" s="18"/>
      <c r="E167" s="20"/>
      <c r="F167" s="23"/>
      <c r="G167" s="23"/>
      <c r="H167" s="18"/>
      <c r="I167" s="18"/>
      <c r="J167" s="18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" customHeight="1" x14ac:dyDescent="0.35">
      <c r="A168" s="19"/>
      <c r="B168" s="19"/>
      <c r="C168" s="19"/>
      <c r="D168" s="18"/>
      <c r="E168" s="20"/>
      <c r="F168" s="23"/>
      <c r="G168" s="23"/>
      <c r="H168" s="18"/>
      <c r="I168" s="18"/>
      <c r="J168" s="18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" customHeight="1" x14ac:dyDescent="0.35">
      <c r="A169" s="19"/>
      <c r="B169" s="19"/>
      <c r="C169" s="19"/>
      <c r="D169" s="18"/>
      <c r="E169" s="20"/>
      <c r="F169" s="23"/>
      <c r="G169" s="23"/>
      <c r="H169" s="18"/>
      <c r="I169" s="18"/>
      <c r="J169" s="18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" customHeight="1" x14ac:dyDescent="0.35">
      <c r="A170" s="19"/>
      <c r="B170" s="19"/>
      <c r="C170" s="19"/>
      <c r="D170" s="18"/>
      <c r="E170" s="20"/>
      <c r="F170" s="23"/>
      <c r="G170" s="23"/>
      <c r="H170" s="18"/>
      <c r="I170" s="18"/>
      <c r="J170" s="18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" customHeight="1" x14ac:dyDescent="0.35">
      <c r="A171" s="19"/>
      <c r="B171" s="19"/>
      <c r="C171" s="19"/>
      <c r="D171" s="18"/>
      <c r="E171" s="20"/>
      <c r="F171" s="23"/>
      <c r="G171" s="23"/>
      <c r="H171" s="18"/>
      <c r="I171" s="18"/>
      <c r="J171" s="18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" customHeight="1" x14ac:dyDescent="0.35">
      <c r="A172" s="25"/>
      <c r="B172" s="25"/>
      <c r="C172" s="25"/>
      <c r="D172" s="26"/>
      <c r="E172" s="27"/>
      <c r="F172" s="28"/>
      <c r="G172" s="28"/>
      <c r="H172" s="26"/>
      <c r="I172" s="26"/>
      <c r="J172" s="26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" customHeight="1" x14ac:dyDescent="0.35">
      <c r="A173" s="19"/>
      <c r="B173" s="19"/>
      <c r="C173" s="19"/>
      <c r="D173" s="18"/>
      <c r="E173" s="20"/>
      <c r="F173" s="23"/>
      <c r="G173" s="23"/>
      <c r="H173" s="18"/>
      <c r="I173" s="18"/>
      <c r="J173" s="18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" customHeight="1" x14ac:dyDescent="0.35">
      <c r="A174" s="19"/>
      <c r="B174" s="19"/>
      <c r="C174" s="19"/>
      <c r="D174" s="18"/>
      <c r="E174" s="20"/>
      <c r="F174" s="23"/>
      <c r="G174" s="23"/>
      <c r="H174" s="18"/>
      <c r="I174" s="18"/>
      <c r="J174" s="18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" customHeight="1" x14ac:dyDescent="0.35">
      <c r="A175" s="19"/>
      <c r="B175" s="19"/>
      <c r="C175" s="19"/>
      <c r="D175" s="18"/>
      <c r="E175" s="20"/>
      <c r="F175" s="23"/>
      <c r="G175" s="23"/>
      <c r="H175" s="18"/>
      <c r="I175" s="18"/>
      <c r="J175" s="24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" customHeight="1" x14ac:dyDescent="0.35">
      <c r="A176" s="19"/>
      <c r="B176" s="19"/>
      <c r="C176" s="19"/>
      <c r="D176" s="18"/>
      <c r="E176" s="20"/>
      <c r="F176" s="23"/>
      <c r="G176" s="23"/>
      <c r="H176" s="18"/>
      <c r="I176" s="18"/>
      <c r="J176" s="24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" customHeight="1" x14ac:dyDescent="0.35">
      <c r="A177" s="19"/>
      <c r="B177" s="19"/>
      <c r="C177" s="19"/>
      <c r="D177" s="18"/>
      <c r="E177" s="20"/>
      <c r="F177" s="23"/>
      <c r="G177" s="23"/>
      <c r="H177" s="18"/>
      <c r="I177" s="18"/>
      <c r="J177" s="24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" customHeight="1" x14ac:dyDescent="0.35">
      <c r="A178" s="19"/>
      <c r="B178" s="19"/>
      <c r="C178" s="19"/>
      <c r="D178" s="18"/>
      <c r="E178" s="20"/>
      <c r="F178" s="23"/>
      <c r="G178" s="23"/>
      <c r="H178" s="18"/>
      <c r="I178" s="18"/>
      <c r="J178" s="24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" customHeight="1" x14ac:dyDescent="0.35">
      <c r="A179" s="19"/>
      <c r="B179" s="19"/>
      <c r="C179" s="19"/>
      <c r="D179" s="18"/>
      <c r="E179" s="20"/>
      <c r="F179" s="23"/>
      <c r="G179" s="23"/>
      <c r="H179" s="18"/>
      <c r="I179" s="18"/>
      <c r="J179" s="24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" customHeight="1" x14ac:dyDescent="0.35">
      <c r="A180" s="19"/>
      <c r="B180" s="19"/>
      <c r="C180" s="19"/>
      <c r="D180" s="18"/>
      <c r="E180" s="20"/>
      <c r="F180" s="23"/>
      <c r="G180" s="23"/>
      <c r="H180" s="18"/>
      <c r="I180" s="18"/>
      <c r="J180" s="24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" customHeight="1" x14ac:dyDescent="0.35">
      <c r="A181" s="19"/>
      <c r="B181" s="19"/>
      <c r="C181" s="19"/>
      <c r="D181" s="18"/>
      <c r="E181" s="20"/>
      <c r="F181" s="23"/>
      <c r="G181" s="23"/>
      <c r="H181" s="18"/>
      <c r="I181" s="18"/>
      <c r="J181" s="24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" customHeight="1" x14ac:dyDescent="0.35">
      <c r="A182" s="19"/>
      <c r="B182" s="19"/>
      <c r="C182" s="19"/>
      <c r="D182" s="18"/>
      <c r="E182" s="20"/>
      <c r="F182" s="23"/>
      <c r="G182" s="23"/>
      <c r="H182" s="18"/>
      <c r="I182" s="18"/>
      <c r="J182" s="24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" customHeight="1" x14ac:dyDescent="0.35">
      <c r="A183" s="19"/>
      <c r="B183" s="19"/>
      <c r="C183" s="19"/>
      <c r="D183" s="18"/>
      <c r="E183" s="20"/>
      <c r="F183" s="23"/>
      <c r="G183" s="23"/>
      <c r="H183" s="18"/>
      <c r="I183" s="18"/>
      <c r="J183" s="24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" customHeight="1" x14ac:dyDescent="0.35">
      <c r="A184" s="19"/>
      <c r="B184" s="19"/>
      <c r="C184" s="19"/>
      <c r="D184" s="18"/>
      <c r="E184" s="20"/>
      <c r="F184" s="23"/>
      <c r="G184" s="23"/>
      <c r="H184" s="18"/>
      <c r="I184" s="18"/>
      <c r="J184" s="24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" customHeight="1" x14ac:dyDescent="0.35">
      <c r="A185" s="19"/>
      <c r="B185" s="19"/>
      <c r="C185" s="19"/>
      <c r="D185" s="18"/>
      <c r="E185" s="20"/>
      <c r="F185" s="23"/>
      <c r="G185" s="23"/>
      <c r="H185" s="18"/>
      <c r="I185" s="18"/>
      <c r="J185" s="24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" customHeight="1" x14ac:dyDescent="0.35">
      <c r="A186" s="19"/>
      <c r="B186" s="19"/>
      <c r="C186" s="19"/>
      <c r="D186" s="18"/>
      <c r="E186" s="20"/>
      <c r="F186" s="23"/>
      <c r="G186" s="23"/>
      <c r="H186" s="18"/>
      <c r="I186" s="18"/>
      <c r="J186" s="24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" customHeight="1" x14ac:dyDescent="0.35">
      <c r="A187" s="19"/>
      <c r="B187" s="19"/>
      <c r="C187" s="19"/>
      <c r="D187" s="18"/>
      <c r="E187" s="20"/>
      <c r="F187" s="23"/>
      <c r="G187" s="23"/>
      <c r="H187" s="18"/>
      <c r="I187" s="18"/>
      <c r="J187" s="24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" customHeight="1" x14ac:dyDescent="0.35">
      <c r="A188" s="19"/>
      <c r="B188" s="19"/>
      <c r="C188" s="19"/>
      <c r="D188" s="18"/>
      <c r="E188" s="20"/>
      <c r="F188" s="23"/>
      <c r="G188" s="23"/>
      <c r="H188" s="18"/>
      <c r="I188" s="18"/>
      <c r="J188" s="24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" customHeight="1" x14ac:dyDescent="0.35">
      <c r="A189" s="19"/>
      <c r="B189" s="19"/>
      <c r="C189" s="19"/>
      <c r="D189" s="18"/>
      <c r="E189" s="20"/>
      <c r="F189" s="23"/>
      <c r="G189" s="23"/>
      <c r="H189" s="18"/>
      <c r="I189" s="18"/>
      <c r="J189" s="24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" customHeight="1" x14ac:dyDescent="0.35">
      <c r="A190" s="19"/>
      <c r="B190" s="19"/>
      <c r="C190" s="19"/>
      <c r="D190" s="18"/>
      <c r="E190" s="20"/>
      <c r="F190" s="23"/>
      <c r="G190" s="23"/>
      <c r="H190" s="18"/>
      <c r="I190" s="18"/>
      <c r="J190" s="24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" customHeight="1" x14ac:dyDescent="0.35">
      <c r="A191" s="19"/>
      <c r="B191" s="19"/>
      <c r="C191" s="19"/>
      <c r="D191" s="18"/>
      <c r="E191" s="20"/>
      <c r="F191" s="23"/>
      <c r="G191" s="23"/>
      <c r="H191" s="18"/>
      <c r="I191" s="18"/>
      <c r="J191" s="24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" customHeight="1" x14ac:dyDescent="0.35">
      <c r="A192" s="19"/>
      <c r="B192" s="19"/>
      <c r="C192" s="19"/>
      <c r="D192" s="18"/>
      <c r="E192" s="20"/>
      <c r="F192" s="23"/>
      <c r="G192" s="23"/>
      <c r="H192" s="18"/>
      <c r="I192" s="18"/>
      <c r="J192" s="24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" customHeight="1" x14ac:dyDescent="0.35">
      <c r="A193" s="19"/>
      <c r="B193" s="19"/>
      <c r="C193" s="19"/>
      <c r="D193" s="18"/>
      <c r="E193" s="20"/>
      <c r="F193" s="23"/>
      <c r="G193" s="23"/>
      <c r="H193" s="18"/>
      <c r="I193" s="18"/>
      <c r="J193" s="24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" customHeight="1" x14ac:dyDescent="0.35">
      <c r="A194" s="19"/>
      <c r="B194" s="19"/>
      <c r="C194" s="19"/>
      <c r="D194" s="18"/>
      <c r="E194" s="20"/>
      <c r="F194" s="23"/>
      <c r="G194" s="23"/>
      <c r="H194" s="18"/>
      <c r="I194" s="18"/>
      <c r="J194" s="24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" customHeight="1" x14ac:dyDescent="0.35">
      <c r="A195" s="19"/>
      <c r="B195" s="19"/>
      <c r="C195" s="19"/>
      <c r="D195" s="18"/>
      <c r="E195" s="20"/>
      <c r="F195" s="23"/>
      <c r="G195" s="23"/>
      <c r="H195" s="18"/>
      <c r="I195" s="18"/>
      <c r="J195" s="24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" customHeight="1" x14ac:dyDescent="0.35">
      <c r="A196" s="19"/>
      <c r="B196" s="19"/>
      <c r="C196" s="19"/>
      <c r="D196" s="18"/>
      <c r="E196" s="20"/>
      <c r="F196" s="23"/>
      <c r="G196" s="23"/>
      <c r="H196" s="18"/>
      <c r="I196" s="18"/>
      <c r="J196" s="24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" customHeight="1" x14ac:dyDescent="0.35">
      <c r="A197" s="19"/>
      <c r="B197" s="19"/>
      <c r="C197" s="19"/>
      <c r="D197" s="18"/>
      <c r="E197" s="20"/>
      <c r="F197" s="23"/>
      <c r="G197" s="23"/>
      <c r="H197" s="18"/>
      <c r="I197" s="18"/>
      <c r="J197" s="24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" customHeight="1" x14ac:dyDescent="0.35">
      <c r="A198" s="19"/>
      <c r="B198" s="19"/>
      <c r="C198" s="19"/>
      <c r="D198" s="18"/>
      <c r="E198" s="20"/>
      <c r="F198" s="23"/>
      <c r="G198" s="23"/>
      <c r="H198" s="18"/>
      <c r="I198" s="18"/>
      <c r="J198" s="24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" customHeight="1" x14ac:dyDescent="0.35">
      <c r="A199" s="19"/>
      <c r="B199" s="19"/>
      <c r="C199" s="19"/>
      <c r="D199" s="18"/>
      <c r="E199" s="20"/>
      <c r="F199" s="23"/>
      <c r="G199" s="23"/>
      <c r="H199" s="18"/>
      <c r="I199" s="18"/>
      <c r="J199" s="24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" customHeight="1" x14ac:dyDescent="0.35">
      <c r="A200" s="19"/>
      <c r="B200" s="19"/>
      <c r="C200" s="19"/>
      <c r="D200" s="18"/>
      <c r="E200" s="20"/>
      <c r="F200" s="23"/>
      <c r="G200" s="23"/>
      <c r="H200" s="18"/>
      <c r="I200" s="18"/>
      <c r="J200" s="24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" customHeight="1" x14ac:dyDescent="0.35">
      <c r="A201" s="19"/>
      <c r="B201" s="19"/>
      <c r="C201" s="19"/>
      <c r="D201" s="18"/>
      <c r="E201" s="20"/>
      <c r="F201" s="23"/>
      <c r="G201" s="23"/>
      <c r="H201" s="18"/>
      <c r="I201" s="18"/>
      <c r="J201" s="24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" customHeight="1" x14ac:dyDescent="0.35">
      <c r="A202" s="19"/>
      <c r="B202" s="19"/>
      <c r="C202" s="19"/>
      <c r="D202" s="18"/>
      <c r="E202" s="20"/>
      <c r="F202" s="23"/>
      <c r="G202" s="23"/>
      <c r="H202" s="18"/>
      <c r="I202" s="18"/>
      <c r="J202" s="24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" customHeight="1" x14ac:dyDescent="0.35">
      <c r="A203" s="19"/>
      <c r="B203" s="19"/>
      <c r="C203" s="19"/>
      <c r="D203" s="18"/>
      <c r="E203" s="20"/>
      <c r="F203" s="23"/>
      <c r="G203" s="23"/>
      <c r="H203" s="18"/>
      <c r="I203" s="18"/>
      <c r="J203" s="24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" customHeight="1" x14ac:dyDescent="0.35">
      <c r="A204" s="19"/>
      <c r="B204" s="19"/>
      <c r="C204" s="19"/>
      <c r="D204" s="18"/>
      <c r="E204" s="20"/>
      <c r="F204" s="23"/>
      <c r="G204" s="23"/>
      <c r="H204" s="18"/>
      <c r="I204" s="18"/>
      <c r="J204" s="24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" customHeight="1" x14ac:dyDescent="0.35">
      <c r="A205" s="19"/>
      <c r="B205" s="19"/>
      <c r="C205" s="19"/>
      <c r="D205" s="18"/>
      <c r="E205" s="20"/>
      <c r="F205" s="23"/>
      <c r="G205" s="23"/>
      <c r="H205" s="18"/>
      <c r="I205" s="18"/>
      <c r="J205" s="24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" customHeight="1" x14ac:dyDescent="0.35">
      <c r="A206" s="19"/>
      <c r="B206" s="19"/>
      <c r="C206" s="19"/>
      <c r="D206" s="18"/>
      <c r="E206" s="20"/>
      <c r="F206" s="23"/>
      <c r="G206" s="23"/>
      <c r="H206" s="18"/>
      <c r="I206" s="18"/>
      <c r="J206" s="24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" customHeight="1" x14ac:dyDescent="0.35">
      <c r="A207" s="19"/>
      <c r="B207" s="19"/>
      <c r="C207" s="19"/>
      <c r="D207" s="18"/>
      <c r="E207" s="20"/>
      <c r="F207" s="23"/>
      <c r="G207" s="23"/>
      <c r="H207" s="18"/>
      <c r="I207" s="18"/>
      <c r="J207" s="24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" customHeight="1" x14ac:dyDescent="0.35">
      <c r="A208" s="19"/>
      <c r="B208" s="19"/>
      <c r="C208" s="19"/>
      <c r="D208" s="18"/>
      <c r="E208" s="20"/>
      <c r="F208" s="23"/>
      <c r="G208" s="23"/>
      <c r="H208" s="18"/>
      <c r="I208" s="18"/>
      <c r="J208" s="24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" customHeight="1" x14ac:dyDescent="0.35">
      <c r="A209" s="19"/>
      <c r="B209" s="19"/>
      <c r="C209" s="19"/>
      <c r="D209" s="18"/>
      <c r="E209" s="20"/>
      <c r="F209" s="23"/>
      <c r="G209" s="23"/>
      <c r="H209" s="18"/>
      <c r="I209" s="18"/>
      <c r="J209" s="24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" customHeight="1" x14ac:dyDescent="0.35">
      <c r="A210" s="19"/>
      <c r="B210" s="19"/>
      <c r="C210" s="19"/>
      <c r="D210" s="18"/>
      <c r="E210" s="20"/>
      <c r="F210" s="23"/>
      <c r="G210" s="23"/>
      <c r="H210" s="18"/>
      <c r="I210" s="18"/>
      <c r="J210" s="24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" customHeight="1" x14ac:dyDescent="0.35">
      <c r="A211" s="19"/>
      <c r="B211" s="19"/>
      <c r="C211" s="19"/>
      <c r="D211" s="18"/>
      <c r="E211" s="20"/>
      <c r="F211" s="23"/>
      <c r="G211" s="23"/>
      <c r="H211" s="18"/>
      <c r="I211" s="18"/>
      <c r="J211" s="24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" customHeight="1" x14ac:dyDescent="0.35">
      <c r="A212" s="19"/>
      <c r="B212" s="19"/>
      <c r="C212" s="19"/>
      <c r="D212" s="18"/>
      <c r="E212" s="20"/>
      <c r="F212" s="23"/>
      <c r="G212" s="23"/>
      <c r="H212" s="18"/>
      <c r="I212" s="18"/>
      <c r="J212" s="24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" customHeight="1" x14ac:dyDescent="0.35">
      <c r="A213" s="19"/>
      <c r="B213" s="19"/>
      <c r="C213" s="19"/>
      <c r="D213" s="18"/>
      <c r="E213" s="20"/>
      <c r="F213" s="23"/>
      <c r="G213" s="23"/>
      <c r="H213" s="18"/>
      <c r="I213" s="18"/>
      <c r="J213" s="24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" customHeight="1" x14ac:dyDescent="0.35">
      <c r="A214" s="19"/>
      <c r="B214" s="19"/>
      <c r="C214" s="19"/>
      <c r="D214" s="18"/>
      <c r="E214" s="20"/>
      <c r="F214" s="23"/>
      <c r="G214" s="23"/>
      <c r="H214" s="18"/>
      <c r="I214" s="18"/>
      <c r="J214" s="24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" customHeight="1" x14ac:dyDescent="0.35">
      <c r="A215" s="19"/>
      <c r="B215" s="19"/>
      <c r="C215" s="19"/>
      <c r="D215" s="18"/>
      <c r="E215" s="20"/>
      <c r="F215" s="23"/>
      <c r="G215" s="23"/>
      <c r="H215" s="18"/>
      <c r="I215" s="18"/>
      <c r="J215" s="24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" customHeight="1" x14ac:dyDescent="0.35">
      <c r="A216" s="19"/>
      <c r="B216" s="19"/>
      <c r="C216" s="19"/>
      <c r="D216" s="18"/>
      <c r="E216" s="20"/>
      <c r="F216" s="23"/>
      <c r="G216" s="23"/>
      <c r="H216" s="18"/>
      <c r="I216" s="18"/>
      <c r="J216" s="24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" customHeight="1" x14ac:dyDescent="0.35">
      <c r="A217" s="19"/>
      <c r="B217" s="19"/>
      <c r="C217" s="19"/>
      <c r="D217" s="18"/>
      <c r="E217" s="20"/>
      <c r="F217" s="23"/>
      <c r="G217" s="23"/>
      <c r="H217" s="18"/>
      <c r="I217" s="18"/>
      <c r="J217" s="24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" customHeight="1" x14ac:dyDescent="0.35">
      <c r="A218" s="19"/>
      <c r="B218" s="19"/>
      <c r="C218" s="19"/>
      <c r="D218" s="18"/>
      <c r="E218" s="20"/>
      <c r="F218" s="23"/>
      <c r="G218" s="23"/>
      <c r="H218" s="18"/>
      <c r="I218" s="18"/>
      <c r="J218" s="24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" customHeight="1" x14ac:dyDescent="0.35">
      <c r="A219" s="19"/>
      <c r="B219" s="19"/>
      <c r="C219" s="19"/>
      <c r="D219" s="18"/>
      <c r="E219" s="20"/>
      <c r="F219" s="23"/>
      <c r="G219" s="23"/>
      <c r="H219" s="18"/>
      <c r="I219" s="18"/>
      <c r="J219" s="24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" customHeight="1" x14ac:dyDescent="0.35">
      <c r="A220" s="19"/>
      <c r="B220" s="19"/>
      <c r="C220" s="19"/>
      <c r="D220" s="18"/>
      <c r="E220" s="20"/>
      <c r="F220" s="23"/>
      <c r="G220" s="23"/>
      <c r="H220" s="18"/>
      <c r="I220" s="18"/>
      <c r="J220" s="24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" customHeight="1" x14ac:dyDescent="0.35">
      <c r="A221" s="19"/>
      <c r="B221" s="19"/>
      <c r="C221" s="19"/>
      <c r="D221" s="18"/>
      <c r="E221" s="20"/>
      <c r="F221" s="23"/>
      <c r="G221" s="23"/>
      <c r="H221" s="18"/>
      <c r="I221" s="18"/>
      <c r="J221" s="24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" customHeight="1" x14ac:dyDescent="0.35">
      <c r="A222" s="19"/>
      <c r="B222" s="19"/>
      <c r="C222" s="19"/>
      <c r="D222" s="18"/>
      <c r="E222" s="20"/>
      <c r="F222" s="23"/>
      <c r="G222" s="23"/>
      <c r="H222" s="18"/>
      <c r="I222" s="18"/>
      <c r="J222" s="24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" customHeight="1" x14ac:dyDescent="0.35">
      <c r="A223" s="19"/>
      <c r="B223" s="19"/>
      <c r="C223" s="19"/>
      <c r="D223" s="18"/>
      <c r="E223" s="20"/>
      <c r="F223" s="23"/>
      <c r="G223" s="23"/>
      <c r="H223" s="18"/>
      <c r="I223" s="18"/>
      <c r="J223" s="24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" customHeight="1" x14ac:dyDescent="0.35">
      <c r="A224" s="19"/>
      <c r="B224" s="19"/>
      <c r="C224" s="19"/>
      <c r="D224" s="18"/>
      <c r="E224" s="20"/>
      <c r="F224" s="23"/>
      <c r="G224" s="23"/>
      <c r="H224" s="18"/>
      <c r="I224" s="18"/>
      <c r="J224" s="24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" customHeight="1" x14ac:dyDescent="0.35">
      <c r="A225" s="19"/>
      <c r="B225" s="19"/>
      <c r="C225" s="19"/>
      <c r="D225" s="18"/>
      <c r="E225" s="20"/>
      <c r="F225" s="23"/>
      <c r="G225" s="23"/>
      <c r="H225" s="18"/>
      <c r="I225" s="18"/>
      <c r="J225" s="24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" customHeight="1" x14ac:dyDescent="0.35">
      <c r="A226" s="19"/>
      <c r="B226" s="19"/>
      <c r="C226" s="19"/>
      <c r="D226" s="18"/>
      <c r="E226" s="20"/>
      <c r="F226" s="23"/>
      <c r="G226" s="23"/>
      <c r="H226" s="18"/>
      <c r="I226" s="18"/>
      <c r="J226" s="24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" customHeight="1" x14ac:dyDescent="0.35">
      <c r="A227" s="19"/>
      <c r="B227" s="19"/>
      <c r="C227" s="19"/>
      <c r="D227" s="18"/>
      <c r="E227" s="20"/>
      <c r="F227" s="23"/>
      <c r="G227" s="23"/>
      <c r="H227" s="18"/>
      <c r="I227" s="18"/>
      <c r="J227" s="24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" customHeight="1" x14ac:dyDescent="0.35">
      <c r="A228" s="19"/>
      <c r="B228" s="19"/>
      <c r="C228" s="19"/>
      <c r="D228" s="18"/>
      <c r="E228" s="20"/>
      <c r="F228" s="23"/>
      <c r="G228" s="23"/>
      <c r="H228" s="18"/>
      <c r="I228" s="18"/>
      <c r="J228" s="24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" customHeight="1" x14ac:dyDescent="0.35">
      <c r="A229" s="19"/>
      <c r="B229" s="19"/>
      <c r="C229" s="19"/>
      <c r="D229" s="18"/>
      <c r="E229" s="20"/>
      <c r="F229" s="23"/>
      <c r="G229" s="23"/>
      <c r="H229" s="18"/>
      <c r="I229" s="18"/>
      <c r="J229" s="24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" customHeight="1" x14ac:dyDescent="0.35">
      <c r="A230" s="19"/>
      <c r="B230" s="19"/>
      <c r="C230" s="19"/>
      <c r="D230" s="18"/>
      <c r="E230" s="20"/>
      <c r="F230" s="23"/>
      <c r="G230" s="23"/>
      <c r="H230" s="18"/>
      <c r="I230" s="18"/>
      <c r="J230" s="24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" customHeight="1" x14ac:dyDescent="0.35">
      <c r="A231" s="19"/>
      <c r="B231" s="19"/>
      <c r="C231" s="19"/>
      <c r="D231" s="18"/>
      <c r="E231" s="20"/>
      <c r="F231" s="23"/>
      <c r="G231" s="23"/>
      <c r="H231" s="18"/>
      <c r="I231" s="18"/>
      <c r="J231" s="18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" customHeight="1" x14ac:dyDescent="0.35">
      <c r="A232" s="19"/>
      <c r="B232" s="19"/>
      <c r="C232" s="19"/>
      <c r="D232" s="18"/>
      <c r="E232" s="20"/>
      <c r="F232" s="23"/>
      <c r="G232" s="23"/>
      <c r="H232" s="18"/>
      <c r="I232" s="18"/>
      <c r="J232" s="18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" customHeight="1" x14ac:dyDescent="0.35">
      <c r="A233" s="19"/>
      <c r="B233" s="19"/>
      <c r="C233" s="19"/>
      <c r="D233" s="18"/>
      <c r="E233" s="20"/>
      <c r="F233" s="23"/>
      <c r="G233" s="23"/>
      <c r="H233" s="18"/>
      <c r="I233" s="18"/>
      <c r="J233" s="18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" customHeight="1" x14ac:dyDescent="0.35">
      <c r="A234" s="19"/>
      <c r="B234" s="19"/>
      <c r="C234" s="19"/>
      <c r="D234" s="18"/>
      <c r="E234" s="20"/>
      <c r="F234" s="23"/>
      <c r="G234" s="23"/>
      <c r="H234" s="18"/>
      <c r="I234" s="18"/>
      <c r="J234" s="18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" customHeight="1" x14ac:dyDescent="0.35">
      <c r="A235" s="19"/>
      <c r="B235" s="19"/>
      <c r="C235" s="19"/>
      <c r="D235" s="18"/>
      <c r="E235" s="20"/>
      <c r="F235" s="23"/>
      <c r="G235" s="23"/>
      <c r="H235" s="18"/>
      <c r="I235" s="18"/>
      <c r="J235" s="18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" customHeight="1" x14ac:dyDescent="0.35">
      <c r="A236" s="19"/>
      <c r="B236" s="19"/>
      <c r="C236" s="19"/>
      <c r="D236" s="18"/>
      <c r="E236" s="20"/>
      <c r="F236" s="23"/>
      <c r="G236" s="23"/>
      <c r="H236" s="18"/>
      <c r="I236" s="18"/>
      <c r="J236" s="18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" customHeight="1" x14ac:dyDescent="0.35">
      <c r="A237" s="19"/>
      <c r="B237" s="19"/>
      <c r="C237" s="19"/>
      <c r="D237" s="18"/>
      <c r="E237" s="20"/>
      <c r="F237" s="23"/>
      <c r="G237" s="23"/>
      <c r="H237" s="18"/>
      <c r="I237" s="18"/>
      <c r="J237" s="18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" customHeight="1" x14ac:dyDescent="0.35">
      <c r="A238" s="19"/>
      <c r="B238" s="19"/>
      <c r="C238" s="19"/>
      <c r="D238" s="18"/>
      <c r="E238" s="20"/>
      <c r="F238" s="23"/>
      <c r="G238" s="23"/>
      <c r="H238" s="18"/>
      <c r="I238" s="18"/>
      <c r="J238" s="18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" customHeight="1" x14ac:dyDescent="0.35">
      <c r="A239" s="19"/>
      <c r="B239" s="19"/>
      <c r="C239" s="19"/>
      <c r="D239" s="18"/>
      <c r="E239" s="20"/>
      <c r="F239" s="23"/>
      <c r="G239" s="23"/>
      <c r="H239" s="18"/>
      <c r="I239" s="18"/>
      <c r="J239" s="18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" customHeight="1" x14ac:dyDescent="0.35">
      <c r="A240" s="19"/>
      <c r="B240" s="19"/>
      <c r="C240" s="19"/>
      <c r="D240" s="18"/>
      <c r="E240" s="20"/>
      <c r="F240" s="23"/>
      <c r="G240" s="23"/>
      <c r="H240" s="18"/>
      <c r="I240" s="18"/>
      <c r="J240" s="18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" customHeight="1" x14ac:dyDescent="0.35">
      <c r="A241" s="19"/>
      <c r="B241" s="19"/>
      <c r="C241" s="19"/>
      <c r="D241" s="18"/>
      <c r="E241" s="20"/>
      <c r="F241" s="23"/>
      <c r="G241" s="23"/>
      <c r="H241" s="18"/>
      <c r="I241" s="18"/>
      <c r="J241" s="18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" customHeight="1" x14ac:dyDescent="0.35">
      <c r="A242" s="19"/>
      <c r="B242" s="19"/>
      <c r="C242" s="19"/>
      <c r="D242" s="18"/>
      <c r="E242" s="20"/>
      <c r="F242" s="23"/>
      <c r="G242" s="23"/>
      <c r="H242" s="18"/>
      <c r="I242" s="18"/>
      <c r="J242" s="18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" customHeight="1" x14ac:dyDescent="0.35">
      <c r="A243" s="19"/>
      <c r="B243" s="19"/>
      <c r="C243" s="19"/>
      <c r="D243" s="18"/>
      <c r="E243" s="20"/>
      <c r="F243" s="23"/>
      <c r="G243" s="23"/>
      <c r="H243" s="18"/>
      <c r="I243" s="18"/>
      <c r="J243" s="18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" customHeight="1" x14ac:dyDescent="0.35">
      <c r="A244" s="19"/>
      <c r="B244" s="19"/>
      <c r="C244" s="19"/>
      <c r="D244" s="18"/>
      <c r="E244" s="20"/>
      <c r="F244" s="23"/>
      <c r="G244" s="23"/>
      <c r="H244" s="18"/>
      <c r="I244" s="18"/>
      <c r="J244" s="18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" customHeight="1" x14ac:dyDescent="0.35">
      <c r="A245" s="19"/>
      <c r="B245" s="19"/>
      <c r="C245" s="19"/>
      <c r="D245" s="18"/>
      <c r="E245" s="20"/>
      <c r="F245" s="23"/>
      <c r="G245" s="23"/>
      <c r="H245" s="18"/>
      <c r="I245" s="18"/>
      <c r="J245" s="18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" customHeight="1" x14ac:dyDescent="0.35">
      <c r="A246" s="19"/>
      <c r="B246" s="19"/>
      <c r="C246" s="19"/>
      <c r="D246" s="18"/>
      <c r="E246" s="20"/>
      <c r="F246" s="23"/>
      <c r="G246" s="23"/>
      <c r="H246" s="18"/>
      <c r="I246" s="18"/>
      <c r="J246" s="18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" customHeight="1" x14ac:dyDescent="0.35">
      <c r="A247" s="19"/>
      <c r="B247" s="19"/>
      <c r="C247" s="19"/>
      <c r="D247" s="18"/>
      <c r="E247" s="20"/>
      <c r="F247" s="23"/>
      <c r="G247" s="23"/>
      <c r="H247" s="18"/>
      <c r="I247" s="18"/>
      <c r="J247" s="18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" customHeight="1" x14ac:dyDescent="0.35">
      <c r="A248" s="19"/>
      <c r="B248" s="19"/>
      <c r="C248" s="19"/>
      <c r="D248" s="18"/>
      <c r="E248" s="20"/>
      <c r="F248" s="23"/>
      <c r="G248" s="23"/>
      <c r="H248" s="18"/>
      <c r="I248" s="18"/>
      <c r="J248" s="18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" customHeight="1" x14ac:dyDescent="0.35">
      <c r="A249" s="19"/>
      <c r="B249" s="19"/>
      <c r="C249" s="19"/>
      <c r="D249" s="18"/>
      <c r="E249" s="20"/>
      <c r="F249" s="23"/>
      <c r="G249" s="23"/>
      <c r="H249" s="18"/>
      <c r="I249" s="18"/>
      <c r="J249" s="18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" customHeight="1" x14ac:dyDescent="0.35">
      <c r="A250" s="19"/>
      <c r="B250" s="19"/>
      <c r="C250" s="19"/>
      <c r="D250" s="18"/>
      <c r="E250" s="20"/>
      <c r="F250" s="23"/>
      <c r="G250" s="23"/>
      <c r="H250" s="18"/>
      <c r="I250" s="18"/>
      <c r="J250" s="18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" customHeight="1" x14ac:dyDescent="0.35">
      <c r="A251" s="19"/>
      <c r="B251" s="19"/>
      <c r="C251" s="19"/>
      <c r="D251" s="18"/>
      <c r="E251" s="20"/>
      <c r="F251" s="23"/>
      <c r="G251" s="23"/>
      <c r="H251" s="18"/>
      <c r="I251" s="18"/>
      <c r="J251" s="18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" customHeight="1" x14ac:dyDescent="0.35">
      <c r="A252" s="19"/>
      <c r="B252" s="19"/>
      <c r="C252" s="19"/>
      <c r="D252" s="18"/>
      <c r="E252" s="20"/>
      <c r="F252" s="23"/>
      <c r="G252" s="23"/>
      <c r="H252" s="18"/>
      <c r="I252" s="18"/>
      <c r="J252" s="18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" customHeight="1" x14ac:dyDescent="0.35">
      <c r="A253" s="19"/>
      <c r="B253" s="19"/>
      <c r="C253" s="19"/>
      <c r="D253" s="18"/>
      <c r="E253" s="20"/>
      <c r="F253" s="23"/>
      <c r="G253" s="23"/>
      <c r="H253" s="18"/>
      <c r="I253" s="18"/>
      <c r="J253" s="18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" customHeight="1" x14ac:dyDescent="0.35">
      <c r="A254" s="19"/>
      <c r="B254" s="19"/>
      <c r="C254" s="19"/>
      <c r="D254" s="18"/>
      <c r="E254" s="20"/>
      <c r="F254" s="23"/>
      <c r="G254" s="23"/>
      <c r="H254" s="18"/>
      <c r="I254" s="18"/>
      <c r="J254" s="18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" customHeight="1" x14ac:dyDescent="0.35">
      <c r="A255" s="19"/>
      <c r="B255" s="19"/>
      <c r="C255" s="19"/>
      <c r="D255" s="18"/>
      <c r="E255" s="20"/>
      <c r="F255" s="23"/>
      <c r="G255" s="23"/>
      <c r="H255" s="18"/>
      <c r="I255" s="18"/>
      <c r="J255" s="18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" customHeight="1" x14ac:dyDescent="0.35">
      <c r="A256" s="19"/>
      <c r="B256" s="19"/>
      <c r="C256" s="19"/>
      <c r="D256" s="18"/>
      <c r="E256" s="20"/>
      <c r="F256" s="23"/>
      <c r="G256" s="23"/>
      <c r="H256" s="18"/>
      <c r="I256" s="18"/>
      <c r="J256" s="18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" customHeight="1" x14ac:dyDescent="0.35">
      <c r="A257" s="19"/>
      <c r="B257" s="19"/>
      <c r="C257" s="19"/>
      <c r="D257" s="18"/>
      <c r="E257" s="20"/>
      <c r="F257" s="23"/>
      <c r="G257" s="23"/>
      <c r="H257" s="18"/>
      <c r="I257" s="18"/>
      <c r="J257" s="18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" customHeight="1" x14ac:dyDescent="0.35">
      <c r="A258" s="19"/>
      <c r="B258" s="19"/>
      <c r="C258" s="19"/>
      <c r="D258" s="18"/>
      <c r="E258" s="20"/>
      <c r="F258" s="23"/>
      <c r="G258" s="23"/>
      <c r="H258" s="18"/>
      <c r="I258" s="18"/>
      <c r="J258" s="18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" customHeight="1" x14ac:dyDescent="0.35">
      <c r="A259" s="19"/>
      <c r="B259" s="19"/>
      <c r="C259" s="19"/>
      <c r="D259" s="18"/>
      <c r="E259" s="20"/>
      <c r="F259" s="23"/>
      <c r="G259" s="23"/>
      <c r="H259" s="18"/>
      <c r="I259" s="18"/>
      <c r="J259" s="18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" customHeight="1" x14ac:dyDescent="0.35">
      <c r="A260" s="19"/>
      <c r="B260" s="19"/>
      <c r="C260" s="19"/>
      <c r="D260" s="18"/>
      <c r="E260" s="20"/>
      <c r="F260" s="23"/>
      <c r="G260" s="23"/>
      <c r="H260" s="18"/>
      <c r="I260" s="18"/>
      <c r="J260" s="18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" customHeight="1" x14ac:dyDescent="0.35">
      <c r="A261" s="19"/>
      <c r="B261" s="19"/>
      <c r="C261" s="19"/>
      <c r="D261" s="18"/>
      <c r="E261" s="20"/>
      <c r="F261" s="23"/>
      <c r="G261" s="23"/>
      <c r="H261" s="18"/>
      <c r="I261" s="18"/>
      <c r="J261" s="18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" customHeight="1" x14ac:dyDescent="0.35">
      <c r="A262" s="19"/>
      <c r="B262" s="19"/>
      <c r="C262" s="19"/>
      <c r="D262" s="18"/>
      <c r="E262" s="20"/>
      <c r="F262" s="23"/>
      <c r="G262" s="23"/>
      <c r="H262" s="18"/>
      <c r="I262" s="18"/>
      <c r="J262" s="18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" customHeight="1" x14ac:dyDescent="0.35">
      <c r="A263" s="19"/>
      <c r="B263" s="19"/>
      <c r="C263" s="19"/>
      <c r="D263" s="18"/>
      <c r="E263" s="20"/>
      <c r="F263" s="23"/>
      <c r="G263" s="23"/>
      <c r="H263" s="18"/>
      <c r="I263" s="18"/>
      <c r="J263" s="18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" customHeight="1" x14ac:dyDescent="0.35">
      <c r="A264" s="19"/>
      <c r="B264" s="19"/>
      <c r="C264" s="19"/>
      <c r="D264" s="18"/>
      <c r="E264" s="20"/>
      <c r="F264" s="23"/>
      <c r="G264" s="23"/>
      <c r="H264" s="18"/>
      <c r="I264" s="18"/>
      <c r="J264" s="18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" customHeight="1" x14ac:dyDescent="0.35">
      <c r="A265" s="19"/>
      <c r="B265" s="19"/>
      <c r="C265" s="19"/>
      <c r="D265" s="18"/>
      <c r="E265" s="20"/>
      <c r="F265" s="23"/>
      <c r="G265" s="23"/>
      <c r="H265" s="18"/>
      <c r="I265" s="18"/>
      <c r="J265" s="18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" customHeight="1" x14ac:dyDescent="0.35">
      <c r="A266" s="19"/>
      <c r="B266" s="19"/>
      <c r="C266" s="19"/>
      <c r="D266" s="18"/>
      <c r="E266" s="20"/>
      <c r="F266" s="23"/>
      <c r="G266" s="23"/>
      <c r="H266" s="18"/>
      <c r="I266" s="18"/>
      <c r="J266" s="18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" customHeight="1" x14ac:dyDescent="0.35">
      <c r="A267" s="19"/>
      <c r="B267" s="19"/>
      <c r="C267" s="19"/>
      <c r="D267" s="18"/>
      <c r="E267" s="20"/>
      <c r="F267" s="23"/>
      <c r="G267" s="23"/>
      <c r="H267" s="18"/>
      <c r="I267" s="18"/>
      <c r="J267" s="18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" customHeight="1" x14ac:dyDescent="0.35">
      <c r="A268" s="19"/>
      <c r="B268" s="19"/>
      <c r="C268" s="19"/>
      <c r="D268" s="18"/>
      <c r="E268" s="20"/>
      <c r="F268" s="23"/>
      <c r="G268" s="23"/>
      <c r="H268" s="18"/>
      <c r="I268" s="18"/>
      <c r="J268" s="18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" customHeight="1" x14ac:dyDescent="0.35">
      <c r="A269" s="19"/>
      <c r="B269" s="19"/>
      <c r="C269" s="19"/>
      <c r="D269" s="18"/>
      <c r="E269" s="20"/>
      <c r="F269" s="23"/>
      <c r="G269" s="23"/>
      <c r="H269" s="18"/>
      <c r="I269" s="18"/>
      <c r="J269" s="18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" customHeight="1" x14ac:dyDescent="0.35">
      <c r="A270" s="19"/>
      <c r="B270" s="19"/>
      <c r="C270" s="19"/>
      <c r="D270" s="18"/>
      <c r="E270" s="20"/>
      <c r="F270" s="23"/>
      <c r="G270" s="23"/>
      <c r="H270" s="18"/>
      <c r="I270" s="18"/>
      <c r="J270" s="18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" customHeight="1" x14ac:dyDescent="0.35">
      <c r="A271" s="19"/>
      <c r="B271" s="19"/>
      <c r="C271" s="19"/>
      <c r="D271" s="18"/>
      <c r="E271" s="20"/>
      <c r="F271" s="23"/>
      <c r="G271" s="23"/>
      <c r="H271" s="18"/>
      <c r="I271" s="18"/>
      <c r="J271" s="18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" customHeight="1" x14ac:dyDescent="0.35">
      <c r="A272" s="19"/>
      <c r="B272" s="19"/>
      <c r="C272" s="19"/>
      <c r="D272" s="18"/>
      <c r="E272" s="20"/>
      <c r="F272" s="23"/>
      <c r="G272" s="23"/>
      <c r="H272" s="18"/>
      <c r="I272" s="18"/>
      <c r="J272" s="18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" customHeight="1" x14ac:dyDescent="0.35">
      <c r="A273" s="19"/>
      <c r="B273" s="19"/>
      <c r="C273" s="19"/>
      <c r="D273" s="18"/>
      <c r="E273" s="20"/>
      <c r="F273" s="23"/>
      <c r="G273" s="23"/>
      <c r="H273" s="18"/>
      <c r="I273" s="18"/>
      <c r="J273" s="18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" customHeight="1" x14ac:dyDescent="0.35">
      <c r="A274" s="19"/>
      <c r="B274" s="19"/>
      <c r="C274" s="19"/>
      <c r="D274" s="18"/>
      <c r="E274" s="20"/>
      <c r="F274" s="23"/>
      <c r="G274" s="23"/>
      <c r="H274" s="18"/>
      <c r="I274" s="18"/>
      <c r="J274" s="18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" customHeight="1" x14ac:dyDescent="0.35">
      <c r="A275" s="19"/>
      <c r="B275" s="19"/>
      <c r="C275" s="19"/>
      <c r="D275" s="18"/>
      <c r="E275" s="20"/>
      <c r="F275" s="23"/>
      <c r="G275" s="23"/>
      <c r="H275" s="18"/>
      <c r="I275" s="18"/>
      <c r="J275" s="18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" customHeight="1" x14ac:dyDescent="0.35">
      <c r="A276" s="19"/>
      <c r="B276" s="19"/>
      <c r="C276" s="19"/>
      <c r="D276" s="18"/>
      <c r="E276" s="20"/>
      <c r="F276" s="23"/>
      <c r="G276" s="23"/>
      <c r="H276" s="18"/>
      <c r="I276" s="18"/>
      <c r="J276" s="18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" customHeight="1" x14ac:dyDescent="0.35">
      <c r="A277" s="19"/>
      <c r="B277" s="19"/>
      <c r="C277" s="19"/>
      <c r="D277" s="18"/>
      <c r="E277" s="20"/>
      <c r="F277" s="23"/>
      <c r="G277" s="23"/>
      <c r="H277" s="18"/>
      <c r="I277" s="18"/>
      <c r="J277" s="18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" customHeight="1" x14ac:dyDescent="0.35">
      <c r="A278" s="19"/>
      <c r="B278" s="19"/>
      <c r="C278" s="19"/>
      <c r="D278" s="18"/>
      <c r="E278" s="20"/>
      <c r="F278" s="23"/>
      <c r="G278" s="23"/>
      <c r="H278" s="18"/>
      <c r="I278" s="18"/>
      <c r="J278" s="18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" customHeight="1" x14ac:dyDescent="0.35">
      <c r="A279" s="19"/>
      <c r="B279" s="19"/>
      <c r="C279" s="19"/>
      <c r="D279" s="18"/>
      <c r="E279" s="20"/>
      <c r="F279" s="23"/>
      <c r="G279" s="23"/>
      <c r="H279" s="18"/>
      <c r="I279" s="18"/>
      <c r="J279" s="18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" customHeight="1" x14ac:dyDescent="0.35">
      <c r="A280" s="19"/>
      <c r="B280" s="19"/>
      <c r="C280" s="19"/>
      <c r="D280" s="18"/>
      <c r="E280" s="20"/>
      <c r="F280" s="23"/>
      <c r="G280" s="23"/>
      <c r="H280" s="18"/>
      <c r="I280" s="18"/>
      <c r="J280" s="18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" customHeight="1" x14ac:dyDescent="0.35">
      <c r="A281" s="19"/>
      <c r="B281" s="19"/>
      <c r="C281" s="19"/>
      <c r="D281" s="18"/>
      <c r="E281" s="20"/>
      <c r="F281" s="23"/>
      <c r="G281" s="23"/>
      <c r="H281" s="18"/>
      <c r="I281" s="18"/>
      <c r="J281" s="18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" customHeight="1" x14ac:dyDescent="0.35">
      <c r="A282" s="19"/>
      <c r="B282" s="19"/>
      <c r="C282" s="19"/>
      <c r="D282" s="18"/>
      <c r="E282" s="20"/>
      <c r="F282" s="23"/>
      <c r="G282" s="23"/>
      <c r="H282" s="18"/>
      <c r="I282" s="18"/>
      <c r="J282" s="18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" customHeight="1" x14ac:dyDescent="0.35">
      <c r="A283" s="19"/>
      <c r="B283" s="19"/>
      <c r="C283" s="19"/>
      <c r="D283" s="18"/>
      <c r="E283" s="20"/>
      <c r="F283" s="23"/>
      <c r="G283" s="23"/>
      <c r="H283" s="18"/>
      <c r="I283" s="18"/>
      <c r="J283" s="18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" customHeight="1" x14ac:dyDescent="0.35">
      <c r="A284" s="19"/>
      <c r="B284" s="19"/>
      <c r="C284" s="19"/>
      <c r="D284" s="18"/>
      <c r="E284" s="20"/>
      <c r="F284" s="23"/>
      <c r="G284" s="23"/>
      <c r="H284" s="18"/>
      <c r="I284" s="18"/>
      <c r="J284" s="18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" customHeight="1" x14ac:dyDescent="0.35">
      <c r="A285" s="19"/>
      <c r="B285" s="19"/>
      <c r="C285" s="19"/>
      <c r="D285" s="18"/>
      <c r="E285" s="20"/>
      <c r="F285" s="23"/>
      <c r="G285" s="23"/>
      <c r="H285" s="18"/>
      <c r="I285" s="18"/>
      <c r="J285" s="18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" customHeight="1" x14ac:dyDescent="0.35">
      <c r="A286" s="19"/>
      <c r="B286" s="19"/>
      <c r="C286" s="19"/>
      <c r="D286" s="18"/>
      <c r="E286" s="20"/>
      <c r="F286" s="23"/>
      <c r="G286" s="23"/>
      <c r="H286" s="18"/>
      <c r="I286" s="18"/>
      <c r="J286" s="18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" customHeight="1" x14ac:dyDescent="0.35">
      <c r="A287" s="19"/>
      <c r="B287" s="19"/>
      <c r="C287" s="19"/>
      <c r="D287" s="18"/>
      <c r="E287" s="20"/>
      <c r="F287" s="23"/>
      <c r="G287" s="23"/>
      <c r="H287" s="18"/>
      <c r="I287" s="18"/>
      <c r="J287" s="18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" customHeight="1" x14ac:dyDescent="0.35">
      <c r="A288" s="19"/>
      <c r="B288" s="19"/>
      <c r="C288" s="19"/>
      <c r="D288" s="18"/>
      <c r="E288" s="20"/>
      <c r="F288" s="23"/>
      <c r="G288" s="23"/>
      <c r="H288" s="18"/>
      <c r="I288" s="18"/>
      <c r="J288" s="18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" customHeight="1" x14ac:dyDescent="0.35">
      <c r="A289" s="19"/>
      <c r="B289" s="19"/>
      <c r="C289" s="19"/>
      <c r="D289" s="18"/>
      <c r="E289" s="20"/>
      <c r="F289" s="23"/>
      <c r="G289" s="23"/>
      <c r="H289" s="18"/>
      <c r="I289" s="18"/>
      <c r="J289" s="18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" customHeight="1" x14ac:dyDescent="0.35">
      <c r="A290" s="19"/>
      <c r="B290" s="19"/>
      <c r="C290" s="19"/>
      <c r="D290" s="18"/>
      <c r="E290" s="20"/>
      <c r="F290" s="23"/>
      <c r="G290" s="23"/>
      <c r="H290" s="18"/>
      <c r="I290" s="18"/>
      <c r="J290" s="18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" customHeight="1" x14ac:dyDescent="0.35">
      <c r="A291" s="19"/>
      <c r="B291" s="19"/>
      <c r="C291" s="19"/>
      <c r="D291" s="18"/>
      <c r="E291" s="20"/>
      <c r="F291" s="23"/>
      <c r="G291" s="23"/>
      <c r="H291" s="18"/>
      <c r="I291" s="18"/>
      <c r="J291" s="18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" customHeight="1" x14ac:dyDescent="0.35">
      <c r="A292" s="19"/>
      <c r="B292" s="19"/>
      <c r="C292" s="19"/>
      <c r="D292" s="18"/>
      <c r="E292" s="20"/>
      <c r="F292" s="23"/>
      <c r="G292" s="23"/>
      <c r="H292" s="18"/>
      <c r="I292" s="18"/>
      <c r="J292" s="18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" customHeight="1" x14ac:dyDescent="0.35">
      <c r="A293" s="19"/>
      <c r="B293" s="19"/>
      <c r="C293" s="19"/>
      <c r="D293" s="18"/>
      <c r="E293" s="20"/>
      <c r="F293" s="23"/>
      <c r="G293" s="23"/>
      <c r="H293" s="18"/>
      <c r="I293" s="18"/>
      <c r="J293" s="18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" customHeight="1" x14ac:dyDescent="0.35">
      <c r="A294" s="19"/>
      <c r="B294" s="19"/>
      <c r="C294" s="19"/>
      <c r="D294" s="18"/>
      <c r="E294" s="20"/>
      <c r="F294" s="23"/>
      <c r="G294" s="23"/>
      <c r="H294" s="18"/>
      <c r="I294" s="18"/>
      <c r="J294" s="18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" customHeight="1" x14ac:dyDescent="0.35">
      <c r="A295" s="19"/>
      <c r="B295" s="19"/>
      <c r="C295" s="19"/>
      <c r="D295" s="18"/>
      <c r="E295" s="20"/>
      <c r="F295" s="23"/>
      <c r="G295" s="23"/>
      <c r="H295" s="18"/>
      <c r="I295" s="18"/>
      <c r="J295" s="18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" customHeight="1" x14ac:dyDescent="0.35">
      <c r="A296" s="19"/>
      <c r="B296" s="19"/>
      <c r="C296" s="19"/>
      <c r="D296" s="18"/>
      <c r="E296" s="20"/>
      <c r="F296" s="23"/>
      <c r="G296" s="23"/>
      <c r="H296" s="18"/>
      <c r="I296" s="18"/>
      <c r="J296" s="18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" customHeight="1" x14ac:dyDescent="0.35">
      <c r="A297" s="19"/>
      <c r="B297" s="19"/>
      <c r="C297" s="19"/>
      <c r="D297" s="18"/>
      <c r="E297" s="20"/>
      <c r="F297" s="23"/>
      <c r="G297" s="23"/>
      <c r="H297" s="18"/>
      <c r="I297" s="18"/>
      <c r="J297" s="18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" customHeight="1" x14ac:dyDescent="0.35">
      <c r="A298" s="19"/>
      <c r="B298" s="19"/>
      <c r="C298" s="19"/>
      <c r="D298" s="18"/>
      <c r="E298" s="20"/>
      <c r="F298" s="23"/>
      <c r="G298" s="23"/>
      <c r="H298" s="18"/>
      <c r="I298" s="18"/>
      <c r="J298" s="18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" customHeight="1" x14ac:dyDescent="0.35">
      <c r="A299" s="19"/>
      <c r="B299" s="19"/>
      <c r="C299" s="19"/>
      <c r="D299" s="18"/>
      <c r="E299" s="20"/>
      <c r="F299" s="23"/>
      <c r="G299" s="23"/>
      <c r="H299" s="18"/>
      <c r="I299" s="18"/>
      <c r="J299" s="18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" customHeight="1" x14ac:dyDescent="0.35">
      <c r="A300" s="19"/>
      <c r="B300" s="19"/>
      <c r="C300" s="19"/>
      <c r="D300" s="18"/>
      <c r="E300" s="20"/>
      <c r="F300" s="23"/>
      <c r="G300" s="23"/>
      <c r="H300" s="18"/>
      <c r="I300" s="18"/>
      <c r="J300" s="18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" customHeight="1" x14ac:dyDescent="0.35">
      <c r="A301" s="19"/>
      <c r="B301" s="19"/>
      <c r="C301" s="19"/>
      <c r="D301" s="18"/>
      <c r="E301" s="20"/>
      <c r="F301" s="23"/>
      <c r="G301" s="23"/>
      <c r="H301" s="18"/>
      <c r="I301" s="18"/>
      <c r="J301" s="18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" customHeight="1" x14ac:dyDescent="0.35">
      <c r="A302" s="19"/>
      <c r="B302" s="19"/>
      <c r="C302" s="19"/>
      <c r="D302" s="18"/>
      <c r="E302" s="20"/>
      <c r="F302" s="23"/>
      <c r="G302" s="23"/>
      <c r="H302" s="18"/>
      <c r="I302" s="18"/>
      <c r="J302" s="18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" customHeight="1" x14ac:dyDescent="0.35">
      <c r="A303" s="19"/>
      <c r="B303" s="19"/>
      <c r="C303" s="19"/>
      <c r="D303" s="18"/>
      <c r="E303" s="20"/>
      <c r="F303" s="23"/>
      <c r="G303" s="23"/>
      <c r="H303" s="18"/>
      <c r="I303" s="18"/>
      <c r="J303" s="18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" customHeight="1" x14ac:dyDescent="0.35">
      <c r="A304" s="19"/>
      <c r="B304" s="19"/>
      <c r="C304" s="19"/>
      <c r="D304" s="18"/>
      <c r="E304" s="20"/>
      <c r="F304" s="23"/>
      <c r="G304" s="23"/>
      <c r="H304" s="18"/>
      <c r="I304" s="18"/>
      <c r="J304" s="18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" customHeight="1" x14ac:dyDescent="0.35">
      <c r="A305" s="19"/>
      <c r="B305" s="19"/>
      <c r="C305" s="19"/>
      <c r="D305" s="18"/>
      <c r="E305" s="20"/>
      <c r="F305" s="23"/>
      <c r="G305" s="23"/>
      <c r="H305" s="18"/>
      <c r="I305" s="18"/>
      <c r="J305" s="18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" customHeight="1" x14ac:dyDescent="0.35">
      <c r="A306" s="19"/>
      <c r="B306" s="19"/>
      <c r="C306" s="19"/>
      <c r="D306" s="18"/>
      <c r="E306" s="20"/>
      <c r="F306" s="23"/>
      <c r="G306" s="23"/>
      <c r="H306" s="18"/>
      <c r="I306" s="18"/>
      <c r="J306" s="18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" customHeight="1" x14ac:dyDescent="0.35">
      <c r="A307" s="19"/>
      <c r="B307" s="19"/>
      <c r="C307" s="19"/>
      <c r="D307" s="18"/>
      <c r="E307" s="20"/>
      <c r="F307" s="23"/>
      <c r="G307" s="23"/>
      <c r="H307" s="18"/>
      <c r="I307" s="18"/>
      <c r="J307" s="18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" customHeight="1" x14ac:dyDescent="0.35">
      <c r="A308" s="19"/>
      <c r="B308" s="19"/>
      <c r="C308" s="19"/>
      <c r="D308" s="18"/>
      <c r="E308" s="20"/>
      <c r="F308" s="23"/>
      <c r="G308" s="23"/>
      <c r="H308" s="18"/>
      <c r="I308" s="18"/>
      <c r="J308" s="18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" customHeight="1" x14ac:dyDescent="0.35">
      <c r="A309" s="19"/>
      <c r="B309" s="19"/>
      <c r="C309" s="19"/>
      <c r="D309" s="18"/>
      <c r="E309" s="20"/>
      <c r="F309" s="23"/>
      <c r="G309" s="23"/>
      <c r="H309" s="18"/>
      <c r="I309" s="18"/>
      <c r="J309" s="18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" customHeight="1" x14ac:dyDescent="0.35">
      <c r="A310" s="19"/>
      <c r="B310" s="19"/>
      <c r="C310" s="19"/>
      <c r="D310" s="18"/>
      <c r="E310" s="20"/>
      <c r="F310" s="23"/>
      <c r="G310" s="23"/>
      <c r="H310" s="18"/>
      <c r="I310" s="18"/>
      <c r="J310" s="18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" customHeight="1" x14ac:dyDescent="0.35">
      <c r="A311" s="19"/>
      <c r="B311" s="19"/>
      <c r="C311" s="19"/>
      <c r="D311" s="18"/>
      <c r="E311" s="20"/>
      <c r="F311" s="23"/>
      <c r="G311" s="23"/>
      <c r="H311" s="18"/>
      <c r="I311" s="18"/>
      <c r="J311" s="18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" customHeight="1" x14ac:dyDescent="0.35">
      <c r="A312" s="19"/>
      <c r="B312" s="19"/>
      <c r="C312" s="19"/>
      <c r="D312" s="18"/>
      <c r="E312" s="20"/>
      <c r="F312" s="23"/>
      <c r="G312" s="23"/>
      <c r="H312" s="18"/>
      <c r="I312" s="18"/>
      <c r="J312" s="18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" customHeight="1" x14ac:dyDescent="0.35">
      <c r="A313" s="19"/>
      <c r="B313" s="19"/>
      <c r="C313" s="19"/>
      <c r="D313" s="18"/>
      <c r="E313" s="20"/>
      <c r="F313" s="23"/>
      <c r="G313" s="23"/>
      <c r="H313" s="18"/>
      <c r="I313" s="18"/>
      <c r="J313" s="18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" customHeight="1" x14ac:dyDescent="0.35">
      <c r="A314" s="19"/>
      <c r="B314" s="19"/>
      <c r="C314" s="19"/>
      <c r="D314" s="18"/>
      <c r="E314" s="20"/>
      <c r="F314" s="23"/>
      <c r="G314" s="23"/>
      <c r="H314" s="18"/>
      <c r="I314" s="18"/>
      <c r="J314" s="18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" customHeight="1" x14ac:dyDescent="0.35">
      <c r="A315" s="19"/>
      <c r="B315" s="19"/>
      <c r="C315" s="19"/>
      <c r="D315" s="18"/>
      <c r="E315" s="20"/>
      <c r="F315" s="23"/>
      <c r="G315" s="23"/>
      <c r="H315" s="18"/>
      <c r="I315" s="18"/>
      <c r="J315" s="18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" customHeight="1" x14ac:dyDescent="0.35">
      <c r="A316" s="19"/>
      <c r="B316" s="19"/>
      <c r="C316" s="19"/>
      <c r="D316" s="18"/>
      <c r="E316" s="20"/>
      <c r="F316" s="23"/>
      <c r="G316" s="23"/>
      <c r="H316" s="18"/>
      <c r="I316" s="18"/>
      <c r="J316" s="18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" customHeight="1" x14ac:dyDescent="0.35">
      <c r="A317" s="19"/>
      <c r="B317" s="19"/>
      <c r="C317" s="19"/>
      <c r="D317" s="18"/>
      <c r="E317" s="20"/>
      <c r="F317" s="23"/>
      <c r="G317" s="23"/>
      <c r="H317" s="18"/>
      <c r="I317" s="18"/>
      <c r="J317" s="18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" customHeight="1" x14ac:dyDescent="0.35">
      <c r="A318" s="19"/>
      <c r="B318" s="19"/>
      <c r="C318" s="19"/>
      <c r="D318" s="18"/>
      <c r="E318" s="20"/>
      <c r="F318" s="23"/>
      <c r="G318" s="23"/>
      <c r="H318" s="18"/>
      <c r="I318" s="18"/>
      <c r="J318" s="18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" customHeight="1" x14ac:dyDescent="0.35">
      <c r="A319" s="19"/>
      <c r="B319" s="19"/>
      <c r="C319" s="19"/>
      <c r="D319" s="18"/>
      <c r="E319" s="20"/>
      <c r="F319" s="23"/>
      <c r="G319" s="23"/>
      <c r="H319" s="18"/>
      <c r="I319" s="18"/>
      <c r="J319" s="18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" customHeight="1" x14ac:dyDescent="0.35">
      <c r="A320" s="19"/>
      <c r="B320" s="19"/>
      <c r="C320" s="19"/>
      <c r="D320" s="18"/>
      <c r="E320" s="20"/>
      <c r="F320" s="23"/>
      <c r="G320" s="23"/>
      <c r="H320" s="18"/>
      <c r="I320" s="18"/>
      <c r="J320" s="18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" customHeight="1" x14ac:dyDescent="0.35">
      <c r="A321" s="19"/>
      <c r="B321" s="19"/>
      <c r="C321" s="19"/>
      <c r="D321" s="18"/>
      <c r="E321" s="20"/>
      <c r="F321" s="23"/>
      <c r="G321" s="23"/>
      <c r="H321" s="18"/>
      <c r="I321" s="18"/>
      <c r="J321" s="18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" customHeight="1" x14ac:dyDescent="0.35">
      <c r="A322" s="19"/>
      <c r="B322" s="19"/>
      <c r="C322" s="19"/>
      <c r="D322" s="18"/>
      <c r="E322" s="20"/>
      <c r="F322" s="23"/>
      <c r="G322" s="23"/>
      <c r="H322" s="18"/>
      <c r="I322" s="18"/>
      <c r="J322" s="18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" customHeight="1" x14ac:dyDescent="0.35">
      <c r="A323" s="19"/>
      <c r="B323" s="19"/>
      <c r="C323" s="19"/>
      <c r="D323" s="18"/>
      <c r="E323" s="20"/>
      <c r="F323" s="23"/>
      <c r="G323" s="23"/>
      <c r="H323" s="18"/>
      <c r="I323" s="18"/>
      <c r="J323" s="24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" customHeight="1" x14ac:dyDescent="0.35">
      <c r="A324" s="19"/>
      <c r="B324" s="19"/>
      <c r="C324" s="19"/>
      <c r="D324" s="18"/>
      <c r="E324" s="20"/>
      <c r="F324" s="23"/>
      <c r="G324" s="23"/>
      <c r="H324" s="18"/>
      <c r="I324" s="18"/>
      <c r="J324" s="24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" customHeight="1" x14ac:dyDescent="0.35">
      <c r="A325" s="19"/>
      <c r="B325" s="19"/>
      <c r="C325" s="19"/>
      <c r="D325" s="18"/>
      <c r="E325" s="20"/>
      <c r="F325" s="23"/>
      <c r="G325" s="23"/>
      <c r="H325" s="18"/>
      <c r="I325" s="18"/>
      <c r="J325" s="24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" customHeight="1" x14ac:dyDescent="0.35">
      <c r="A326" s="19"/>
      <c r="B326" s="19"/>
      <c r="C326" s="19"/>
      <c r="D326" s="18"/>
      <c r="E326" s="20"/>
      <c r="F326" s="23"/>
      <c r="G326" s="23"/>
      <c r="H326" s="18"/>
      <c r="I326" s="18"/>
      <c r="J326" s="24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" customHeight="1" x14ac:dyDescent="0.35">
      <c r="A327" s="19"/>
      <c r="B327" s="19"/>
      <c r="C327" s="19"/>
      <c r="D327" s="18"/>
      <c r="E327" s="20"/>
      <c r="F327" s="23"/>
      <c r="G327" s="23"/>
      <c r="H327" s="18"/>
      <c r="I327" s="18"/>
      <c r="J327" s="24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" customHeight="1" x14ac:dyDescent="0.35">
      <c r="A328" s="19"/>
      <c r="B328" s="19"/>
      <c r="C328" s="19"/>
      <c r="D328" s="18"/>
      <c r="E328" s="20"/>
      <c r="F328" s="23"/>
      <c r="G328" s="23"/>
      <c r="H328" s="18"/>
      <c r="I328" s="18"/>
      <c r="J328" s="24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" customHeight="1" x14ac:dyDescent="0.35">
      <c r="A329" s="19"/>
      <c r="B329" s="19"/>
      <c r="C329" s="19"/>
      <c r="D329" s="18"/>
      <c r="E329" s="20"/>
      <c r="F329" s="23"/>
      <c r="G329" s="23"/>
      <c r="H329" s="18"/>
      <c r="I329" s="18"/>
      <c r="J329" s="24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" customHeight="1" x14ac:dyDescent="0.35">
      <c r="A330" s="19"/>
      <c r="B330" s="19"/>
      <c r="C330" s="19"/>
      <c r="D330" s="18"/>
      <c r="E330" s="20"/>
      <c r="F330" s="23"/>
      <c r="G330" s="23"/>
      <c r="H330" s="18"/>
      <c r="I330" s="18"/>
      <c r="J330" s="24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" customHeight="1" x14ac:dyDescent="0.35">
      <c r="A331" s="19"/>
      <c r="B331" s="19"/>
      <c r="C331" s="19"/>
      <c r="D331" s="18"/>
      <c r="E331" s="20"/>
      <c r="F331" s="23"/>
      <c r="G331" s="23"/>
      <c r="H331" s="18"/>
      <c r="I331" s="18"/>
      <c r="J331" s="24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" customHeight="1" x14ac:dyDescent="0.35">
      <c r="A332" s="19"/>
      <c r="B332" s="19"/>
      <c r="C332" s="19"/>
      <c r="D332" s="18"/>
      <c r="E332" s="20"/>
      <c r="F332" s="23"/>
      <c r="G332" s="23"/>
      <c r="H332" s="18"/>
      <c r="I332" s="18"/>
      <c r="J332" s="24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" customHeight="1" x14ac:dyDescent="0.35">
      <c r="A333" s="19"/>
      <c r="B333" s="19"/>
      <c r="C333" s="19"/>
      <c r="D333" s="18"/>
      <c r="E333" s="20"/>
      <c r="F333" s="23"/>
      <c r="G333" s="30"/>
      <c r="H333" s="24"/>
      <c r="I333" s="18"/>
      <c r="J333" s="24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" customHeight="1" x14ac:dyDescent="0.35">
      <c r="A334" s="19"/>
      <c r="B334" s="19"/>
      <c r="C334" s="19"/>
      <c r="D334" s="18"/>
      <c r="E334" s="20"/>
      <c r="F334" s="23"/>
      <c r="G334" s="30"/>
      <c r="H334" s="24"/>
      <c r="I334" s="18"/>
      <c r="J334" s="24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" customHeight="1" x14ac:dyDescent="0.35">
      <c r="A335" s="19"/>
      <c r="B335" s="19"/>
      <c r="C335" s="19"/>
      <c r="D335" s="18"/>
      <c r="E335" s="20"/>
      <c r="F335" s="23"/>
      <c r="G335" s="23"/>
      <c r="H335" s="18"/>
      <c r="I335" s="18"/>
      <c r="J335" s="24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" customHeight="1" x14ac:dyDescent="0.35">
      <c r="A336" s="19"/>
      <c r="B336" s="19"/>
      <c r="C336" s="19"/>
      <c r="D336" s="18"/>
      <c r="E336" s="20"/>
      <c r="F336" s="23"/>
      <c r="G336" s="30"/>
      <c r="H336" s="24"/>
      <c r="I336" s="18"/>
      <c r="J336" s="24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" customHeight="1" x14ac:dyDescent="0.35">
      <c r="A337" s="19"/>
      <c r="B337" s="19"/>
      <c r="C337" s="19"/>
      <c r="D337" s="18"/>
      <c r="E337" s="20"/>
      <c r="F337" s="23"/>
      <c r="G337" s="23"/>
      <c r="H337" s="18"/>
      <c r="I337" s="18"/>
      <c r="J337" s="24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" customHeight="1" x14ac:dyDescent="0.35">
      <c r="A338" s="19"/>
      <c r="B338" s="19"/>
      <c r="C338" s="19"/>
      <c r="D338" s="18"/>
      <c r="E338" s="20"/>
      <c r="F338" s="23"/>
      <c r="G338" s="30"/>
      <c r="H338" s="24"/>
      <c r="I338" s="18"/>
      <c r="J338" s="24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" customHeight="1" x14ac:dyDescent="0.35">
      <c r="A339" s="19"/>
      <c r="B339" s="19"/>
      <c r="C339" s="19"/>
      <c r="D339" s="18"/>
      <c r="E339" s="20"/>
      <c r="F339" s="23"/>
      <c r="G339" s="23"/>
      <c r="H339" s="18"/>
      <c r="I339" s="18"/>
      <c r="J339" s="24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" customHeight="1" x14ac:dyDescent="0.35">
      <c r="A340" s="19"/>
      <c r="B340" s="19"/>
      <c r="C340" s="19"/>
      <c r="D340" s="18"/>
      <c r="E340" s="20"/>
      <c r="F340" s="23"/>
      <c r="G340" s="30"/>
      <c r="H340" s="24"/>
      <c r="I340" s="18"/>
      <c r="J340" s="24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" customHeight="1" x14ac:dyDescent="0.35">
      <c r="A341" s="19"/>
      <c r="B341" s="19"/>
      <c r="C341" s="19"/>
      <c r="D341" s="18"/>
      <c r="E341" s="20"/>
      <c r="F341" s="23"/>
      <c r="G341" s="30"/>
      <c r="H341" s="24"/>
      <c r="I341" s="18"/>
      <c r="J341" s="24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" customHeight="1" x14ac:dyDescent="0.35">
      <c r="A342" s="19"/>
      <c r="B342" s="19"/>
      <c r="C342" s="19"/>
      <c r="D342" s="18"/>
      <c r="E342" s="20"/>
      <c r="F342" s="23"/>
      <c r="G342" s="30"/>
      <c r="H342" s="24"/>
      <c r="I342" s="18"/>
      <c r="J342" s="24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" customHeight="1" x14ac:dyDescent="0.35">
      <c r="A343" s="19"/>
      <c r="B343" s="19"/>
      <c r="C343" s="19"/>
      <c r="D343" s="18"/>
      <c r="E343" s="20"/>
      <c r="F343" s="23"/>
      <c r="G343" s="30"/>
      <c r="H343" s="24"/>
      <c r="I343" s="18"/>
      <c r="J343" s="24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" customHeight="1" x14ac:dyDescent="0.35">
      <c r="A344" s="19"/>
      <c r="B344" s="19"/>
      <c r="C344" s="19"/>
      <c r="D344" s="18"/>
      <c r="E344" s="20"/>
      <c r="F344" s="23"/>
      <c r="G344" s="30"/>
      <c r="H344" s="24"/>
      <c r="I344" s="18"/>
      <c r="J344" s="24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" customHeight="1" x14ac:dyDescent="0.35">
      <c r="A345" s="19"/>
      <c r="B345" s="19"/>
      <c r="C345" s="19"/>
      <c r="D345" s="18"/>
      <c r="E345" s="20"/>
      <c r="F345" s="23"/>
      <c r="G345" s="30"/>
      <c r="H345" s="24"/>
      <c r="I345" s="18"/>
      <c r="J345" s="24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" customHeight="1" x14ac:dyDescent="0.35">
      <c r="A346" s="19"/>
      <c r="B346" s="19"/>
      <c r="C346" s="19"/>
      <c r="D346" s="18"/>
      <c r="E346" s="20"/>
      <c r="F346" s="23"/>
      <c r="G346" s="30"/>
      <c r="H346" s="24"/>
      <c r="I346" s="18"/>
      <c r="J346" s="24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" customHeight="1" x14ac:dyDescent="0.35">
      <c r="A347" s="19"/>
      <c r="B347" s="19"/>
      <c r="C347" s="19"/>
      <c r="D347" s="18"/>
      <c r="E347" s="20"/>
      <c r="F347" s="23"/>
      <c r="G347" s="30"/>
      <c r="H347" s="24"/>
      <c r="I347" s="18"/>
      <c r="J347" s="24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" customHeight="1" x14ac:dyDescent="0.35">
      <c r="A348" s="19"/>
      <c r="B348" s="19"/>
      <c r="C348" s="19"/>
      <c r="D348" s="18"/>
      <c r="E348" s="20"/>
      <c r="F348" s="23"/>
      <c r="G348" s="30"/>
      <c r="H348" s="24"/>
      <c r="I348" s="18"/>
      <c r="J348" s="24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" customHeight="1" x14ac:dyDescent="0.35">
      <c r="A349" s="19"/>
      <c r="B349" s="19"/>
      <c r="C349" s="19"/>
      <c r="D349" s="18"/>
      <c r="E349" s="20"/>
      <c r="F349" s="23"/>
      <c r="G349" s="30"/>
      <c r="H349" s="24"/>
      <c r="I349" s="18"/>
      <c r="J349" s="24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" customHeight="1" x14ac:dyDescent="0.35">
      <c r="A350" s="19"/>
      <c r="B350" s="19"/>
      <c r="C350" s="19"/>
      <c r="D350" s="18"/>
      <c r="E350" s="20"/>
      <c r="F350" s="23"/>
      <c r="G350" s="30"/>
      <c r="H350" s="24"/>
      <c r="I350" s="18"/>
      <c r="J350" s="24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" customHeight="1" x14ac:dyDescent="0.35">
      <c r="A351" s="19"/>
      <c r="B351" s="19"/>
      <c r="C351" s="19"/>
      <c r="D351" s="18"/>
      <c r="E351" s="20"/>
      <c r="F351" s="23"/>
      <c r="G351" s="23"/>
      <c r="H351" s="18"/>
      <c r="I351" s="18"/>
      <c r="J351" s="24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" customHeight="1" x14ac:dyDescent="0.35">
      <c r="A352" s="19"/>
      <c r="B352" s="19"/>
      <c r="C352" s="19"/>
      <c r="D352" s="18"/>
      <c r="E352" s="20"/>
      <c r="F352" s="23"/>
      <c r="G352" s="30"/>
      <c r="H352" s="24"/>
      <c r="I352" s="18"/>
      <c r="J352" s="24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" customHeight="1" x14ac:dyDescent="0.35">
      <c r="A353" s="19"/>
      <c r="B353" s="19"/>
      <c r="C353" s="19"/>
      <c r="D353" s="18"/>
      <c r="E353" s="20"/>
      <c r="F353" s="23"/>
      <c r="G353" s="30"/>
      <c r="H353" s="24"/>
      <c r="I353" s="18"/>
      <c r="J353" s="24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" customHeight="1" x14ac:dyDescent="0.35">
      <c r="A354" s="47"/>
      <c r="B354" s="47"/>
      <c r="C354" s="47"/>
      <c r="D354" s="48"/>
      <c r="E354" s="49"/>
      <c r="F354" s="50"/>
      <c r="G354" s="50"/>
      <c r="H354" s="48"/>
      <c r="I354" s="48"/>
      <c r="J354" s="48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" customHeight="1" x14ac:dyDescent="0.35">
      <c r="A355" s="19"/>
      <c r="B355" s="19"/>
      <c r="C355" s="19"/>
      <c r="D355" s="18"/>
      <c r="E355" s="20"/>
      <c r="F355" s="23"/>
      <c r="G355" s="30"/>
      <c r="H355" s="24"/>
      <c r="I355" s="18"/>
      <c r="J355" s="24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" customHeight="1" x14ac:dyDescent="0.35">
      <c r="A356" s="19"/>
      <c r="B356" s="19"/>
      <c r="C356" s="19"/>
      <c r="D356" s="18"/>
      <c r="E356" s="20"/>
      <c r="F356" s="23"/>
      <c r="G356" s="30"/>
      <c r="H356" s="24"/>
      <c r="I356" s="18"/>
      <c r="J356" s="24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" customHeight="1" x14ac:dyDescent="0.35">
      <c r="A357" s="19"/>
      <c r="B357" s="19"/>
      <c r="C357" s="19"/>
      <c r="D357" s="18"/>
      <c r="E357" s="20"/>
      <c r="F357" s="23"/>
      <c r="G357" s="30"/>
      <c r="H357" s="24"/>
      <c r="I357" s="18"/>
      <c r="J357" s="24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" customHeight="1" x14ac:dyDescent="0.35">
      <c r="A358" s="19"/>
      <c r="B358" s="19"/>
      <c r="C358" s="19"/>
      <c r="D358" s="18"/>
      <c r="E358" s="20"/>
      <c r="F358" s="23"/>
      <c r="G358" s="23"/>
      <c r="H358" s="18"/>
      <c r="I358" s="18"/>
      <c r="J358" s="24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" customHeight="1" x14ac:dyDescent="0.35">
      <c r="A359" s="19"/>
      <c r="B359" s="19"/>
      <c r="C359" s="19"/>
      <c r="D359" s="61"/>
      <c r="E359" s="20"/>
      <c r="F359" s="23"/>
      <c r="G359" s="23"/>
      <c r="H359" s="18"/>
      <c r="I359" s="18"/>
      <c r="J359" s="24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" customHeight="1" x14ac:dyDescent="0.35">
      <c r="A360" s="19"/>
      <c r="B360" s="19"/>
      <c r="C360" s="19"/>
      <c r="D360" s="61"/>
      <c r="E360" s="20"/>
      <c r="F360" s="23"/>
      <c r="G360" s="30"/>
      <c r="H360" s="24"/>
      <c r="I360" s="18"/>
      <c r="J360" s="24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" customHeight="1" x14ac:dyDescent="0.35">
      <c r="A361" s="19"/>
      <c r="B361" s="19"/>
      <c r="C361" s="19"/>
      <c r="D361" s="18"/>
      <c r="E361" s="20"/>
      <c r="F361" s="23"/>
      <c r="G361" s="30"/>
      <c r="H361" s="24"/>
      <c r="I361" s="18"/>
      <c r="J361" s="24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" customHeight="1" x14ac:dyDescent="0.35">
      <c r="A362" s="19"/>
      <c r="B362" s="19"/>
      <c r="C362" s="19"/>
      <c r="D362" s="18"/>
      <c r="E362" s="20"/>
      <c r="F362" s="23"/>
      <c r="G362" s="30"/>
      <c r="H362" s="24"/>
      <c r="I362" s="18"/>
      <c r="J362" s="24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" customHeight="1" x14ac:dyDescent="0.35">
      <c r="A363" s="19"/>
      <c r="B363" s="19"/>
      <c r="C363" s="19"/>
      <c r="D363" s="18"/>
      <c r="E363" s="20"/>
      <c r="F363" s="23"/>
      <c r="G363" s="23"/>
      <c r="H363" s="18"/>
      <c r="I363" s="18"/>
      <c r="J363" s="24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" customHeight="1" x14ac:dyDescent="0.35">
      <c r="A364" s="19"/>
      <c r="B364" s="19"/>
      <c r="C364" s="19"/>
      <c r="D364" s="18"/>
      <c r="E364" s="20"/>
      <c r="F364" s="23"/>
      <c r="G364" s="23"/>
      <c r="H364" s="18"/>
      <c r="I364" s="18"/>
      <c r="J364" s="24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" customHeight="1" x14ac:dyDescent="0.35">
      <c r="A365" s="19"/>
      <c r="B365" s="19"/>
      <c r="C365" s="19"/>
      <c r="D365" s="18"/>
      <c r="E365" s="20"/>
      <c r="F365" s="23"/>
      <c r="G365" s="23"/>
      <c r="H365" s="18"/>
      <c r="I365" s="18"/>
      <c r="J365" s="24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" customHeight="1" x14ac:dyDescent="0.35">
      <c r="A366" s="19"/>
      <c r="B366" s="19"/>
      <c r="C366" s="19"/>
      <c r="D366" s="18"/>
      <c r="E366" s="20"/>
      <c r="F366" s="23"/>
      <c r="G366" s="23"/>
      <c r="H366" s="18"/>
      <c r="I366" s="18"/>
      <c r="J366" s="24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" customHeight="1" x14ac:dyDescent="0.35">
      <c r="A367" s="19"/>
      <c r="B367" s="19"/>
      <c r="C367" s="19"/>
      <c r="D367" s="18"/>
      <c r="E367" s="20"/>
      <c r="F367" s="23"/>
      <c r="G367" s="30"/>
      <c r="H367" s="24"/>
      <c r="I367" s="18"/>
      <c r="J367" s="24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" customHeight="1" x14ac:dyDescent="0.35">
      <c r="A368" s="19"/>
      <c r="B368" s="19"/>
      <c r="C368" s="19"/>
      <c r="D368" s="18"/>
      <c r="E368" s="20"/>
      <c r="F368" s="23"/>
      <c r="G368" s="23"/>
      <c r="H368" s="18"/>
      <c r="I368" s="18"/>
      <c r="J368" s="24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" customHeight="1" x14ac:dyDescent="0.35">
      <c r="A369" s="19"/>
      <c r="B369" s="19"/>
      <c r="C369" s="19"/>
      <c r="D369" s="18"/>
      <c r="E369" s="20"/>
      <c r="F369" s="23"/>
      <c r="G369" s="23"/>
      <c r="H369" s="18"/>
      <c r="I369" s="18"/>
      <c r="J369" s="24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" customHeight="1" x14ac:dyDescent="0.35">
      <c r="A370" s="19"/>
      <c r="B370" s="19"/>
      <c r="C370" s="19"/>
      <c r="D370" s="18"/>
      <c r="E370" s="20"/>
      <c r="F370" s="23"/>
      <c r="G370" s="23"/>
      <c r="H370" s="18"/>
      <c r="I370" s="18"/>
      <c r="J370" s="24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" customHeight="1" x14ac:dyDescent="0.35">
      <c r="A371" s="19"/>
      <c r="B371" s="19"/>
      <c r="C371" s="19"/>
      <c r="D371" s="18"/>
      <c r="E371" s="20"/>
      <c r="F371" s="23"/>
      <c r="G371" s="30"/>
      <c r="H371" s="24"/>
      <c r="I371" s="18"/>
      <c r="J371" s="24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" customHeight="1" x14ac:dyDescent="0.35">
      <c r="A372" s="19"/>
      <c r="B372" s="19"/>
      <c r="C372" s="19"/>
      <c r="D372" s="18"/>
      <c r="E372" s="20"/>
      <c r="F372" s="23"/>
      <c r="G372" s="23"/>
      <c r="H372" s="18"/>
      <c r="I372" s="18"/>
      <c r="J372" s="24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" customHeight="1" x14ac:dyDescent="0.35">
      <c r="A373" s="19"/>
      <c r="B373" s="19"/>
      <c r="C373" s="19"/>
      <c r="D373" s="18"/>
      <c r="E373" s="20"/>
      <c r="F373" s="23"/>
      <c r="G373" s="30"/>
      <c r="H373" s="24"/>
      <c r="I373" s="18"/>
      <c r="J373" s="24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" customHeight="1" x14ac:dyDescent="0.35">
      <c r="A374" s="19"/>
      <c r="B374" s="19"/>
      <c r="C374" s="19"/>
      <c r="D374" s="18"/>
      <c r="E374" s="20"/>
      <c r="F374" s="23"/>
      <c r="G374" s="23"/>
      <c r="H374" s="18"/>
      <c r="I374" s="18"/>
      <c r="J374" s="24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" customHeight="1" x14ac:dyDescent="0.35">
      <c r="A375" s="19"/>
      <c r="B375" s="19"/>
      <c r="C375" s="19"/>
      <c r="D375" s="18"/>
      <c r="E375" s="20"/>
      <c r="F375" s="23"/>
      <c r="G375" s="30"/>
      <c r="H375" s="24"/>
      <c r="I375" s="18"/>
      <c r="J375" s="24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" customHeight="1" x14ac:dyDescent="0.35">
      <c r="A376" s="19"/>
      <c r="B376" s="19"/>
      <c r="C376" s="19"/>
      <c r="D376" s="18"/>
      <c r="E376" s="20"/>
      <c r="F376" s="23"/>
      <c r="G376" s="30"/>
      <c r="H376" s="24"/>
      <c r="I376" s="18"/>
      <c r="J376" s="24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" customHeight="1" x14ac:dyDescent="0.35">
      <c r="A377" s="19"/>
      <c r="B377" s="19"/>
      <c r="C377" s="19"/>
      <c r="D377" s="18"/>
      <c r="E377" s="20"/>
      <c r="F377" s="23"/>
      <c r="G377" s="23"/>
      <c r="H377" s="18"/>
      <c r="I377" s="18"/>
      <c r="J377" s="24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" customHeight="1" x14ac:dyDescent="0.35">
      <c r="A378" s="19"/>
      <c r="B378" s="19"/>
      <c r="C378" s="19"/>
      <c r="D378" s="18"/>
      <c r="E378" s="20"/>
      <c r="F378" s="23"/>
      <c r="G378" s="23"/>
      <c r="H378" s="18"/>
      <c r="I378" s="18"/>
      <c r="J378" s="24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" customHeight="1" x14ac:dyDescent="0.35">
      <c r="A379" s="19"/>
      <c r="B379" s="19"/>
      <c r="C379" s="19"/>
      <c r="D379" s="18"/>
      <c r="E379" s="20"/>
      <c r="F379" s="23"/>
      <c r="G379" s="23"/>
      <c r="H379" s="18"/>
      <c r="I379" s="18"/>
      <c r="J379" s="24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" customHeight="1" x14ac:dyDescent="0.35">
      <c r="A380" s="19"/>
      <c r="B380" s="19"/>
      <c r="C380" s="19"/>
      <c r="D380" s="18"/>
      <c r="E380" s="20"/>
      <c r="F380" s="23"/>
      <c r="G380" s="23"/>
      <c r="H380" s="18"/>
      <c r="I380" s="18"/>
      <c r="J380" s="24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" customHeight="1" x14ac:dyDescent="0.35">
      <c r="A381" s="19"/>
      <c r="B381" s="19"/>
      <c r="C381" s="19"/>
      <c r="D381" s="18"/>
      <c r="E381" s="20"/>
      <c r="F381" s="23"/>
      <c r="G381" s="23"/>
      <c r="H381" s="18"/>
      <c r="I381" s="18"/>
      <c r="J381" s="24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" customHeight="1" x14ac:dyDescent="0.35">
      <c r="A382" s="19"/>
      <c r="B382" s="19"/>
      <c r="C382" s="19"/>
      <c r="D382" s="18"/>
      <c r="E382" s="20"/>
      <c r="F382" s="23"/>
      <c r="G382" s="23"/>
      <c r="H382" s="18"/>
      <c r="I382" s="18"/>
      <c r="J382" s="24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" customHeight="1" x14ac:dyDescent="0.35">
      <c r="A383" s="19"/>
      <c r="B383" s="19"/>
      <c r="C383" s="19"/>
      <c r="D383" s="18"/>
      <c r="E383" s="20"/>
      <c r="F383" s="23"/>
      <c r="G383" s="23"/>
      <c r="H383" s="18"/>
      <c r="I383" s="18"/>
      <c r="J383" s="24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" customHeight="1" x14ac:dyDescent="0.35">
      <c r="A384" s="19"/>
      <c r="B384" s="19"/>
      <c r="C384" s="19"/>
      <c r="D384" s="18"/>
      <c r="E384" s="20"/>
      <c r="F384" s="23"/>
      <c r="G384" s="23"/>
      <c r="H384" s="18"/>
      <c r="I384" s="18"/>
      <c r="J384" s="24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" customHeight="1" x14ac:dyDescent="0.35">
      <c r="A385" s="19"/>
      <c r="B385" s="19"/>
      <c r="C385" s="19"/>
      <c r="D385" s="18"/>
      <c r="E385" s="20"/>
      <c r="F385" s="23"/>
      <c r="G385" s="23"/>
      <c r="H385" s="18"/>
      <c r="I385" s="18"/>
      <c r="J385" s="24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" customHeight="1" x14ac:dyDescent="0.35">
      <c r="A386" s="19"/>
      <c r="B386" s="19"/>
      <c r="C386" s="19"/>
      <c r="D386" s="18"/>
      <c r="E386" s="20"/>
      <c r="F386" s="23"/>
      <c r="G386" s="23"/>
      <c r="H386" s="18"/>
      <c r="I386" s="18"/>
      <c r="J386" s="24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" customHeight="1" x14ac:dyDescent="0.35">
      <c r="A387" s="19"/>
      <c r="B387" s="19"/>
      <c r="C387" s="19"/>
      <c r="D387" s="18"/>
      <c r="E387" s="20"/>
      <c r="F387" s="23"/>
      <c r="G387" s="23"/>
      <c r="H387" s="18"/>
      <c r="I387" s="18"/>
      <c r="J387" s="24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" customHeight="1" x14ac:dyDescent="0.35">
      <c r="A388" s="19"/>
      <c r="B388" s="19"/>
      <c r="C388" s="19"/>
      <c r="D388" s="18"/>
      <c r="E388" s="20"/>
      <c r="F388" s="23"/>
      <c r="G388" s="23"/>
      <c r="H388" s="18"/>
      <c r="I388" s="18"/>
      <c r="J388" s="24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" customHeight="1" x14ac:dyDescent="0.35">
      <c r="A389" s="19"/>
      <c r="B389" s="19"/>
      <c r="C389" s="19"/>
      <c r="D389" s="18"/>
      <c r="E389" s="20"/>
      <c r="F389" s="23"/>
      <c r="G389" s="23"/>
      <c r="H389" s="18"/>
      <c r="I389" s="18"/>
      <c r="J389" s="24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" customHeight="1" x14ac:dyDescent="0.35">
      <c r="A390" s="19"/>
      <c r="B390" s="19"/>
      <c r="C390" s="19"/>
      <c r="D390" s="18"/>
      <c r="E390" s="20"/>
      <c r="F390" s="23"/>
      <c r="G390" s="23"/>
      <c r="H390" s="18"/>
      <c r="I390" s="18"/>
      <c r="J390" s="24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" customHeight="1" x14ac:dyDescent="0.35">
      <c r="A391" s="19"/>
      <c r="B391" s="19"/>
      <c r="C391" s="19"/>
      <c r="D391" s="18"/>
      <c r="E391" s="20"/>
      <c r="F391" s="23"/>
      <c r="G391" s="23"/>
      <c r="H391" s="18"/>
      <c r="I391" s="18"/>
      <c r="J391" s="24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" customHeight="1" x14ac:dyDescent="0.35">
      <c r="A392" s="19"/>
      <c r="B392" s="19"/>
      <c r="C392" s="19"/>
      <c r="D392" s="18"/>
      <c r="E392" s="20"/>
      <c r="F392" s="23"/>
      <c r="G392" s="23"/>
      <c r="H392" s="18"/>
      <c r="I392" s="18"/>
      <c r="J392" s="24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" customHeight="1" x14ac:dyDescent="0.35">
      <c r="A393" s="19"/>
      <c r="B393" s="19"/>
      <c r="C393" s="19"/>
      <c r="D393" s="18"/>
      <c r="E393" s="20"/>
      <c r="F393" s="23"/>
      <c r="G393" s="23"/>
      <c r="H393" s="18"/>
      <c r="I393" s="18"/>
      <c r="J393" s="24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" customHeight="1" x14ac:dyDescent="0.35">
      <c r="A394" s="19"/>
      <c r="B394" s="19"/>
      <c r="C394" s="19"/>
      <c r="D394" s="18"/>
      <c r="E394" s="20"/>
      <c r="F394" s="23"/>
      <c r="G394" s="23"/>
      <c r="H394" s="18"/>
      <c r="I394" s="18"/>
      <c r="J394" s="24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" customHeight="1" x14ac:dyDescent="0.35">
      <c r="A395" s="19"/>
      <c r="B395" s="19"/>
      <c r="C395" s="19"/>
      <c r="D395" s="18"/>
      <c r="E395" s="20"/>
      <c r="F395" s="23"/>
      <c r="G395" s="23"/>
      <c r="H395" s="18"/>
      <c r="I395" s="18"/>
      <c r="J395" s="24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" customHeight="1" x14ac:dyDescent="0.35">
      <c r="A396" s="19"/>
      <c r="B396" s="19"/>
      <c r="C396" s="19"/>
      <c r="D396" s="18"/>
      <c r="E396" s="20"/>
      <c r="F396" s="23"/>
      <c r="G396" s="23"/>
      <c r="H396" s="18"/>
      <c r="I396" s="18"/>
      <c r="J396" s="24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" customHeight="1" x14ac:dyDescent="0.35">
      <c r="A397" s="19"/>
      <c r="B397" s="19"/>
      <c r="C397" s="19"/>
      <c r="D397" s="18"/>
      <c r="E397" s="20"/>
      <c r="F397" s="23"/>
      <c r="G397" s="23"/>
      <c r="H397" s="18"/>
      <c r="I397" s="18"/>
      <c r="J397" s="24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" customHeight="1" x14ac:dyDescent="0.35">
      <c r="A398" s="19"/>
      <c r="B398" s="19"/>
      <c r="C398" s="19"/>
      <c r="D398" s="18"/>
      <c r="E398" s="20"/>
      <c r="F398" s="23"/>
      <c r="G398" s="23"/>
      <c r="H398" s="18"/>
      <c r="I398" s="18"/>
      <c r="J398" s="24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" customHeight="1" x14ac:dyDescent="0.35">
      <c r="A399" s="19"/>
      <c r="B399" s="19"/>
      <c r="C399" s="19"/>
      <c r="D399" s="18"/>
      <c r="E399" s="20"/>
      <c r="F399" s="23"/>
      <c r="G399" s="23"/>
      <c r="H399" s="18"/>
      <c r="I399" s="18"/>
      <c r="J399" s="24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" customHeight="1" x14ac:dyDescent="0.35">
      <c r="A400" s="19"/>
      <c r="B400" s="19"/>
      <c r="C400" s="19"/>
      <c r="D400" s="18"/>
      <c r="E400" s="20"/>
      <c r="F400" s="23"/>
      <c r="G400" s="23"/>
      <c r="H400" s="18"/>
      <c r="I400" s="18"/>
      <c r="J400" s="24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" customHeight="1" x14ac:dyDescent="0.35">
      <c r="A401" s="19"/>
      <c r="B401" s="19"/>
      <c r="C401" s="19"/>
      <c r="D401" s="18"/>
      <c r="E401" s="20"/>
      <c r="F401" s="23"/>
      <c r="G401" s="23"/>
      <c r="H401" s="18"/>
      <c r="I401" s="18"/>
      <c r="J401" s="24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" customHeight="1" x14ac:dyDescent="0.35">
      <c r="A402" s="19"/>
      <c r="B402" s="19"/>
      <c r="C402" s="19"/>
      <c r="D402" s="18"/>
      <c r="E402" s="20"/>
      <c r="F402" s="23"/>
      <c r="G402" s="23"/>
      <c r="H402" s="18"/>
      <c r="I402" s="18"/>
      <c r="J402" s="24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" customHeight="1" x14ac:dyDescent="0.35">
      <c r="A403" s="19"/>
      <c r="B403" s="19"/>
      <c r="C403" s="19"/>
      <c r="D403" s="18"/>
      <c r="E403" s="20"/>
      <c r="F403" s="23"/>
      <c r="G403" s="23"/>
      <c r="H403" s="18"/>
      <c r="I403" s="18"/>
      <c r="J403" s="24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" customHeight="1" x14ac:dyDescent="0.35">
      <c r="A404" s="19"/>
      <c r="B404" s="19"/>
      <c r="C404" s="19"/>
      <c r="D404" s="18"/>
      <c r="E404" s="20"/>
      <c r="F404" s="23"/>
      <c r="G404" s="23"/>
      <c r="H404" s="18"/>
      <c r="I404" s="18"/>
      <c r="J404" s="24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" customHeight="1" x14ac:dyDescent="0.35">
      <c r="A405" s="19"/>
      <c r="B405" s="19"/>
      <c r="C405" s="19"/>
      <c r="D405" s="18"/>
      <c r="E405" s="20"/>
      <c r="F405" s="23"/>
      <c r="G405" s="23"/>
      <c r="H405" s="18"/>
      <c r="I405" s="18"/>
      <c r="J405" s="24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" customHeight="1" x14ac:dyDescent="0.35">
      <c r="A406" s="19"/>
      <c r="B406" s="19"/>
      <c r="C406" s="19"/>
      <c r="D406" s="18"/>
      <c r="E406" s="20"/>
      <c r="F406" s="23"/>
      <c r="G406" s="23"/>
      <c r="H406" s="18"/>
      <c r="I406" s="18"/>
      <c r="J406" s="24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" customHeight="1" x14ac:dyDescent="0.35">
      <c r="A407" s="19"/>
      <c r="B407" s="19"/>
      <c r="C407" s="19"/>
      <c r="D407" s="18"/>
      <c r="E407" s="20"/>
      <c r="F407" s="23"/>
      <c r="G407" s="23"/>
      <c r="H407" s="18"/>
      <c r="I407" s="18"/>
      <c r="J407" s="24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" customHeight="1" x14ac:dyDescent="0.35">
      <c r="A408" s="19"/>
      <c r="B408" s="19"/>
      <c r="C408" s="19"/>
      <c r="D408" s="18"/>
      <c r="E408" s="20"/>
      <c r="F408" s="23"/>
      <c r="G408" s="23"/>
      <c r="H408" s="18"/>
      <c r="I408" s="18"/>
      <c r="J408" s="24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" customHeight="1" x14ac:dyDescent="0.35">
      <c r="A409" s="19"/>
      <c r="B409" s="19"/>
      <c r="C409" s="19"/>
      <c r="D409" s="18"/>
      <c r="E409" s="20"/>
      <c r="F409" s="23"/>
      <c r="G409" s="23"/>
      <c r="H409" s="18"/>
      <c r="I409" s="18"/>
      <c r="J409" s="24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" customHeight="1" x14ac:dyDescent="0.35">
      <c r="A410" s="19"/>
      <c r="B410" s="19"/>
      <c r="C410" s="19"/>
      <c r="D410" s="18"/>
      <c r="E410" s="20"/>
      <c r="F410" s="23"/>
      <c r="G410" s="23"/>
      <c r="H410" s="18"/>
      <c r="I410" s="18"/>
      <c r="J410" s="24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" customHeight="1" x14ac:dyDescent="0.35">
      <c r="A411" s="19"/>
      <c r="B411" s="19"/>
      <c r="C411" s="19"/>
      <c r="D411" s="18"/>
      <c r="E411" s="20"/>
      <c r="F411" s="23"/>
      <c r="G411" s="23"/>
      <c r="H411" s="18"/>
      <c r="I411" s="18"/>
      <c r="J411" s="24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" customHeight="1" x14ac:dyDescent="0.35">
      <c r="A412" s="19"/>
      <c r="B412" s="19"/>
      <c r="C412" s="19"/>
      <c r="D412" s="18"/>
      <c r="E412" s="20"/>
      <c r="F412" s="23"/>
      <c r="G412" s="23"/>
      <c r="H412" s="18"/>
      <c r="I412" s="18"/>
      <c r="J412" s="24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" customHeight="1" x14ac:dyDescent="0.35">
      <c r="A413" s="19"/>
      <c r="B413" s="19"/>
      <c r="C413" s="19"/>
      <c r="D413" s="18"/>
      <c r="E413" s="20"/>
      <c r="F413" s="23"/>
      <c r="G413" s="23"/>
      <c r="H413" s="18"/>
      <c r="I413" s="18"/>
      <c r="J413" s="24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" customHeight="1" x14ac:dyDescent="0.35">
      <c r="A414" s="19"/>
      <c r="B414" s="19"/>
      <c r="C414" s="19"/>
      <c r="D414" s="18"/>
      <c r="E414" s="20"/>
      <c r="F414" s="23"/>
      <c r="G414" s="23"/>
      <c r="H414" s="18"/>
      <c r="I414" s="18"/>
      <c r="J414" s="24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" customHeight="1" x14ac:dyDescent="0.35">
      <c r="A415" s="19"/>
      <c r="B415" s="19"/>
      <c r="C415" s="19"/>
      <c r="D415" s="18"/>
      <c r="E415" s="20"/>
      <c r="F415" s="23"/>
      <c r="G415" s="23"/>
      <c r="H415" s="18"/>
      <c r="I415" s="18"/>
      <c r="J415" s="24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" customHeight="1" x14ac:dyDescent="0.35">
      <c r="A416" s="19"/>
      <c r="B416" s="19"/>
      <c r="C416" s="19"/>
      <c r="D416" s="18"/>
      <c r="E416" s="20"/>
      <c r="F416" s="23"/>
      <c r="G416" s="23"/>
      <c r="H416" s="18"/>
      <c r="I416" s="18"/>
      <c r="J416" s="24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" customHeight="1" x14ac:dyDescent="0.35">
      <c r="A417" s="19"/>
      <c r="B417" s="19"/>
      <c r="C417" s="19"/>
      <c r="D417" s="18"/>
      <c r="E417" s="20"/>
      <c r="F417" s="23"/>
      <c r="G417" s="23"/>
      <c r="H417" s="18"/>
      <c r="I417" s="18"/>
      <c r="J417" s="24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" customHeight="1" x14ac:dyDescent="0.35">
      <c r="A418" s="19"/>
      <c r="B418" s="19"/>
      <c r="C418" s="19"/>
      <c r="D418" s="18"/>
      <c r="E418" s="20"/>
      <c r="F418" s="23"/>
      <c r="G418" s="23"/>
      <c r="H418" s="18"/>
      <c r="I418" s="18"/>
      <c r="J418" s="24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" customHeight="1" x14ac:dyDescent="0.35">
      <c r="A419" s="19"/>
      <c r="B419" s="19"/>
      <c r="C419" s="19"/>
      <c r="D419" s="61"/>
      <c r="E419" s="20"/>
      <c r="F419" s="23"/>
      <c r="G419" s="23"/>
      <c r="H419" s="18"/>
      <c r="I419" s="18"/>
      <c r="J419" s="24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" customHeight="1" x14ac:dyDescent="0.35">
      <c r="A420" s="19"/>
      <c r="B420" s="19"/>
      <c r="C420" s="19"/>
      <c r="D420" s="61"/>
      <c r="E420" s="20"/>
      <c r="F420" s="23"/>
      <c r="G420" s="23"/>
      <c r="H420" s="18"/>
      <c r="I420" s="18"/>
      <c r="J420" s="24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" customHeight="1" x14ac:dyDescent="0.35">
      <c r="A421" s="19"/>
      <c r="B421" s="19"/>
      <c r="C421" s="19"/>
      <c r="D421" s="18"/>
      <c r="E421" s="20"/>
      <c r="F421" s="23"/>
      <c r="G421" s="23"/>
      <c r="H421" s="18"/>
      <c r="I421" s="18"/>
      <c r="J421" s="18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" customHeight="1" x14ac:dyDescent="0.35">
      <c r="A422" s="19"/>
      <c r="B422" s="19"/>
      <c r="C422" s="19"/>
      <c r="D422" s="18"/>
      <c r="E422" s="20"/>
      <c r="F422" s="23"/>
      <c r="G422" s="23"/>
      <c r="H422" s="18"/>
      <c r="I422" s="18"/>
      <c r="J422" s="18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" customHeight="1" x14ac:dyDescent="0.35">
      <c r="A423" s="19"/>
      <c r="B423" s="19"/>
      <c r="C423" s="19"/>
      <c r="D423" s="18"/>
      <c r="E423" s="20"/>
      <c r="F423" s="23"/>
      <c r="G423" s="23"/>
      <c r="H423" s="18"/>
      <c r="I423" s="18"/>
      <c r="J423" s="18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" customHeight="1" x14ac:dyDescent="0.35">
      <c r="A424" s="52"/>
      <c r="B424" s="52"/>
      <c r="C424" s="19"/>
      <c r="D424" s="18"/>
      <c r="E424" s="20"/>
      <c r="F424" s="23"/>
      <c r="G424" s="23"/>
      <c r="H424" s="18"/>
      <c r="I424" s="18"/>
      <c r="J424" s="24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" customHeight="1" x14ac:dyDescent="0.35">
      <c r="A425" s="52"/>
      <c r="B425" s="52"/>
      <c r="C425" s="19"/>
      <c r="D425" s="18"/>
      <c r="E425" s="20"/>
      <c r="F425" s="23"/>
      <c r="G425" s="23"/>
      <c r="H425" s="18"/>
      <c r="I425" s="18"/>
      <c r="J425" s="24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" customHeight="1" x14ac:dyDescent="0.35">
      <c r="A426" s="52"/>
      <c r="B426" s="52"/>
      <c r="C426" s="19"/>
      <c r="D426" s="18"/>
      <c r="E426" s="20"/>
      <c r="F426" s="23"/>
      <c r="G426" s="23"/>
      <c r="H426" s="18"/>
      <c r="I426" s="18"/>
      <c r="J426" s="24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" customHeight="1" x14ac:dyDescent="0.35">
      <c r="A427" s="52"/>
      <c r="B427" s="52"/>
      <c r="C427" s="19"/>
      <c r="D427" s="18"/>
      <c r="E427" s="20"/>
      <c r="F427" s="23"/>
      <c r="G427" s="23"/>
      <c r="H427" s="18"/>
      <c r="I427" s="18"/>
      <c r="J427" s="24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" customHeight="1" x14ac:dyDescent="0.35">
      <c r="A428" s="52"/>
      <c r="B428" s="52"/>
      <c r="C428" s="19"/>
      <c r="D428" s="18"/>
      <c r="E428" s="20"/>
      <c r="F428" s="23"/>
      <c r="G428" s="23"/>
      <c r="H428" s="18"/>
      <c r="I428" s="18"/>
      <c r="J428" s="24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" customHeight="1" x14ac:dyDescent="0.35">
      <c r="A429" s="52"/>
      <c r="B429" s="52"/>
      <c r="C429" s="19"/>
      <c r="D429" s="18"/>
      <c r="E429" s="20"/>
      <c r="F429" s="23"/>
      <c r="G429" s="23"/>
      <c r="H429" s="18"/>
      <c r="I429" s="18"/>
      <c r="J429" s="24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" customHeight="1" x14ac:dyDescent="0.35">
      <c r="A430" s="52"/>
      <c r="B430" s="52"/>
      <c r="C430" s="19"/>
      <c r="D430" s="18"/>
      <c r="E430" s="20"/>
      <c r="F430" s="23"/>
      <c r="G430" s="23"/>
      <c r="H430" s="18"/>
      <c r="I430" s="18"/>
      <c r="J430" s="24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" customHeight="1" x14ac:dyDescent="0.35">
      <c r="A431" s="52"/>
      <c r="B431" s="52"/>
      <c r="C431" s="19"/>
      <c r="D431" s="18"/>
      <c r="E431" s="20"/>
      <c r="F431" s="23"/>
      <c r="G431" s="23"/>
      <c r="H431" s="18"/>
      <c r="I431" s="18"/>
      <c r="J431" s="24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" customHeight="1" x14ac:dyDescent="0.35">
      <c r="A432" s="52"/>
      <c r="B432" s="52"/>
      <c r="C432" s="19"/>
      <c r="D432" s="18"/>
      <c r="E432" s="20"/>
      <c r="F432" s="23"/>
      <c r="G432" s="23"/>
      <c r="H432" s="18"/>
      <c r="I432" s="18"/>
      <c r="J432" s="24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" customHeight="1" x14ac:dyDescent="0.35">
      <c r="A433" s="52"/>
      <c r="B433" s="52"/>
      <c r="C433" s="19"/>
      <c r="D433" s="18"/>
      <c r="E433" s="20"/>
      <c r="F433" s="23"/>
      <c r="G433" s="23"/>
      <c r="H433" s="18"/>
      <c r="I433" s="18"/>
      <c r="J433" s="24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" customHeight="1" x14ac:dyDescent="0.35">
      <c r="A434" s="52"/>
      <c r="B434" s="52"/>
      <c r="C434" s="19"/>
      <c r="D434" s="18"/>
      <c r="E434" s="20"/>
      <c r="F434" s="23"/>
      <c r="G434" s="23"/>
      <c r="H434" s="18"/>
      <c r="I434" s="18"/>
      <c r="J434" s="24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" customHeight="1" x14ac:dyDescent="0.35">
      <c r="A435" s="52"/>
      <c r="B435" s="52"/>
      <c r="C435" s="19"/>
      <c r="D435" s="18"/>
      <c r="E435" s="20"/>
      <c r="F435" s="23"/>
      <c r="G435" s="23"/>
      <c r="H435" s="18"/>
      <c r="I435" s="18"/>
      <c r="J435" s="24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" customHeight="1" x14ac:dyDescent="0.35">
      <c r="A436" s="52"/>
      <c r="B436" s="52"/>
      <c r="C436" s="19"/>
      <c r="D436" s="18"/>
      <c r="E436" s="20"/>
      <c r="F436" s="23"/>
      <c r="G436" s="23"/>
      <c r="H436" s="18"/>
      <c r="I436" s="18"/>
      <c r="J436" s="24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" customHeight="1" x14ac:dyDescent="0.35">
      <c r="A437" s="52"/>
      <c r="B437" s="52"/>
      <c r="C437" s="19"/>
      <c r="D437" s="18"/>
      <c r="E437" s="20"/>
      <c r="F437" s="23"/>
      <c r="G437" s="23"/>
      <c r="H437" s="18"/>
      <c r="I437" s="18"/>
      <c r="J437" s="24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" customHeight="1" x14ac:dyDescent="0.35">
      <c r="A438" s="52"/>
      <c r="B438" s="52"/>
      <c r="C438" s="19"/>
      <c r="D438" s="18"/>
      <c r="E438" s="20"/>
      <c r="F438" s="23"/>
      <c r="G438" s="23"/>
      <c r="H438" s="18"/>
      <c r="I438" s="18"/>
      <c r="J438" s="24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" customHeight="1" x14ac:dyDescent="0.35">
      <c r="A439" s="52"/>
      <c r="B439" s="52"/>
      <c r="C439" s="19"/>
      <c r="D439" s="18"/>
      <c r="E439" s="20"/>
      <c r="F439" s="23"/>
      <c r="G439" s="23"/>
      <c r="H439" s="18"/>
      <c r="I439" s="18"/>
      <c r="J439" s="24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" customHeight="1" x14ac:dyDescent="0.35">
      <c r="A440" s="52"/>
      <c r="B440" s="52"/>
      <c r="C440" s="19"/>
      <c r="D440" s="18"/>
      <c r="E440" s="20"/>
      <c r="F440" s="23"/>
      <c r="G440" s="23"/>
      <c r="H440" s="18"/>
      <c r="I440" s="18"/>
      <c r="J440" s="24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" customHeight="1" x14ac:dyDescent="0.35">
      <c r="A441" s="52"/>
      <c r="B441" s="52"/>
      <c r="C441" s="19"/>
      <c r="D441" s="18"/>
      <c r="E441" s="20"/>
      <c r="F441" s="23"/>
      <c r="G441" s="23"/>
      <c r="H441" s="18"/>
      <c r="I441" s="18"/>
      <c r="J441" s="24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" customHeight="1" x14ac:dyDescent="0.35">
      <c r="A442" s="52"/>
      <c r="B442" s="52"/>
      <c r="C442" s="19"/>
      <c r="D442" s="18"/>
      <c r="E442" s="20"/>
      <c r="F442" s="23"/>
      <c r="G442" s="23"/>
      <c r="H442" s="18"/>
      <c r="I442" s="18"/>
      <c r="J442" s="24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" customHeight="1" x14ac:dyDescent="0.35">
      <c r="A443" s="52"/>
      <c r="B443" s="52"/>
      <c r="C443" s="19"/>
      <c r="D443" s="18"/>
      <c r="E443" s="20"/>
      <c r="F443" s="23"/>
      <c r="G443" s="23"/>
      <c r="H443" s="18"/>
      <c r="I443" s="18"/>
      <c r="J443" s="24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" customHeight="1" x14ac:dyDescent="0.35">
      <c r="A444" s="52"/>
      <c r="B444" s="52"/>
      <c r="C444" s="19"/>
      <c r="D444" s="18"/>
      <c r="E444" s="20"/>
      <c r="F444" s="23"/>
      <c r="G444" s="23"/>
      <c r="H444" s="18"/>
      <c r="I444" s="18"/>
      <c r="J444" s="24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" customHeight="1" x14ac:dyDescent="0.35">
      <c r="A445" s="52"/>
      <c r="B445" s="52"/>
      <c r="C445" s="19"/>
      <c r="D445" s="18"/>
      <c r="E445" s="20"/>
      <c r="F445" s="23"/>
      <c r="G445" s="23"/>
      <c r="H445" s="18"/>
      <c r="I445" s="18"/>
      <c r="J445" s="24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" customHeight="1" x14ac:dyDescent="0.35">
      <c r="A446" s="52"/>
      <c r="B446" s="52"/>
      <c r="C446" s="19"/>
      <c r="D446" s="18"/>
      <c r="E446" s="20"/>
      <c r="F446" s="23"/>
      <c r="G446" s="23"/>
      <c r="H446" s="18"/>
      <c r="I446" s="18"/>
      <c r="J446" s="24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" customHeight="1" x14ac:dyDescent="0.35">
      <c r="A447" s="52"/>
      <c r="B447" s="52"/>
      <c r="C447" s="19"/>
      <c r="D447" s="18"/>
      <c r="E447" s="20"/>
      <c r="F447" s="23"/>
      <c r="G447" s="23"/>
      <c r="H447" s="18"/>
      <c r="I447" s="18"/>
      <c r="J447" s="24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" customHeight="1" x14ac:dyDescent="0.35">
      <c r="A448" s="52"/>
      <c r="B448" s="52"/>
      <c r="C448" s="19"/>
      <c r="D448" s="18"/>
      <c r="E448" s="20"/>
      <c r="F448" s="23"/>
      <c r="G448" s="23"/>
      <c r="H448" s="18"/>
      <c r="I448" s="18"/>
      <c r="J448" s="24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" customHeight="1" x14ac:dyDescent="0.35">
      <c r="A449" s="52"/>
      <c r="B449" s="52"/>
      <c r="C449" s="19"/>
      <c r="D449" s="18"/>
      <c r="E449" s="20"/>
      <c r="F449" s="23"/>
      <c r="G449" s="23"/>
      <c r="H449" s="18"/>
      <c r="I449" s="18"/>
      <c r="J449" s="24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" customHeight="1" x14ac:dyDescent="0.35">
      <c r="A450" s="52"/>
      <c r="B450" s="52"/>
      <c r="C450" s="19"/>
      <c r="D450" s="18"/>
      <c r="E450" s="20"/>
      <c r="F450" s="23"/>
      <c r="G450" s="23"/>
      <c r="H450" s="18"/>
      <c r="I450" s="18"/>
      <c r="J450" s="24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" customHeight="1" x14ac:dyDescent="0.35">
      <c r="A451" s="52"/>
      <c r="B451" s="52"/>
      <c r="C451" s="19"/>
      <c r="D451" s="18"/>
      <c r="E451" s="20"/>
      <c r="F451" s="23"/>
      <c r="G451" s="23"/>
      <c r="H451" s="18"/>
      <c r="I451" s="18"/>
      <c r="J451" s="24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" customHeight="1" x14ac:dyDescent="0.35">
      <c r="A452" s="52"/>
      <c r="B452" s="52"/>
      <c r="C452" s="19"/>
      <c r="D452" s="18"/>
      <c r="E452" s="20"/>
      <c r="F452" s="23"/>
      <c r="G452" s="23"/>
      <c r="H452" s="18"/>
      <c r="I452" s="18"/>
      <c r="J452" s="24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" customHeight="1" x14ac:dyDescent="0.35">
      <c r="A453" s="52"/>
      <c r="B453" s="52"/>
      <c r="C453" s="19"/>
      <c r="D453" s="18"/>
      <c r="E453" s="20"/>
      <c r="F453" s="23"/>
      <c r="G453" s="23"/>
      <c r="H453" s="18"/>
      <c r="I453" s="18"/>
      <c r="J453" s="24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" customHeight="1" x14ac:dyDescent="0.35">
      <c r="A454" s="52"/>
      <c r="B454" s="52"/>
      <c r="C454" s="19"/>
      <c r="D454" s="18"/>
      <c r="E454" s="20"/>
      <c r="F454" s="23"/>
      <c r="G454" s="23"/>
      <c r="H454" s="18"/>
      <c r="I454" s="18"/>
      <c r="J454" s="24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" customHeight="1" x14ac:dyDescent="0.35">
      <c r="A455" s="52"/>
      <c r="B455" s="52"/>
      <c r="C455" s="19"/>
      <c r="D455" s="18"/>
      <c r="E455" s="20"/>
      <c r="F455" s="23"/>
      <c r="G455" s="23"/>
      <c r="H455" s="18"/>
      <c r="I455" s="18"/>
      <c r="J455" s="24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" customHeight="1" x14ac:dyDescent="0.35">
      <c r="A456" s="52"/>
      <c r="B456" s="52"/>
      <c r="C456" s="19"/>
      <c r="D456" s="18"/>
      <c r="E456" s="20"/>
      <c r="F456" s="23"/>
      <c r="G456" s="23"/>
      <c r="H456" s="18"/>
      <c r="I456" s="18"/>
      <c r="J456" s="24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" customHeight="1" x14ac:dyDescent="0.35">
      <c r="A457" s="52"/>
      <c r="B457" s="52"/>
      <c r="C457" s="19"/>
      <c r="D457" s="18"/>
      <c r="E457" s="20"/>
      <c r="F457" s="23"/>
      <c r="G457" s="23"/>
      <c r="H457" s="18"/>
      <c r="I457" s="18"/>
      <c r="J457" s="24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" customHeight="1" x14ac:dyDescent="0.35">
      <c r="A458" s="52"/>
      <c r="B458" s="52"/>
      <c r="C458" s="19"/>
      <c r="D458" s="18"/>
      <c r="E458" s="20"/>
      <c r="F458" s="23"/>
      <c r="G458" s="23"/>
      <c r="H458" s="18"/>
      <c r="I458" s="18"/>
      <c r="J458" s="24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" customHeight="1" x14ac:dyDescent="0.35">
      <c r="A459" s="52"/>
      <c r="B459" s="52"/>
      <c r="C459" s="19"/>
      <c r="D459" s="18"/>
      <c r="E459" s="20"/>
      <c r="F459" s="23"/>
      <c r="G459" s="23"/>
      <c r="H459" s="18"/>
      <c r="I459" s="18"/>
      <c r="J459" s="24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" customHeight="1" x14ac:dyDescent="0.35">
      <c r="A460" s="52"/>
      <c r="B460" s="52"/>
      <c r="C460" s="19"/>
      <c r="D460" s="18"/>
      <c r="E460" s="20"/>
      <c r="F460" s="23"/>
      <c r="G460" s="23"/>
      <c r="H460" s="18"/>
      <c r="I460" s="18"/>
      <c r="J460" s="24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" customHeight="1" x14ac:dyDescent="0.35">
      <c r="A461" s="52"/>
      <c r="B461" s="52"/>
      <c r="C461" s="19"/>
      <c r="D461" s="18"/>
      <c r="E461" s="20"/>
      <c r="F461" s="23"/>
      <c r="G461" s="23"/>
      <c r="H461" s="18"/>
      <c r="I461" s="18"/>
      <c r="J461" s="24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" customHeight="1" x14ac:dyDescent="0.35">
      <c r="A462" s="52"/>
      <c r="B462" s="52"/>
      <c r="C462" s="19"/>
      <c r="D462" s="18"/>
      <c r="E462" s="20"/>
      <c r="F462" s="23"/>
      <c r="G462" s="23"/>
      <c r="H462" s="18"/>
      <c r="I462" s="18"/>
      <c r="J462" s="24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" customHeight="1" x14ac:dyDescent="0.35">
      <c r="A463" s="52"/>
      <c r="B463" s="52"/>
      <c r="C463" s="19"/>
      <c r="D463" s="18"/>
      <c r="E463" s="20"/>
      <c r="F463" s="23"/>
      <c r="G463" s="23"/>
      <c r="H463" s="18"/>
      <c r="I463" s="18"/>
      <c r="J463" s="24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" customHeight="1" x14ac:dyDescent="0.35">
      <c r="A464" s="52"/>
      <c r="B464" s="52"/>
      <c r="C464" s="19"/>
      <c r="D464" s="18"/>
      <c r="E464" s="20"/>
      <c r="F464" s="23"/>
      <c r="G464" s="23"/>
      <c r="H464" s="18"/>
      <c r="I464" s="18"/>
      <c r="J464" s="24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" customHeight="1" x14ac:dyDescent="0.35">
      <c r="A465" s="52"/>
      <c r="B465" s="52"/>
      <c r="C465" s="19"/>
      <c r="D465" s="18"/>
      <c r="E465" s="20"/>
      <c r="F465" s="23"/>
      <c r="G465" s="23"/>
      <c r="H465" s="18"/>
      <c r="I465" s="18"/>
      <c r="J465" s="24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" customHeight="1" x14ac:dyDescent="0.35">
      <c r="A466" s="52"/>
      <c r="B466" s="52"/>
      <c r="C466" s="19"/>
      <c r="D466" s="18"/>
      <c r="E466" s="20"/>
      <c r="F466" s="23"/>
      <c r="G466" s="23"/>
      <c r="H466" s="18"/>
      <c r="I466" s="18"/>
      <c r="J466" s="24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" customHeight="1" x14ac:dyDescent="0.35">
      <c r="A467" s="52"/>
      <c r="B467" s="52"/>
      <c r="C467" s="19"/>
      <c r="D467" s="18"/>
      <c r="E467" s="20"/>
      <c r="F467" s="23"/>
      <c r="G467" s="23"/>
      <c r="H467" s="18"/>
      <c r="I467" s="18"/>
      <c r="J467" s="24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" customHeight="1" x14ac:dyDescent="0.35">
      <c r="A468" s="52"/>
      <c r="B468" s="52"/>
      <c r="C468" s="19"/>
      <c r="D468" s="61"/>
      <c r="E468" s="20"/>
      <c r="F468" s="23"/>
      <c r="G468" s="23"/>
      <c r="H468" s="18"/>
      <c r="I468" s="18"/>
      <c r="J468" s="24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" customHeight="1" x14ac:dyDescent="0.35">
      <c r="A469" s="52"/>
      <c r="B469" s="52"/>
      <c r="C469" s="19"/>
      <c r="D469" s="61"/>
      <c r="E469" s="20"/>
      <c r="F469" s="23"/>
      <c r="G469" s="23"/>
      <c r="H469" s="18"/>
      <c r="I469" s="18"/>
      <c r="J469" s="24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" customHeight="1" x14ac:dyDescent="0.35">
      <c r="A470" s="52"/>
      <c r="B470" s="52"/>
      <c r="C470" s="19"/>
      <c r="D470" s="18"/>
      <c r="E470" s="20"/>
      <c r="F470" s="23"/>
      <c r="G470" s="23"/>
      <c r="H470" s="18"/>
      <c r="I470" s="18"/>
      <c r="J470" s="24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" customHeight="1" x14ac:dyDescent="0.35">
      <c r="A471" s="52"/>
      <c r="B471" s="52"/>
      <c r="C471" s="19"/>
      <c r="D471" s="18"/>
      <c r="E471" s="20"/>
      <c r="F471" s="23"/>
      <c r="G471" s="23"/>
      <c r="H471" s="18"/>
      <c r="I471" s="18"/>
      <c r="J471" s="24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" customHeight="1" x14ac:dyDescent="0.35">
      <c r="A472" s="52"/>
      <c r="B472" s="52"/>
      <c r="C472" s="19"/>
      <c r="D472" s="18"/>
      <c r="E472" s="20"/>
      <c r="F472" s="23"/>
      <c r="G472" s="23"/>
      <c r="H472" s="18"/>
      <c r="I472" s="18"/>
      <c r="J472" s="24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" customHeight="1" x14ac:dyDescent="0.35">
      <c r="A473" s="52"/>
      <c r="B473" s="52"/>
      <c r="C473" s="19"/>
      <c r="D473" s="18"/>
      <c r="E473" s="20"/>
      <c r="F473" s="23"/>
      <c r="G473" s="23"/>
      <c r="H473" s="18"/>
      <c r="I473" s="18"/>
      <c r="J473" s="24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" customHeight="1" x14ac:dyDescent="0.35">
      <c r="A474" s="52"/>
      <c r="B474" s="52"/>
      <c r="C474" s="19"/>
      <c r="D474" s="18"/>
      <c r="E474" s="20"/>
      <c r="F474" s="23"/>
      <c r="G474" s="23"/>
      <c r="H474" s="18"/>
      <c r="I474" s="18"/>
      <c r="J474" s="24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" customHeight="1" x14ac:dyDescent="0.35">
      <c r="A475" s="52"/>
      <c r="B475" s="52"/>
      <c r="C475" s="19"/>
      <c r="D475" s="18"/>
      <c r="E475" s="20"/>
      <c r="F475" s="23"/>
      <c r="G475" s="23"/>
      <c r="H475" s="18"/>
      <c r="I475" s="18"/>
      <c r="J475" s="24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" customHeight="1" x14ac:dyDescent="0.35">
      <c r="A476" s="52"/>
      <c r="B476" s="52"/>
      <c r="C476" s="19"/>
      <c r="D476" s="18"/>
      <c r="E476" s="20"/>
      <c r="F476" s="23"/>
      <c r="G476" s="23"/>
      <c r="H476" s="18"/>
      <c r="I476" s="18"/>
      <c r="J476" s="24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" customHeight="1" x14ac:dyDescent="0.35">
      <c r="A477" s="52"/>
      <c r="B477" s="52"/>
      <c r="C477" s="19"/>
      <c r="D477" s="18"/>
      <c r="E477" s="20"/>
      <c r="F477" s="23"/>
      <c r="G477" s="23"/>
      <c r="H477" s="18"/>
      <c r="I477" s="18"/>
      <c r="J477" s="24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" customHeight="1" x14ac:dyDescent="0.35">
      <c r="A478" s="52"/>
      <c r="B478" s="52"/>
      <c r="C478" s="19"/>
      <c r="D478" s="18"/>
      <c r="E478" s="20"/>
      <c r="F478" s="23"/>
      <c r="G478" s="23"/>
      <c r="H478" s="18"/>
      <c r="I478" s="18"/>
      <c r="J478" s="24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" customHeight="1" x14ac:dyDescent="0.35">
      <c r="A479" s="52"/>
      <c r="B479" s="52"/>
      <c r="C479" s="19"/>
      <c r="D479" s="18"/>
      <c r="E479" s="20"/>
      <c r="F479" s="23"/>
      <c r="G479" s="23"/>
      <c r="H479" s="18"/>
      <c r="I479" s="18"/>
      <c r="J479" s="24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" customHeight="1" x14ac:dyDescent="0.35">
      <c r="A480" s="52"/>
      <c r="B480" s="52"/>
      <c r="C480" s="19"/>
      <c r="D480" s="18"/>
      <c r="E480" s="20"/>
      <c r="F480" s="23"/>
      <c r="G480" s="23"/>
      <c r="H480" s="18"/>
      <c r="I480" s="18"/>
      <c r="J480" s="24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" customHeight="1" x14ac:dyDescent="0.35">
      <c r="A481" s="52"/>
      <c r="B481" s="52"/>
      <c r="C481" s="19"/>
      <c r="D481" s="18"/>
      <c r="E481" s="20"/>
      <c r="F481" s="23"/>
      <c r="G481" s="23"/>
      <c r="H481" s="18"/>
      <c r="I481" s="18"/>
      <c r="J481" s="24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" customHeight="1" x14ac:dyDescent="0.35">
      <c r="A482" s="52"/>
      <c r="B482" s="52"/>
      <c r="C482" s="19"/>
      <c r="D482" s="18"/>
      <c r="E482" s="20"/>
      <c r="F482" s="23"/>
      <c r="G482" s="23"/>
      <c r="H482" s="18"/>
      <c r="I482" s="18"/>
      <c r="J482" s="24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" customHeight="1" x14ac:dyDescent="0.35">
      <c r="A483" s="52"/>
      <c r="B483" s="52"/>
      <c r="C483" s="19"/>
      <c r="D483" s="18"/>
      <c r="E483" s="20"/>
      <c r="F483" s="23"/>
      <c r="G483" s="23"/>
      <c r="H483" s="18"/>
      <c r="I483" s="18"/>
      <c r="J483" s="24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" customHeight="1" x14ac:dyDescent="0.35">
      <c r="A484" s="52"/>
      <c r="B484" s="52"/>
      <c r="C484" s="19"/>
      <c r="D484" s="18"/>
      <c r="E484" s="20"/>
      <c r="F484" s="23"/>
      <c r="G484" s="23"/>
      <c r="H484" s="18"/>
      <c r="I484" s="18"/>
      <c r="J484" s="24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" customHeight="1" x14ac:dyDescent="0.35">
      <c r="A485" s="52"/>
      <c r="B485" s="52"/>
      <c r="C485" s="19"/>
      <c r="D485" s="18"/>
      <c r="E485" s="20"/>
      <c r="F485" s="23"/>
      <c r="G485" s="23"/>
      <c r="H485" s="18"/>
      <c r="I485" s="18"/>
      <c r="J485" s="24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" customHeight="1" x14ac:dyDescent="0.35">
      <c r="A486" s="52"/>
      <c r="B486" s="52"/>
      <c r="C486" s="19"/>
      <c r="D486" s="18"/>
      <c r="E486" s="20"/>
      <c r="F486" s="23"/>
      <c r="G486" s="23"/>
      <c r="H486" s="18"/>
      <c r="I486" s="18"/>
      <c r="J486" s="24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" customHeight="1" x14ac:dyDescent="0.35">
      <c r="A487" s="52"/>
      <c r="B487" s="52"/>
      <c r="C487" s="19"/>
      <c r="D487" s="18"/>
      <c r="E487" s="20"/>
      <c r="F487" s="23"/>
      <c r="G487" s="23"/>
      <c r="H487" s="18"/>
      <c r="I487" s="18"/>
      <c r="J487" s="24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" customHeight="1" x14ac:dyDescent="0.35">
      <c r="A488" s="52"/>
      <c r="B488" s="52"/>
      <c r="C488" s="19"/>
      <c r="D488" s="18"/>
      <c r="E488" s="20"/>
      <c r="F488" s="23"/>
      <c r="G488" s="23"/>
      <c r="H488" s="18"/>
      <c r="I488" s="18"/>
      <c r="J488" s="24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" customHeight="1" x14ac:dyDescent="0.35">
      <c r="A489" s="52"/>
      <c r="B489" s="52"/>
      <c r="C489" s="19"/>
      <c r="D489" s="18"/>
      <c r="E489" s="20"/>
      <c r="F489" s="23"/>
      <c r="G489" s="23"/>
      <c r="H489" s="18"/>
      <c r="I489" s="18"/>
      <c r="J489" s="24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" customHeight="1" x14ac:dyDescent="0.35">
      <c r="A490" s="52"/>
      <c r="B490" s="52"/>
      <c r="C490" s="19"/>
      <c r="D490" s="18"/>
      <c r="E490" s="20"/>
      <c r="F490" s="23"/>
      <c r="G490" s="23"/>
      <c r="H490" s="18"/>
      <c r="I490" s="18"/>
      <c r="J490" s="24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" customHeight="1" x14ac:dyDescent="0.35">
      <c r="A491" s="52"/>
      <c r="B491" s="52"/>
      <c r="C491" s="19"/>
      <c r="D491" s="18"/>
      <c r="E491" s="20"/>
      <c r="F491" s="23"/>
      <c r="G491" s="23"/>
      <c r="H491" s="18"/>
      <c r="I491" s="18"/>
      <c r="J491" s="24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" customHeight="1" x14ac:dyDescent="0.35">
      <c r="A492" s="52"/>
      <c r="B492" s="52"/>
      <c r="C492" s="19"/>
      <c r="D492" s="18"/>
      <c r="E492" s="20"/>
      <c r="F492" s="23"/>
      <c r="G492" s="23"/>
      <c r="H492" s="18"/>
      <c r="I492" s="18"/>
      <c r="J492" s="24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" customHeight="1" x14ac:dyDescent="0.35">
      <c r="A493" s="52"/>
      <c r="B493" s="52"/>
      <c r="C493" s="19"/>
      <c r="D493" s="18"/>
      <c r="E493" s="20"/>
      <c r="F493" s="23"/>
      <c r="G493" s="23"/>
      <c r="H493" s="18"/>
      <c r="I493" s="18"/>
      <c r="J493" s="24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" customHeight="1" x14ac:dyDescent="0.35">
      <c r="A494" s="52"/>
      <c r="B494" s="52"/>
      <c r="C494" s="19"/>
      <c r="D494" s="18"/>
      <c r="E494" s="20"/>
      <c r="F494" s="23"/>
      <c r="G494" s="23"/>
      <c r="H494" s="18"/>
      <c r="I494" s="18"/>
      <c r="J494" s="24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" customHeight="1" x14ac:dyDescent="0.35">
      <c r="A495" s="52"/>
      <c r="B495" s="52"/>
      <c r="C495" s="19"/>
      <c r="D495" s="18"/>
      <c r="E495" s="20"/>
      <c r="F495" s="23"/>
      <c r="G495" s="23"/>
      <c r="H495" s="18"/>
      <c r="I495" s="18"/>
      <c r="J495" s="24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" customHeight="1" x14ac:dyDescent="0.35">
      <c r="A496" s="52"/>
      <c r="B496" s="52"/>
      <c r="C496" s="19"/>
      <c r="D496" s="18"/>
      <c r="E496" s="20"/>
      <c r="F496" s="23"/>
      <c r="G496" s="23"/>
      <c r="H496" s="18"/>
      <c r="I496" s="18"/>
      <c r="J496" s="24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" customHeight="1" x14ac:dyDescent="0.35">
      <c r="A497" s="52"/>
      <c r="B497" s="52"/>
      <c r="C497" s="19"/>
      <c r="D497" s="18"/>
      <c r="E497" s="20"/>
      <c r="F497" s="23"/>
      <c r="G497" s="23"/>
      <c r="H497" s="18"/>
      <c r="I497" s="18"/>
      <c r="J497" s="24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" customHeight="1" x14ac:dyDescent="0.35">
      <c r="A498" s="52"/>
      <c r="B498" s="52"/>
      <c r="C498" s="19"/>
      <c r="D498" s="18"/>
      <c r="E498" s="20"/>
      <c r="F498" s="23"/>
      <c r="G498" s="23"/>
      <c r="H498" s="18"/>
      <c r="I498" s="18"/>
      <c r="J498" s="24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" customHeight="1" x14ac:dyDescent="0.35">
      <c r="A499" s="52"/>
      <c r="B499" s="52"/>
      <c r="C499" s="19"/>
      <c r="D499" s="18"/>
      <c r="E499" s="20"/>
      <c r="F499" s="23"/>
      <c r="G499" s="23"/>
      <c r="H499" s="18"/>
      <c r="I499" s="18"/>
      <c r="J499" s="24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" customHeight="1" x14ac:dyDescent="0.35">
      <c r="A500" s="52"/>
      <c r="B500" s="52"/>
      <c r="C500" s="19"/>
      <c r="D500" s="18"/>
      <c r="E500" s="20"/>
      <c r="F500" s="23"/>
      <c r="G500" s="23"/>
      <c r="H500" s="18"/>
      <c r="I500" s="18"/>
      <c r="J500" s="24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" customHeight="1" x14ac:dyDescent="0.35">
      <c r="A501" s="52"/>
      <c r="B501" s="52"/>
      <c r="C501" s="19"/>
      <c r="D501" s="18"/>
      <c r="E501" s="20"/>
      <c r="F501" s="23"/>
      <c r="G501" s="23"/>
      <c r="H501" s="18"/>
      <c r="I501" s="18"/>
      <c r="J501" s="24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" customHeight="1" x14ac:dyDescent="0.35">
      <c r="A502" s="52"/>
      <c r="B502" s="52"/>
      <c r="C502" s="19"/>
      <c r="D502" s="18"/>
      <c r="E502" s="20"/>
      <c r="F502" s="23"/>
      <c r="G502" s="23"/>
      <c r="H502" s="18"/>
      <c r="I502" s="18"/>
      <c r="J502" s="24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" customHeight="1" x14ac:dyDescent="0.35">
      <c r="A503" s="52"/>
      <c r="B503" s="52"/>
      <c r="C503" s="19"/>
      <c r="D503" s="18"/>
      <c r="E503" s="20"/>
      <c r="F503" s="23"/>
      <c r="G503" s="23"/>
      <c r="H503" s="18"/>
      <c r="I503" s="18"/>
      <c r="J503" s="24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" customHeight="1" x14ac:dyDescent="0.35">
      <c r="A504" s="52"/>
      <c r="B504" s="52"/>
      <c r="C504" s="19"/>
      <c r="D504" s="18"/>
      <c r="E504" s="20"/>
      <c r="F504" s="23"/>
      <c r="G504" s="23"/>
      <c r="H504" s="18"/>
      <c r="I504" s="18"/>
      <c r="J504" s="24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" customHeight="1" x14ac:dyDescent="0.35">
      <c r="A505" s="52"/>
      <c r="B505" s="52"/>
      <c r="C505" s="19"/>
      <c r="D505" s="18"/>
      <c r="E505" s="20"/>
      <c r="F505" s="23"/>
      <c r="G505" s="23"/>
      <c r="H505" s="18"/>
      <c r="I505" s="18"/>
      <c r="J505" s="24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" customHeight="1" x14ac:dyDescent="0.35">
      <c r="A506" s="52"/>
      <c r="B506" s="52"/>
      <c r="C506" s="19"/>
      <c r="D506" s="18"/>
      <c r="E506" s="20"/>
      <c r="F506" s="23"/>
      <c r="G506" s="23"/>
      <c r="H506" s="18"/>
      <c r="I506" s="18"/>
      <c r="J506" s="24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" customHeight="1" x14ac:dyDescent="0.35">
      <c r="A507" s="52"/>
      <c r="B507" s="52"/>
      <c r="C507" s="19"/>
      <c r="D507" s="18"/>
      <c r="E507" s="20"/>
      <c r="F507" s="23"/>
      <c r="G507" s="23"/>
      <c r="H507" s="18"/>
      <c r="I507" s="18"/>
      <c r="J507" s="24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" customHeight="1" x14ac:dyDescent="0.35">
      <c r="A508" s="52"/>
      <c r="B508" s="52"/>
      <c r="C508" s="19"/>
      <c r="D508" s="18"/>
      <c r="E508" s="20"/>
      <c r="F508" s="23"/>
      <c r="G508" s="23"/>
      <c r="H508" s="18"/>
      <c r="I508" s="18"/>
      <c r="J508" s="24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" customHeight="1" x14ac:dyDescent="0.35">
      <c r="A509" s="52"/>
      <c r="B509" s="52"/>
      <c r="C509" s="19"/>
      <c r="D509" s="18"/>
      <c r="E509" s="20"/>
      <c r="F509" s="23"/>
      <c r="G509" s="23"/>
      <c r="H509" s="18"/>
      <c r="I509" s="18"/>
      <c r="J509" s="24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" customHeight="1" x14ac:dyDescent="0.35">
      <c r="A510" s="52"/>
      <c r="B510" s="52"/>
      <c r="C510" s="19"/>
      <c r="D510" s="18"/>
      <c r="E510" s="20"/>
      <c r="F510" s="23"/>
      <c r="G510" s="23"/>
      <c r="H510" s="18"/>
      <c r="I510" s="18"/>
      <c r="J510" s="24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" customHeight="1" x14ac:dyDescent="0.35">
      <c r="A511" s="52"/>
      <c r="B511" s="52"/>
      <c r="C511" s="19"/>
      <c r="D511" s="18"/>
      <c r="E511" s="20"/>
      <c r="F511" s="23"/>
      <c r="G511" s="23"/>
      <c r="H511" s="18"/>
      <c r="I511" s="18"/>
      <c r="J511" s="24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" customHeight="1" x14ac:dyDescent="0.35">
      <c r="A512" s="52"/>
      <c r="B512" s="52"/>
      <c r="C512" s="19"/>
      <c r="D512" s="18"/>
      <c r="E512" s="20"/>
      <c r="F512" s="23"/>
      <c r="G512" s="23"/>
      <c r="H512" s="18"/>
      <c r="I512" s="18"/>
      <c r="J512" s="24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" customHeight="1" x14ac:dyDescent="0.35">
      <c r="A513" s="52"/>
      <c r="B513" s="52"/>
      <c r="C513" s="19"/>
      <c r="D513" s="18"/>
      <c r="E513" s="20"/>
      <c r="F513" s="23"/>
      <c r="G513" s="23"/>
      <c r="H513" s="18"/>
      <c r="I513" s="18"/>
      <c r="J513" s="24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" customHeight="1" x14ac:dyDescent="0.35">
      <c r="A514" s="52"/>
      <c r="B514" s="52"/>
      <c r="C514" s="19"/>
      <c r="D514" s="18"/>
      <c r="E514" s="20"/>
      <c r="F514" s="23"/>
      <c r="G514" s="23"/>
      <c r="H514" s="18"/>
      <c r="I514" s="18"/>
      <c r="J514" s="24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" customHeight="1" x14ac:dyDescent="0.35">
      <c r="A515" s="52"/>
      <c r="B515" s="52"/>
      <c r="C515" s="19"/>
      <c r="D515" s="18"/>
      <c r="E515" s="20"/>
      <c r="F515" s="23"/>
      <c r="G515" s="23"/>
      <c r="H515" s="18"/>
      <c r="I515" s="18"/>
      <c r="J515" s="24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" customHeight="1" x14ac:dyDescent="0.35">
      <c r="A516" s="52"/>
      <c r="B516" s="52"/>
      <c r="C516" s="19"/>
      <c r="D516" s="18"/>
      <c r="E516" s="20"/>
      <c r="F516" s="23"/>
      <c r="G516" s="23"/>
      <c r="H516" s="18"/>
      <c r="I516" s="18"/>
      <c r="J516" s="24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" customHeight="1" x14ac:dyDescent="0.35">
      <c r="A517" s="52"/>
      <c r="B517" s="52"/>
      <c r="C517" s="19"/>
      <c r="D517" s="18"/>
      <c r="E517" s="20"/>
      <c r="F517" s="23"/>
      <c r="G517" s="23"/>
      <c r="H517" s="18"/>
      <c r="I517" s="18"/>
      <c r="J517" s="24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" customHeight="1" x14ac:dyDescent="0.35">
      <c r="A518" s="52"/>
      <c r="B518" s="52"/>
      <c r="C518" s="19"/>
      <c r="D518" s="18"/>
      <c r="E518" s="20"/>
      <c r="F518" s="23"/>
      <c r="G518" s="23"/>
      <c r="H518" s="18"/>
      <c r="I518" s="18"/>
      <c r="J518" s="24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" customHeight="1" x14ac:dyDescent="0.35">
      <c r="A519" s="52"/>
      <c r="B519" s="52"/>
      <c r="C519" s="19"/>
      <c r="D519" s="18"/>
      <c r="E519" s="20"/>
      <c r="F519" s="23"/>
      <c r="G519" s="23"/>
      <c r="H519" s="18"/>
      <c r="I519" s="18"/>
      <c r="J519" s="24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" customHeight="1" x14ac:dyDescent="0.35">
      <c r="A520" s="52"/>
      <c r="B520" s="52"/>
      <c r="C520" s="19"/>
      <c r="D520" s="18"/>
      <c r="E520" s="20"/>
      <c r="F520" s="23"/>
      <c r="G520" s="23"/>
      <c r="H520" s="18"/>
      <c r="I520" s="18"/>
      <c r="J520" s="24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" customHeight="1" x14ac:dyDescent="0.35">
      <c r="A521" s="52"/>
      <c r="B521" s="52"/>
      <c r="C521" s="19"/>
      <c r="D521" s="18"/>
      <c r="E521" s="20"/>
      <c r="F521" s="23"/>
      <c r="G521" s="23"/>
      <c r="H521" s="18"/>
      <c r="I521" s="18"/>
      <c r="J521" s="24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" customHeight="1" x14ac:dyDescent="0.35">
      <c r="A522" s="52"/>
      <c r="B522" s="52"/>
      <c r="C522" s="19"/>
      <c r="D522" s="18"/>
      <c r="E522" s="20"/>
      <c r="F522" s="23"/>
      <c r="G522" s="23"/>
      <c r="H522" s="18"/>
      <c r="I522" s="18"/>
      <c r="J522" s="24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" customHeight="1" x14ac:dyDescent="0.35">
      <c r="A523" s="52"/>
      <c r="B523" s="52"/>
      <c r="C523" s="19"/>
      <c r="D523" s="18"/>
      <c r="E523" s="20"/>
      <c r="F523" s="23"/>
      <c r="G523" s="23"/>
      <c r="H523" s="18"/>
      <c r="I523" s="18"/>
      <c r="J523" s="24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" customHeight="1" x14ac:dyDescent="0.35">
      <c r="A524" s="52"/>
      <c r="B524" s="52"/>
      <c r="C524" s="19"/>
      <c r="D524" s="18"/>
      <c r="E524" s="20"/>
      <c r="F524" s="23"/>
      <c r="G524" s="23"/>
      <c r="H524" s="18"/>
      <c r="I524" s="18"/>
      <c r="J524" s="24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" customHeight="1" x14ac:dyDescent="0.35">
      <c r="A525" s="52"/>
      <c r="B525" s="52"/>
      <c r="C525" s="19"/>
      <c r="D525" s="18"/>
      <c r="E525" s="20"/>
      <c r="F525" s="23"/>
      <c r="G525" s="23"/>
      <c r="H525" s="18"/>
      <c r="I525" s="18"/>
      <c r="J525" s="24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" customHeight="1" x14ac:dyDescent="0.35">
      <c r="A526" s="52"/>
      <c r="B526" s="52"/>
      <c r="C526" s="19"/>
      <c r="D526" s="18"/>
      <c r="E526" s="20"/>
      <c r="F526" s="23"/>
      <c r="G526" s="23"/>
      <c r="H526" s="18"/>
      <c r="I526" s="18"/>
      <c r="J526" s="24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" customHeight="1" x14ac:dyDescent="0.35">
      <c r="A527" s="52"/>
      <c r="B527" s="52"/>
      <c r="C527" s="19"/>
      <c r="D527" s="18"/>
      <c r="E527" s="20"/>
      <c r="F527" s="23"/>
      <c r="G527" s="23"/>
      <c r="H527" s="18"/>
      <c r="I527" s="18"/>
      <c r="J527" s="24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" customHeight="1" x14ac:dyDescent="0.35">
      <c r="A528" s="52"/>
      <c r="B528" s="52"/>
      <c r="C528" s="19"/>
      <c r="D528" s="18"/>
      <c r="E528" s="20"/>
      <c r="F528" s="23"/>
      <c r="G528" s="23"/>
      <c r="H528" s="18"/>
      <c r="I528" s="18"/>
      <c r="J528" s="24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" customHeight="1" x14ac:dyDescent="0.35">
      <c r="A529" s="52"/>
      <c r="B529" s="52"/>
      <c r="C529" s="19"/>
      <c r="D529" s="18"/>
      <c r="E529" s="20"/>
      <c r="F529" s="23"/>
      <c r="G529" s="23"/>
      <c r="H529" s="18"/>
      <c r="I529" s="18"/>
      <c r="J529" s="24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" customHeight="1" x14ac:dyDescent="0.35">
      <c r="A530" s="52"/>
      <c r="B530" s="52"/>
      <c r="C530" s="19"/>
      <c r="D530" s="18"/>
      <c r="E530" s="20"/>
      <c r="F530" s="23"/>
      <c r="G530" s="23"/>
      <c r="H530" s="18"/>
      <c r="I530" s="18"/>
      <c r="J530" s="24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" customHeight="1" x14ac:dyDescent="0.35">
      <c r="A531" s="52"/>
      <c r="B531" s="52"/>
      <c r="C531" s="19"/>
      <c r="D531" s="18"/>
      <c r="E531" s="20"/>
      <c r="F531" s="23"/>
      <c r="G531" s="23"/>
      <c r="H531" s="18"/>
      <c r="I531" s="18"/>
      <c r="J531" s="24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" customHeight="1" x14ac:dyDescent="0.35">
      <c r="A532" s="52"/>
      <c r="B532" s="52"/>
      <c r="C532" s="19"/>
      <c r="D532" s="18"/>
      <c r="E532" s="20"/>
      <c r="F532" s="23"/>
      <c r="G532" s="23"/>
      <c r="H532" s="18"/>
      <c r="I532" s="18"/>
      <c r="J532" s="24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" customHeight="1" x14ac:dyDescent="0.35">
      <c r="A533" s="52"/>
      <c r="B533" s="52"/>
      <c r="C533" s="19"/>
      <c r="D533" s="18"/>
      <c r="E533" s="20"/>
      <c r="F533" s="23"/>
      <c r="G533" s="23"/>
      <c r="H533" s="18"/>
      <c r="I533" s="18"/>
      <c r="J533" s="24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" customHeight="1" x14ac:dyDescent="0.35">
      <c r="A534" s="52"/>
      <c r="B534" s="52"/>
      <c r="C534" s="19"/>
      <c r="D534" s="18"/>
      <c r="E534" s="20"/>
      <c r="F534" s="23"/>
      <c r="G534" s="23"/>
      <c r="H534" s="18"/>
      <c r="I534" s="18"/>
      <c r="J534" s="24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" customHeight="1" x14ac:dyDescent="0.35">
      <c r="A535" s="52"/>
      <c r="B535" s="52"/>
      <c r="C535" s="19"/>
      <c r="D535" s="18"/>
      <c r="E535" s="20"/>
      <c r="F535" s="23"/>
      <c r="G535" s="23"/>
      <c r="H535" s="18"/>
      <c r="I535" s="18"/>
      <c r="J535" s="24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" customHeight="1" x14ac:dyDescent="0.35">
      <c r="A536" s="52"/>
      <c r="B536" s="52"/>
      <c r="C536" s="19"/>
      <c r="D536" s="18"/>
      <c r="E536" s="20"/>
      <c r="F536" s="23"/>
      <c r="G536" s="23"/>
      <c r="H536" s="18"/>
      <c r="I536" s="18"/>
      <c r="J536" s="24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" customHeight="1" x14ac:dyDescent="0.35">
      <c r="A537" s="52"/>
      <c r="B537" s="52"/>
      <c r="C537" s="19"/>
      <c r="D537" s="18"/>
      <c r="E537" s="20"/>
      <c r="F537" s="23"/>
      <c r="G537" s="23"/>
      <c r="H537" s="18"/>
      <c r="I537" s="18"/>
      <c r="J537" s="24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" customHeight="1" x14ac:dyDescent="0.35">
      <c r="A538" s="52"/>
      <c r="B538" s="52"/>
      <c r="C538" s="19"/>
      <c r="D538" s="18"/>
      <c r="E538" s="20"/>
      <c r="F538" s="23"/>
      <c r="G538" s="23"/>
      <c r="H538" s="18"/>
      <c r="I538" s="18"/>
      <c r="J538" s="24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" customHeight="1" x14ac:dyDescent="0.35">
      <c r="A539" s="52"/>
      <c r="B539" s="52"/>
      <c r="C539" s="19"/>
      <c r="D539" s="18"/>
      <c r="E539" s="20"/>
      <c r="F539" s="23"/>
      <c r="G539" s="23"/>
      <c r="H539" s="18"/>
      <c r="I539" s="18"/>
      <c r="J539" s="24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" customHeight="1" x14ac:dyDescent="0.35">
      <c r="A540" s="52"/>
      <c r="B540" s="52"/>
      <c r="C540" s="19"/>
      <c r="D540" s="18"/>
      <c r="E540" s="20"/>
      <c r="F540" s="23"/>
      <c r="G540" s="23"/>
      <c r="H540" s="18"/>
      <c r="I540" s="18"/>
      <c r="J540" s="24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" customHeight="1" x14ac:dyDescent="0.35">
      <c r="A541" s="52"/>
      <c r="B541" s="52"/>
      <c r="C541" s="19"/>
      <c r="D541" s="18"/>
      <c r="E541" s="20"/>
      <c r="F541" s="23"/>
      <c r="G541" s="23"/>
      <c r="H541" s="18"/>
      <c r="I541" s="18"/>
      <c r="J541" s="24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" customHeight="1" x14ac:dyDescent="0.35">
      <c r="A542" s="52"/>
      <c r="B542" s="52"/>
      <c r="C542" s="19"/>
      <c r="D542" s="18"/>
      <c r="E542" s="20"/>
      <c r="F542" s="23"/>
      <c r="G542" s="23"/>
      <c r="H542" s="18"/>
      <c r="I542" s="18"/>
      <c r="J542" s="24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" customHeight="1" x14ac:dyDescent="0.35">
      <c r="A543" s="52"/>
      <c r="B543" s="52"/>
      <c r="C543" s="19"/>
      <c r="D543" s="18"/>
      <c r="E543" s="20"/>
      <c r="F543" s="23"/>
      <c r="G543" s="23"/>
      <c r="H543" s="18"/>
      <c r="I543" s="18"/>
      <c r="J543" s="24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" customHeight="1" x14ac:dyDescent="0.35">
      <c r="A544" s="52"/>
      <c r="B544" s="52"/>
      <c r="C544" s="19"/>
      <c r="D544" s="18"/>
      <c r="E544" s="20"/>
      <c r="F544" s="23"/>
      <c r="G544" s="23"/>
      <c r="H544" s="18"/>
      <c r="I544" s="18"/>
      <c r="J544" s="24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" customHeight="1" x14ac:dyDescent="0.35">
      <c r="A545" s="52"/>
      <c r="B545" s="52"/>
      <c r="C545" s="19"/>
      <c r="D545" s="18"/>
      <c r="E545" s="20"/>
      <c r="F545" s="23"/>
      <c r="G545" s="23"/>
      <c r="H545" s="18"/>
      <c r="I545" s="18"/>
      <c r="J545" s="24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" customHeight="1" x14ac:dyDescent="0.35">
      <c r="A546" s="52"/>
      <c r="B546" s="52"/>
      <c r="C546" s="19"/>
      <c r="D546" s="61"/>
      <c r="E546" s="20"/>
      <c r="F546" s="23"/>
      <c r="G546" s="23"/>
      <c r="H546" s="18"/>
      <c r="I546" s="18"/>
      <c r="J546" s="24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" customHeight="1" x14ac:dyDescent="0.35">
      <c r="A547" s="52"/>
      <c r="B547" s="52"/>
      <c r="C547" s="19"/>
      <c r="D547" s="61"/>
      <c r="E547" s="20"/>
      <c r="F547" s="23"/>
      <c r="G547" s="23"/>
      <c r="H547" s="18"/>
      <c r="I547" s="18"/>
      <c r="J547" s="24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" customHeight="1" x14ac:dyDescent="0.35">
      <c r="A548" s="52"/>
      <c r="B548" s="52"/>
      <c r="C548" s="19"/>
      <c r="D548" s="18"/>
      <c r="E548" s="20"/>
      <c r="F548" s="23"/>
      <c r="G548" s="23"/>
      <c r="H548" s="18"/>
      <c r="I548" s="18"/>
      <c r="J548" s="24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" customHeight="1" x14ac:dyDescent="0.35">
      <c r="A549" s="52"/>
      <c r="B549" s="52"/>
      <c r="C549" s="19"/>
      <c r="D549" s="18"/>
      <c r="E549" s="20"/>
      <c r="F549" s="23"/>
      <c r="G549" s="23"/>
      <c r="H549" s="18"/>
      <c r="I549" s="18"/>
      <c r="J549" s="24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" customHeight="1" x14ac:dyDescent="0.35">
      <c r="A550" s="52"/>
      <c r="B550" s="52"/>
      <c r="C550" s="19"/>
      <c r="D550" s="18"/>
      <c r="E550" s="20"/>
      <c r="F550" s="23"/>
      <c r="G550" s="23"/>
      <c r="H550" s="18"/>
      <c r="I550" s="18"/>
      <c r="J550" s="24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" customHeight="1" x14ac:dyDescent="0.35">
      <c r="A551" s="52"/>
      <c r="B551" s="52"/>
      <c r="C551" s="19"/>
      <c r="D551" s="18"/>
      <c r="E551" s="20"/>
      <c r="F551" s="23"/>
      <c r="G551" s="23"/>
      <c r="H551" s="18"/>
      <c r="I551" s="18"/>
      <c r="J551" s="24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" customHeight="1" x14ac:dyDescent="0.35">
      <c r="A552" s="52"/>
      <c r="B552" s="52"/>
      <c r="C552" s="19"/>
      <c r="D552" s="18"/>
      <c r="E552" s="20"/>
      <c r="F552" s="23"/>
      <c r="G552" s="23"/>
      <c r="H552" s="18"/>
      <c r="I552" s="18"/>
      <c r="J552" s="24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" customHeight="1" x14ac:dyDescent="0.35">
      <c r="A553" s="52"/>
      <c r="B553" s="52"/>
      <c r="C553" s="19"/>
      <c r="D553" s="18"/>
      <c r="E553" s="20"/>
      <c r="F553" s="23"/>
      <c r="G553" s="23"/>
      <c r="H553" s="18"/>
      <c r="I553" s="18"/>
      <c r="J553" s="24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" customHeight="1" x14ac:dyDescent="0.35">
      <c r="A554" s="52"/>
      <c r="B554" s="52"/>
      <c r="C554" s="19"/>
      <c r="D554" s="18"/>
      <c r="E554" s="20"/>
      <c r="F554" s="23"/>
      <c r="G554" s="23"/>
      <c r="H554" s="18"/>
      <c r="I554" s="18"/>
      <c r="J554" s="24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" customHeight="1" x14ac:dyDescent="0.35">
      <c r="A555" s="52"/>
      <c r="B555" s="52"/>
      <c r="C555" s="19"/>
      <c r="D555" s="18"/>
      <c r="E555" s="20"/>
      <c r="F555" s="23"/>
      <c r="G555" s="23"/>
      <c r="H555" s="18"/>
      <c r="I555" s="18"/>
      <c r="J555" s="24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" customHeight="1" x14ac:dyDescent="0.35">
      <c r="A556" s="52"/>
      <c r="B556" s="52"/>
      <c r="C556" s="19"/>
      <c r="D556" s="18"/>
      <c r="E556" s="20"/>
      <c r="F556" s="23"/>
      <c r="G556" s="23"/>
      <c r="H556" s="18"/>
      <c r="I556" s="18"/>
      <c r="J556" s="24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" customHeight="1" x14ac:dyDescent="0.35">
      <c r="A557" s="52"/>
      <c r="B557" s="52"/>
      <c r="C557" s="19"/>
      <c r="D557" s="18"/>
      <c r="E557" s="20"/>
      <c r="F557" s="23"/>
      <c r="G557" s="23"/>
      <c r="H557" s="18"/>
      <c r="I557" s="18"/>
      <c r="J557" s="24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" customHeight="1" x14ac:dyDescent="0.35">
      <c r="A558" s="52"/>
      <c r="B558" s="52"/>
      <c r="C558" s="19"/>
      <c r="D558" s="18"/>
      <c r="E558" s="20"/>
      <c r="F558" s="23"/>
      <c r="G558" s="23"/>
      <c r="H558" s="18"/>
      <c r="I558" s="18"/>
      <c r="J558" s="24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" customHeight="1" x14ac:dyDescent="0.35">
      <c r="A559" s="52"/>
      <c r="B559" s="52"/>
      <c r="C559" s="19"/>
      <c r="D559" s="18"/>
      <c r="E559" s="20"/>
      <c r="F559" s="23"/>
      <c r="G559" s="23"/>
      <c r="H559" s="18"/>
      <c r="I559" s="18"/>
      <c r="J559" s="24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" customHeight="1" x14ac:dyDescent="0.35">
      <c r="A560" s="52"/>
      <c r="B560" s="52"/>
      <c r="C560" s="19"/>
      <c r="D560" s="18"/>
      <c r="E560" s="20"/>
      <c r="F560" s="23"/>
      <c r="G560" s="23"/>
      <c r="H560" s="18"/>
      <c r="I560" s="18"/>
      <c r="J560" s="24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" customHeight="1" x14ac:dyDescent="0.35">
      <c r="A561" s="52"/>
      <c r="B561" s="52"/>
      <c r="C561" s="19"/>
      <c r="D561" s="18"/>
      <c r="E561" s="20"/>
      <c r="F561" s="23"/>
      <c r="G561" s="23"/>
      <c r="H561" s="18"/>
      <c r="I561" s="18"/>
      <c r="J561" s="24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" customHeight="1" x14ac:dyDescent="0.35">
      <c r="A562" s="52"/>
      <c r="B562" s="52"/>
      <c r="C562" s="19"/>
      <c r="D562" s="18"/>
      <c r="E562" s="20"/>
      <c r="F562" s="23"/>
      <c r="G562" s="23"/>
      <c r="H562" s="18"/>
      <c r="I562" s="18"/>
      <c r="J562" s="24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" customHeight="1" x14ac:dyDescent="0.35">
      <c r="A563" s="52"/>
      <c r="B563" s="52"/>
      <c r="C563" s="19"/>
      <c r="D563" s="18"/>
      <c r="E563" s="20"/>
      <c r="F563" s="23"/>
      <c r="G563" s="23"/>
      <c r="H563" s="18"/>
      <c r="I563" s="18"/>
      <c r="J563" s="24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" customHeight="1" x14ac:dyDescent="0.35">
      <c r="A564" s="52"/>
      <c r="B564" s="52"/>
      <c r="C564" s="19"/>
      <c r="D564" s="18"/>
      <c r="E564" s="20"/>
      <c r="F564" s="23"/>
      <c r="G564" s="23"/>
      <c r="H564" s="18"/>
      <c r="I564" s="18"/>
      <c r="J564" s="24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" customHeight="1" x14ac:dyDescent="0.35">
      <c r="A565" s="52"/>
      <c r="B565" s="52"/>
      <c r="C565" s="19"/>
      <c r="D565" s="18"/>
      <c r="E565" s="20"/>
      <c r="F565" s="23"/>
      <c r="G565" s="23"/>
      <c r="H565" s="18"/>
      <c r="I565" s="18"/>
      <c r="J565" s="24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" customHeight="1" x14ac:dyDescent="0.35">
      <c r="A566" s="52"/>
      <c r="B566" s="52"/>
      <c r="C566" s="19"/>
      <c r="D566" s="18"/>
      <c r="E566" s="20"/>
      <c r="F566" s="23"/>
      <c r="G566" s="23"/>
      <c r="H566" s="18"/>
      <c r="I566" s="18"/>
      <c r="J566" s="24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" customHeight="1" x14ac:dyDescent="0.35">
      <c r="A567" s="52"/>
      <c r="B567" s="52"/>
      <c r="C567" s="19"/>
      <c r="D567" s="18"/>
      <c r="E567" s="20"/>
      <c r="F567" s="23"/>
      <c r="G567" s="23"/>
      <c r="H567" s="18"/>
      <c r="I567" s="18"/>
      <c r="J567" s="24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" customHeight="1" x14ac:dyDescent="0.35">
      <c r="A568" s="52"/>
      <c r="B568" s="52"/>
      <c r="C568" s="19"/>
      <c r="D568" s="18"/>
      <c r="E568" s="20"/>
      <c r="F568" s="23"/>
      <c r="G568" s="23"/>
      <c r="H568" s="18"/>
      <c r="I568" s="18"/>
      <c r="J568" s="24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" customHeight="1" x14ac:dyDescent="0.35">
      <c r="A569" s="52"/>
      <c r="B569" s="52"/>
      <c r="C569" s="19"/>
      <c r="D569" s="18"/>
      <c r="E569" s="20"/>
      <c r="F569" s="23"/>
      <c r="G569" s="23"/>
      <c r="H569" s="18"/>
      <c r="I569" s="18"/>
      <c r="J569" s="24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" customHeight="1" x14ac:dyDescent="0.35">
      <c r="A570" s="52"/>
      <c r="B570" s="52"/>
      <c r="C570" s="19"/>
      <c r="D570" s="18"/>
      <c r="E570" s="20"/>
      <c r="F570" s="23"/>
      <c r="G570" s="23"/>
      <c r="H570" s="18"/>
      <c r="I570" s="18"/>
      <c r="J570" s="24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" customHeight="1" x14ac:dyDescent="0.35">
      <c r="A571" s="52"/>
      <c r="B571" s="52"/>
      <c r="C571" s="19"/>
      <c r="D571" s="18"/>
      <c r="E571" s="20"/>
      <c r="F571" s="23"/>
      <c r="G571" s="23"/>
      <c r="H571" s="18"/>
      <c r="I571" s="18"/>
      <c r="J571" s="24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" customHeight="1" x14ac:dyDescent="0.35">
      <c r="A572" s="52"/>
      <c r="B572" s="52"/>
      <c r="C572" s="19"/>
      <c r="D572" s="18"/>
      <c r="E572" s="20"/>
      <c r="F572" s="23"/>
      <c r="G572" s="23"/>
      <c r="H572" s="18"/>
      <c r="I572" s="18"/>
      <c r="J572" s="24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" customHeight="1" x14ac:dyDescent="0.35">
      <c r="A573" s="52"/>
      <c r="B573" s="52"/>
      <c r="C573" s="19"/>
      <c r="D573" s="18"/>
      <c r="E573" s="20"/>
      <c r="F573" s="23"/>
      <c r="G573" s="23"/>
      <c r="H573" s="18"/>
      <c r="I573" s="18"/>
      <c r="J573" s="24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" customHeight="1" x14ac:dyDescent="0.35">
      <c r="A574" s="52"/>
      <c r="B574" s="52"/>
      <c r="C574" s="19"/>
      <c r="D574" s="18"/>
      <c r="E574" s="20"/>
      <c r="F574" s="23"/>
      <c r="G574" s="23"/>
      <c r="H574" s="18"/>
      <c r="I574" s="18"/>
      <c r="J574" s="24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" customHeight="1" x14ac:dyDescent="0.35">
      <c r="A575" s="52"/>
      <c r="B575" s="52"/>
      <c r="C575" s="19"/>
      <c r="D575" s="18"/>
      <c r="E575" s="20"/>
      <c r="F575" s="23"/>
      <c r="G575" s="23"/>
      <c r="H575" s="18"/>
      <c r="I575" s="18"/>
      <c r="J575" s="24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" customHeight="1" x14ac:dyDescent="0.35">
      <c r="A576" s="52"/>
      <c r="B576" s="52"/>
      <c r="C576" s="19"/>
      <c r="D576" s="18"/>
      <c r="E576" s="20"/>
      <c r="F576" s="23"/>
      <c r="G576" s="23"/>
      <c r="H576" s="18"/>
      <c r="I576" s="18"/>
      <c r="J576" s="24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" customHeight="1" x14ac:dyDescent="0.35">
      <c r="A577" s="52"/>
      <c r="B577" s="52"/>
      <c r="C577" s="19"/>
      <c r="D577" s="18"/>
      <c r="E577" s="20"/>
      <c r="F577" s="23"/>
      <c r="G577" s="23"/>
      <c r="H577" s="18"/>
      <c r="I577" s="18"/>
      <c r="J577" s="24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" customHeight="1" x14ac:dyDescent="0.35">
      <c r="A578" s="52"/>
      <c r="B578" s="52"/>
      <c r="C578" s="19"/>
      <c r="D578" s="18"/>
      <c r="E578" s="20"/>
      <c r="F578" s="23"/>
      <c r="G578" s="23"/>
      <c r="H578" s="18"/>
      <c r="I578" s="18"/>
      <c r="J578" s="24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" customHeight="1" x14ac:dyDescent="0.35">
      <c r="A579" s="52"/>
      <c r="B579" s="52"/>
      <c r="C579" s="19"/>
      <c r="D579" s="18"/>
      <c r="E579" s="20"/>
      <c r="F579" s="23"/>
      <c r="G579" s="23"/>
      <c r="H579" s="18"/>
      <c r="I579" s="18"/>
      <c r="J579" s="24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" customHeight="1" x14ac:dyDescent="0.35">
      <c r="A580" s="52"/>
      <c r="B580" s="52"/>
      <c r="C580" s="19"/>
      <c r="D580" s="18"/>
      <c r="E580" s="20"/>
      <c r="F580" s="23"/>
      <c r="G580" s="23"/>
      <c r="H580" s="18"/>
      <c r="I580" s="18"/>
      <c r="J580" s="24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" customHeight="1" x14ac:dyDescent="0.35">
      <c r="A581" s="52"/>
      <c r="B581" s="52"/>
      <c r="C581" s="19"/>
      <c r="D581" s="18"/>
      <c r="E581" s="20"/>
      <c r="F581" s="23"/>
      <c r="G581" s="23"/>
      <c r="H581" s="18"/>
      <c r="I581" s="18"/>
      <c r="J581" s="24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" customHeight="1" x14ac:dyDescent="0.35">
      <c r="A582" s="52"/>
      <c r="B582" s="52"/>
      <c r="C582" s="19"/>
      <c r="D582" s="18"/>
      <c r="E582" s="20"/>
      <c r="F582" s="23"/>
      <c r="G582" s="23"/>
      <c r="H582" s="18"/>
      <c r="I582" s="18"/>
      <c r="J582" s="24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" customHeight="1" x14ac:dyDescent="0.35">
      <c r="A583" s="52"/>
      <c r="B583" s="52"/>
      <c r="C583" s="19"/>
      <c r="D583" s="18"/>
      <c r="E583" s="20"/>
      <c r="F583" s="23"/>
      <c r="G583" s="23"/>
      <c r="H583" s="18"/>
      <c r="I583" s="18"/>
      <c r="J583" s="24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" customHeight="1" x14ac:dyDescent="0.35">
      <c r="A584" s="52"/>
      <c r="B584" s="52"/>
      <c r="C584" s="19"/>
      <c r="D584" s="18"/>
      <c r="E584" s="20"/>
      <c r="F584" s="23"/>
      <c r="G584" s="23"/>
      <c r="H584" s="18"/>
      <c r="I584" s="18"/>
      <c r="J584" s="24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" customHeight="1" x14ac:dyDescent="0.35">
      <c r="A585" s="52"/>
      <c r="B585" s="52"/>
      <c r="C585" s="19"/>
      <c r="D585" s="18"/>
      <c r="E585" s="20"/>
      <c r="F585" s="23"/>
      <c r="G585" s="23"/>
      <c r="H585" s="18"/>
      <c r="I585" s="18"/>
      <c r="J585" s="24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" customHeight="1" x14ac:dyDescent="0.35">
      <c r="A586" s="52"/>
      <c r="B586" s="52"/>
      <c r="C586" s="19"/>
      <c r="D586" s="18"/>
      <c r="E586" s="20"/>
      <c r="F586" s="23"/>
      <c r="G586" s="23"/>
      <c r="H586" s="18"/>
      <c r="I586" s="18"/>
      <c r="J586" s="24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" customHeight="1" x14ac:dyDescent="0.35">
      <c r="A587" s="52"/>
      <c r="B587" s="52"/>
      <c r="C587" s="19"/>
      <c r="D587" s="18"/>
      <c r="E587" s="20"/>
      <c r="F587" s="23"/>
      <c r="G587" s="23"/>
      <c r="H587" s="18"/>
      <c r="I587" s="18"/>
      <c r="J587" s="24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" customHeight="1" x14ac:dyDescent="0.35">
      <c r="A588" s="52"/>
      <c r="B588" s="52"/>
      <c r="C588" s="19"/>
      <c r="D588" s="18"/>
      <c r="E588" s="20"/>
      <c r="F588" s="23"/>
      <c r="G588" s="23"/>
      <c r="H588" s="18"/>
      <c r="I588" s="18"/>
      <c r="J588" s="24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" customHeight="1" x14ac:dyDescent="0.35">
      <c r="A589" s="52"/>
      <c r="B589" s="52"/>
      <c r="C589" s="19"/>
      <c r="D589" s="18"/>
      <c r="E589" s="20"/>
      <c r="F589" s="23"/>
      <c r="G589" s="23"/>
      <c r="H589" s="18"/>
      <c r="I589" s="18"/>
      <c r="J589" s="24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" customHeight="1" x14ac:dyDescent="0.35">
      <c r="A590" s="52"/>
      <c r="B590" s="52"/>
      <c r="C590" s="19"/>
      <c r="D590" s="18"/>
      <c r="E590" s="20"/>
      <c r="F590" s="23"/>
      <c r="G590" s="23"/>
      <c r="H590" s="18"/>
      <c r="I590" s="18"/>
      <c r="J590" s="24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" customHeight="1" x14ac:dyDescent="0.35">
      <c r="A591" s="52"/>
      <c r="B591" s="52"/>
      <c r="C591" s="19"/>
      <c r="D591" s="18"/>
      <c r="E591" s="20"/>
      <c r="F591" s="23"/>
      <c r="G591" s="23"/>
      <c r="H591" s="18"/>
      <c r="I591" s="18"/>
      <c r="J591" s="24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" customHeight="1" x14ac:dyDescent="0.35">
      <c r="A592" s="52"/>
      <c r="B592" s="52"/>
      <c r="C592" s="19"/>
      <c r="D592" s="18"/>
      <c r="E592" s="20"/>
      <c r="F592" s="23"/>
      <c r="G592" s="23"/>
      <c r="H592" s="18"/>
      <c r="I592" s="18"/>
      <c r="J592" s="24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" customHeight="1" x14ac:dyDescent="0.35">
      <c r="A593" s="52"/>
      <c r="B593" s="52"/>
      <c r="C593" s="19"/>
      <c r="D593" s="18"/>
      <c r="E593" s="20"/>
      <c r="F593" s="23"/>
      <c r="G593" s="23"/>
      <c r="H593" s="18"/>
      <c r="I593" s="18"/>
      <c r="J593" s="24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" customHeight="1" x14ac:dyDescent="0.35">
      <c r="A594" s="52"/>
      <c r="B594" s="52"/>
      <c r="C594" s="19"/>
      <c r="D594" s="18"/>
      <c r="E594" s="20"/>
      <c r="F594" s="23"/>
      <c r="G594" s="23"/>
      <c r="H594" s="18"/>
      <c r="I594" s="18"/>
      <c r="J594" s="24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" customHeight="1" x14ac:dyDescent="0.35">
      <c r="A595" s="52"/>
      <c r="B595" s="52"/>
      <c r="C595" s="19"/>
      <c r="D595" s="18"/>
      <c r="E595" s="20"/>
      <c r="F595" s="23"/>
      <c r="G595" s="23"/>
      <c r="H595" s="18"/>
      <c r="I595" s="18"/>
      <c r="J595" s="24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" customHeight="1" x14ac:dyDescent="0.35">
      <c r="A596" s="52"/>
      <c r="B596" s="52"/>
      <c r="C596" s="19"/>
      <c r="D596" s="18"/>
      <c r="E596" s="20"/>
      <c r="F596" s="23"/>
      <c r="G596" s="23"/>
      <c r="H596" s="18"/>
      <c r="I596" s="18"/>
      <c r="J596" s="24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" customHeight="1" x14ac:dyDescent="0.35">
      <c r="A597" s="52"/>
      <c r="B597" s="52"/>
      <c r="C597" s="19"/>
      <c r="D597" s="18"/>
      <c r="E597" s="20"/>
      <c r="F597" s="23"/>
      <c r="G597" s="23"/>
      <c r="H597" s="18"/>
      <c r="I597" s="18"/>
      <c r="J597" s="24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" customHeight="1" x14ac:dyDescent="0.35">
      <c r="A598" s="52"/>
      <c r="B598" s="52"/>
      <c r="C598" s="19"/>
      <c r="D598" s="18"/>
      <c r="E598" s="20"/>
      <c r="F598" s="23"/>
      <c r="G598" s="23"/>
      <c r="H598" s="18"/>
      <c r="I598" s="18"/>
      <c r="J598" s="24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" customHeight="1" x14ac:dyDescent="0.35">
      <c r="A599" s="62">
        <v>45925</v>
      </c>
      <c r="B599" s="62">
        <v>46028</v>
      </c>
      <c r="C599" s="63">
        <v>46024</v>
      </c>
      <c r="D599" s="64">
        <v>23441</v>
      </c>
      <c r="E599" s="65" t="s">
        <v>44</v>
      </c>
      <c r="F599" s="66">
        <v>1872</v>
      </c>
      <c r="G599" s="66">
        <v>1872</v>
      </c>
      <c r="H599" s="66"/>
      <c r="I599" s="64" t="s">
        <v>12</v>
      </c>
      <c r="J599" s="67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" customHeight="1" x14ac:dyDescent="0.35">
      <c r="A600" s="52"/>
      <c r="B600" s="52"/>
      <c r="C600" s="19"/>
      <c r="D600" s="18"/>
      <c r="E600" s="20"/>
      <c r="F600" s="23"/>
      <c r="G600" s="23"/>
      <c r="H600" s="18"/>
      <c r="I600" s="18"/>
      <c r="J600" s="24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" customHeight="1" x14ac:dyDescent="0.35">
      <c r="A601" s="52"/>
      <c r="B601" s="52"/>
      <c r="C601" s="19"/>
      <c r="D601" s="18"/>
      <c r="E601" s="20"/>
      <c r="F601" s="23"/>
      <c r="G601" s="23"/>
      <c r="H601" s="18"/>
      <c r="I601" s="18"/>
      <c r="J601" s="24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" customHeight="1" x14ac:dyDescent="0.35">
      <c r="A602" s="52"/>
      <c r="B602" s="52"/>
      <c r="C602" s="19"/>
      <c r="D602" s="18"/>
      <c r="E602" s="20"/>
      <c r="F602" s="23"/>
      <c r="G602" s="23"/>
      <c r="H602" s="18"/>
      <c r="I602" s="18"/>
      <c r="J602" s="24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" customHeight="1" x14ac:dyDescent="0.35">
      <c r="A603" s="52"/>
      <c r="B603" s="52"/>
      <c r="C603" s="19"/>
      <c r="D603" s="18"/>
      <c r="E603" s="20"/>
      <c r="F603" s="23"/>
      <c r="G603" s="23"/>
      <c r="H603" s="18"/>
      <c r="I603" s="18"/>
      <c r="J603" s="24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" customHeight="1" x14ac:dyDescent="0.35">
      <c r="A604" s="52"/>
      <c r="B604" s="52"/>
      <c r="C604" s="19"/>
      <c r="D604" s="18"/>
      <c r="E604" s="20"/>
      <c r="F604" s="23"/>
      <c r="G604" s="23"/>
      <c r="H604" s="18"/>
      <c r="I604" s="18"/>
      <c r="J604" s="24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" customHeight="1" x14ac:dyDescent="0.35">
      <c r="A605" s="52"/>
      <c r="B605" s="52"/>
      <c r="C605" s="19"/>
      <c r="D605" s="18"/>
      <c r="E605" s="20"/>
      <c r="F605" s="23"/>
      <c r="G605" s="23"/>
      <c r="H605" s="18"/>
      <c r="I605" s="18"/>
      <c r="J605" s="24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" customHeight="1" x14ac:dyDescent="0.35">
      <c r="A606" s="52"/>
      <c r="B606" s="52"/>
      <c r="C606" s="19"/>
      <c r="D606" s="18"/>
      <c r="E606" s="20"/>
      <c r="F606" s="23"/>
      <c r="G606" s="23"/>
      <c r="H606" s="18"/>
      <c r="I606" s="18"/>
      <c r="J606" s="24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" customHeight="1" x14ac:dyDescent="0.35">
      <c r="A607" s="52"/>
      <c r="B607" s="52"/>
      <c r="C607" s="19"/>
      <c r="D607" s="18"/>
      <c r="E607" s="20"/>
      <c r="F607" s="23"/>
      <c r="G607" s="23"/>
      <c r="H607" s="18"/>
      <c r="I607" s="18"/>
      <c r="J607" s="24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" customHeight="1" x14ac:dyDescent="0.35">
      <c r="A608" s="52"/>
      <c r="B608" s="52"/>
      <c r="C608" s="19"/>
      <c r="D608" s="18"/>
      <c r="E608" s="20"/>
      <c r="F608" s="23"/>
      <c r="G608" s="23"/>
      <c r="H608" s="18"/>
      <c r="I608" s="18"/>
      <c r="J608" s="24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" customHeight="1" x14ac:dyDescent="0.35">
      <c r="A609" s="52"/>
      <c r="B609" s="52"/>
      <c r="C609" s="19"/>
      <c r="D609" s="18"/>
      <c r="E609" s="20"/>
      <c r="F609" s="23"/>
      <c r="G609" s="23"/>
      <c r="H609" s="18"/>
      <c r="I609" s="18"/>
      <c r="J609" s="24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" customHeight="1" x14ac:dyDescent="0.35">
      <c r="A610" s="52"/>
      <c r="B610" s="52"/>
      <c r="C610" s="19"/>
      <c r="D610" s="18"/>
      <c r="E610" s="20"/>
      <c r="F610" s="23"/>
      <c r="G610" s="23"/>
      <c r="H610" s="18"/>
      <c r="I610" s="18"/>
      <c r="J610" s="24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" customHeight="1" x14ac:dyDescent="0.35">
      <c r="A611" s="52"/>
      <c r="B611" s="52"/>
      <c r="C611" s="19"/>
      <c r="D611" s="18"/>
      <c r="E611" s="20"/>
      <c r="F611" s="23"/>
      <c r="G611" s="23"/>
      <c r="H611" s="18"/>
      <c r="I611" s="18"/>
      <c r="J611" s="24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" customHeight="1" x14ac:dyDescent="0.35">
      <c r="A612" s="52"/>
      <c r="B612" s="52"/>
      <c r="C612" s="19"/>
      <c r="D612" s="18"/>
      <c r="E612" s="20"/>
      <c r="F612" s="23"/>
      <c r="G612" s="23"/>
      <c r="H612" s="18"/>
      <c r="I612" s="18"/>
      <c r="J612" s="24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" customHeight="1" x14ac:dyDescent="0.35">
      <c r="A613" s="52"/>
      <c r="B613" s="52"/>
      <c r="C613" s="19"/>
      <c r="D613" s="18"/>
      <c r="E613" s="20"/>
      <c r="F613" s="23"/>
      <c r="G613" s="23"/>
      <c r="H613" s="18"/>
      <c r="I613" s="18"/>
      <c r="J613" s="24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" customHeight="1" x14ac:dyDescent="0.35">
      <c r="A614" s="52"/>
      <c r="B614" s="52"/>
      <c r="C614" s="19"/>
      <c r="D614" s="18"/>
      <c r="E614" s="20"/>
      <c r="F614" s="23"/>
      <c r="G614" s="23"/>
      <c r="H614" s="18"/>
      <c r="I614" s="18"/>
      <c r="J614" s="24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" customHeight="1" x14ac:dyDescent="0.35">
      <c r="A615" s="52"/>
      <c r="B615" s="52"/>
      <c r="C615" s="19"/>
      <c r="D615" s="18"/>
      <c r="E615" s="20"/>
      <c r="F615" s="23"/>
      <c r="G615" s="23"/>
      <c r="H615" s="18"/>
      <c r="I615" s="18"/>
      <c r="J615" s="24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" customHeight="1" x14ac:dyDescent="0.35">
      <c r="A616" s="52"/>
      <c r="B616" s="52"/>
      <c r="C616" s="19"/>
      <c r="D616" s="18"/>
      <c r="E616" s="20"/>
      <c r="F616" s="23"/>
      <c r="G616" s="23"/>
      <c r="H616" s="18"/>
      <c r="I616" s="18"/>
      <c r="J616" s="24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" customHeight="1" x14ac:dyDescent="0.35">
      <c r="A617" s="52"/>
      <c r="B617" s="52"/>
      <c r="C617" s="19"/>
      <c r="D617" s="18"/>
      <c r="E617" s="20"/>
      <c r="F617" s="23"/>
      <c r="G617" s="23"/>
      <c r="H617" s="18"/>
      <c r="I617" s="18"/>
      <c r="J617" s="24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" customHeight="1" x14ac:dyDescent="0.35">
      <c r="A618" s="52"/>
      <c r="B618" s="52"/>
      <c r="C618" s="19"/>
      <c r="D618" s="18"/>
      <c r="E618" s="20"/>
      <c r="F618" s="23"/>
      <c r="G618" s="23"/>
      <c r="H618" s="18"/>
      <c r="I618" s="18"/>
      <c r="J618" s="24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" customHeight="1" x14ac:dyDescent="0.35">
      <c r="A619" s="52"/>
      <c r="B619" s="52"/>
      <c r="C619" s="19"/>
      <c r="D619" s="18"/>
      <c r="E619" s="20"/>
      <c r="F619" s="23"/>
      <c r="G619" s="23"/>
      <c r="H619" s="18"/>
      <c r="I619" s="18"/>
      <c r="J619" s="24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" customHeight="1" x14ac:dyDescent="0.35">
      <c r="A620" s="52"/>
      <c r="B620" s="52"/>
      <c r="C620" s="19"/>
      <c r="D620" s="18"/>
      <c r="E620" s="20"/>
      <c r="F620" s="23"/>
      <c r="G620" s="23"/>
      <c r="H620" s="18"/>
      <c r="I620" s="18"/>
      <c r="J620" s="24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" customHeight="1" x14ac:dyDescent="0.35">
      <c r="A621" s="52"/>
      <c r="B621" s="52"/>
      <c r="C621" s="19"/>
      <c r="D621" s="18"/>
      <c r="E621" s="20"/>
      <c r="F621" s="23"/>
      <c r="G621" s="23"/>
      <c r="H621" s="18"/>
      <c r="I621" s="18"/>
      <c r="J621" s="24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" customHeight="1" x14ac:dyDescent="0.35">
      <c r="A622" s="52"/>
      <c r="B622" s="52"/>
      <c r="C622" s="19"/>
      <c r="D622" s="18"/>
      <c r="E622" s="20"/>
      <c r="F622" s="23"/>
      <c r="G622" s="23"/>
      <c r="H622" s="18"/>
      <c r="I622" s="18"/>
      <c r="J622" s="24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" customHeight="1" x14ac:dyDescent="0.35">
      <c r="A623" s="52"/>
      <c r="B623" s="52"/>
      <c r="C623" s="19"/>
      <c r="D623" s="18"/>
      <c r="E623" s="20"/>
      <c r="F623" s="23"/>
      <c r="G623" s="23"/>
      <c r="H623" s="18"/>
      <c r="I623" s="18"/>
      <c r="J623" s="24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" customHeight="1" x14ac:dyDescent="0.35">
      <c r="A624" s="52"/>
      <c r="B624" s="52"/>
      <c r="C624" s="19"/>
      <c r="D624" s="18"/>
      <c r="E624" s="20"/>
      <c r="F624" s="23"/>
      <c r="G624" s="23"/>
      <c r="H624" s="18"/>
      <c r="I624" s="18"/>
      <c r="J624" s="24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" customHeight="1" x14ac:dyDescent="0.35">
      <c r="A625" s="52"/>
      <c r="B625" s="52"/>
      <c r="C625" s="19"/>
      <c r="D625" s="18"/>
      <c r="E625" s="20"/>
      <c r="F625" s="23"/>
      <c r="G625" s="23"/>
      <c r="H625" s="18"/>
      <c r="I625" s="18"/>
      <c r="J625" s="24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" customHeight="1" x14ac:dyDescent="0.35">
      <c r="A626" s="52"/>
      <c r="B626" s="52"/>
      <c r="C626" s="19"/>
      <c r="D626" s="18"/>
      <c r="E626" s="20"/>
      <c r="F626" s="23"/>
      <c r="G626" s="23"/>
      <c r="H626" s="18"/>
      <c r="I626" s="18"/>
      <c r="J626" s="24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" customHeight="1" x14ac:dyDescent="0.35">
      <c r="A627" s="62">
        <v>45947</v>
      </c>
      <c r="B627" s="62">
        <v>46037</v>
      </c>
      <c r="C627" s="63">
        <v>46037</v>
      </c>
      <c r="D627" s="64">
        <v>23468</v>
      </c>
      <c r="E627" s="65" t="s">
        <v>28</v>
      </c>
      <c r="F627" s="66">
        <v>2566.25</v>
      </c>
      <c r="G627" s="66">
        <v>2566.25</v>
      </c>
      <c r="H627" s="66"/>
      <c r="I627" s="64" t="s">
        <v>12</v>
      </c>
      <c r="J627" s="67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" customHeight="1" x14ac:dyDescent="0.35">
      <c r="A628" s="52"/>
      <c r="B628" s="52"/>
      <c r="C628" s="19"/>
      <c r="D628" s="18"/>
      <c r="E628" s="20"/>
      <c r="F628" s="23"/>
      <c r="G628" s="23"/>
      <c r="H628" s="18"/>
      <c r="I628" s="18"/>
      <c r="J628" s="24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" customHeight="1" x14ac:dyDescent="0.35">
      <c r="A629" s="52"/>
      <c r="B629" s="52"/>
      <c r="C629" s="19"/>
      <c r="D629" s="18"/>
      <c r="E629" s="20"/>
      <c r="F629" s="23"/>
      <c r="G629" s="23"/>
      <c r="H629" s="18"/>
      <c r="I629" s="18"/>
      <c r="J629" s="24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" customHeight="1" x14ac:dyDescent="0.35">
      <c r="A630" s="52"/>
      <c r="B630" s="52"/>
      <c r="C630" s="19"/>
      <c r="D630" s="18"/>
      <c r="E630" s="20"/>
      <c r="F630" s="23"/>
      <c r="G630" s="23"/>
      <c r="H630" s="18"/>
      <c r="I630" s="18"/>
      <c r="J630" s="24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" customHeight="1" x14ac:dyDescent="0.35">
      <c r="A631" s="52"/>
      <c r="B631" s="52"/>
      <c r="C631" s="19"/>
      <c r="D631" s="61"/>
      <c r="E631" s="20"/>
      <c r="F631" s="23"/>
      <c r="G631" s="23"/>
      <c r="H631" s="18"/>
      <c r="I631" s="18"/>
      <c r="J631" s="24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" customHeight="1" x14ac:dyDescent="0.35">
      <c r="A632" s="52"/>
      <c r="B632" s="52"/>
      <c r="C632" s="19"/>
      <c r="D632" s="61"/>
      <c r="E632" s="20"/>
      <c r="F632" s="23"/>
      <c r="G632" s="23"/>
      <c r="H632" s="18"/>
      <c r="I632" s="18"/>
      <c r="J632" s="24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" customHeight="1" x14ac:dyDescent="0.35">
      <c r="A633" s="52"/>
      <c r="B633" s="52"/>
      <c r="C633" s="19"/>
      <c r="D633" s="18"/>
      <c r="E633" s="20"/>
      <c r="F633" s="23"/>
      <c r="G633" s="23"/>
      <c r="H633" s="18"/>
      <c r="I633" s="18"/>
      <c r="J633" s="24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" customHeight="1" x14ac:dyDescent="0.35">
      <c r="A634" s="52"/>
      <c r="B634" s="52"/>
      <c r="C634" s="19"/>
      <c r="D634" s="18"/>
      <c r="E634" s="20"/>
      <c r="F634" s="23"/>
      <c r="G634" s="23"/>
      <c r="H634" s="18"/>
      <c r="I634" s="18"/>
      <c r="J634" s="24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" customHeight="1" x14ac:dyDescent="0.35">
      <c r="A635" s="52"/>
      <c r="B635" s="52"/>
      <c r="C635" s="19"/>
      <c r="D635" s="18"/>
      <c r="E635" s="20"/>
      <c r="F635" s="23"/>
      <c r="G635" s="23"/>
      <c r="H635" s="18"/>
      <c r="I635" s="18"/>
      <c r="J635" s="24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" customHeight="1" x14ac:dyDescent="0.35">
      <c r="A636" s="52"/>
      <c r="B636" s="52"/>
      <c r="C636" s="19"/>
      <c r="D636" s="18"/>
      <c r="E636" s="20"/>
      <c r="F636" s="23"/>
      <c r="G636" s="23"/>
      <c r="H636" s="18"/>
      <c r="I636" s="18"/>
      <c r="J636" s="24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" customHeight="1" x14ac:dyDescent="0.35">
      <c r="A637" s="52"/>
      <c r="B637" s="52"/>
      <c r="C637" s="19"/>
      <c r="D637" s="18"/>
      <c r="E637" s="20"/>
      <c r="F637" s="23"/>
      <c r="G637" s="23"/>
      <c r="H637" s="18"/>
      <c r="I637" s="18"/>
      <c r="J637" s="24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" customHeight="1" x14ac:dyDescent="0.35">
      <c r="A638" s="52"/>
      <c r="B638" s="52"/>
      <c r="C638" s="19"/>
      <c r="D638" s="18"/>
      <c r="E638" s="20"/>
      <c r="F638" s="23"/>
      <c r="G638" s="23"/>
      <c r="H638" s="18"/>
      <c r="I638" s="18"/>
      <c r="J638" s="24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" customHeight="1" x14ac:dyDescent="0.35">
      <c r="A639" s="52"/>
      <c r="B639" s="52"/>
      <c r="C639" s="19"/>
      <c r="D639" s="18"/>
      <c r="E639" s="20"/>
      <c r="F639" s="23"/>
      <c r="G639" s="23"/>
      <c r="H639" s="18"/>
      <c r="I639" s="18"/>
      <c r="J639" s="24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" customHeight="1" x14ac:dyDescent="0.35">
      <c r="A640" s="52"/>
      <c r="B640" s="52"/>
      <c r="C640" s="19"/>
      <c r="D640" s="18"/>
      <c r="E640" s="20"/>
      <c r="F640" s="23"/>
      <c r="G640" s="23"/>
      <c r="H640" s="18"/>
      <c r="I640" s="18"/>
      <c r="J640" s="24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" customHeight="1" x14ac:dyDescent="0.35">
      <c r="A641" s="52"/>
      <c r="B641" s="52"/>
      <c r="C641" s="19"/>
      <c r="D641" s="18"/>
      <c r="E641" s="20"/>
      <c r="F641" s="23"/>
      <c r="G641" s="23"/>
      <c r="H641" s="18"/>
      <c r="I641" s="18"/>
      <c r="J641" s="24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" customHeight="1" x14ac:dyDescent="0.35">
      <c r="A642" s="52"/>
      <c r="B642" s="52"/>
      <c r="C642" s="19"/>
      <c r="D642" s="18"/>
      <c r="E642" s="20"/>
      <c r="F642" s="23"/>
      <c r="G642" s="23"/>
      <c r="H642" s="18"/>
      <c r="I642" s="18"/>
      <c r="J642" s="24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" customHeight="1" x14ac:dyDescent="0.35">
      <c r="A643" s="52"/>
      <c r="B643" s="52"/>
      <c r="C643" s="19"/>
      <c r="D643" s="18"/>
      <c r="E643" s="20"/>
      <c r="F643" s="23"/>
      <c r="G643" s="23"/>
      <c r="H643" s="18"/>
      <c r="I643" s="18"/>
      <c r="J643" s="24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" customHeight="1" x14ac:dyDescent="0.35">
      <c r="A644" s="52"/>
      <c r="B644" s="52"/>
      <c r="C644" s="19"/>
      <c r="D644" s="18"/>
      <c r="E644" s="20"/>
      <c r="F644" s="23"/>
      <c r="G644" s="23"/>
      <c r="H644" s="18"/>
      <c r="I644" s="18"/>
      <c r="J644" s="24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" customHeight="1" x14ac:dyDescent="0.35">
      <c r="A645" s="52"/>
      <c r="B645" s="52"/>
      <c r="C645" s="19"/>
      <c r="D645" s="18"/>
      <c r="E645" s="20"/>
      <c r="F645" s="23"/>
      <c r="G645" s="23"/>
      <c r="H645" s="18"/>
      <c r="I645" s="18"/>
      <c r="J645" s="24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" customHeight="1" x14ac:dyDescent="0.35">
      <c r="A646" s="52"/>
      <c r="B646" s="52"/>
      <c r="C646" s="19"/>
      <c r="D646" s="18"/>
      <c r="E646" s="20"/>
      <c r="F646" s="23"/>
      <c r="G646" s="23"/>
      <c r="H646" s="18"/>
      <c r="I646" s="18"/>
      <c r="J646" s="24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" customHeight="1" x14ac:dyDescent="0.35">
      <c r="A647" s="52"/>
      <c r="B647" s="52"/>
      <c r="C647" s="19"/>
      <c r="D647" s="18"/>
      <c r="E647" s="20"/>
      <c r="F647" s="23"/>
      <c r="G647" s="23"/>
      <c r="H647" s="18"/>
      <c r="I647" s="18"/>
      <c r="J647" s="24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" customHeight="1" x14ac:dyDescent="0.35">
      <c r="A648" s="52"/>
      <c r="B648" s="52"/>
      <c r="C648" s="19"/>
      <c r="D648" s="18"/>
      <c r="E648" s="20"/>
      <c r="F648" s="23"/>
      <c r="G648" s="23"/>
      <c r="H648" s="18"/>
      <c r="I648" s="18"/>
      <c r="J648" s="24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" customHeight="1" x14ac:dyDescent="0.35">
      <c r="A649" s="52"/>
      <c r="B649" s="52"/>
      <c r="C649" s="19"/>
      <c r="D649" s="18"/>
      <c r="E649" s="20"/>
      <c r="F649" s="23"/>
      <c r="G649" s="23"/>
      <c r="H649" s="18"/>
      <c r="I649" s="18"/>
      <c r="J649" s="24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" customHeight="1" x14ac:dyDescent="0.35">
      <c r="A650" s="52"/>
      <c r="B650" s="52"/>
      <c r="C650" s="19"/>
      <c r="D650" s="18"/>
      <c r="E650" s="20"/>
      <c r="F650" s="23"/>
      <c r="G650" s="23"/>
      <c r="H650" s="18"/>
      <c r="I650" s="18"/>
      <c r="J650" s="24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" customHeight="1" x14ac:dyDescent="0.35">
      <c r="A651" s="52"/>
      <c r="B651" s="52"/>
      <c r="C651" s="19"/>
      <c r="D651" s="18"/>
      <c r="E651" s="20"/>
      <c r="F651" s="23"/>
      <c r="G651" s="23"/>
      <c r="H651" s="18"/>
      <c r="I651" s="18"/>
      <c r="J651" s="24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" customHeight="1" x14ac:dyDescent="0.35">
      <c r="A652" s="52"/>
      <c r="B652" s="52"/>
      <c r="C652" s="19"/>
      <c r="D652" s="18"/>
      <c r="E652" s="20"/>
      <c r="F652" s="23"/>
      <c r="G652" s="23"/>
      <c r="H652" s="18"/>
      <c r="I652" s="18"/>
      <c r="J652" s="24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" customHeight="1" x14ac:dyDescent="0.35">
      <c r="A653" s="52"/>
      <c r="B653" s="52"/>
      <c r="C653" s="19"/>
      <c r="D653" s="18"/>
      <c r="E653" s="20"/>
      <c r="F653" s="23"/>
      <c r="G653" s="23"/>
      <c r="H653" s="18"/>
      <c r="I653" s="18"/>
      <c r="J653" s="24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" customHeight="1" x14ac:dyDescent="0.35">
      <c r="A654" s="52"/>
      <c r="B654" s="52"/>
      <c r="C654" s="19"/>
      <c r="D654" s="18"/>
      <c r="E654" s="20"/>
      <c r="F654" s="23"/>
      <c r="G654" s="23"/>
      <c r="H654" s="18"/>
      <c r="I654" s="18"/>
      <c r="J654" s="24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" customHeight="1" x14ac:dyDescent="0.35">
      <c r="A655" s="52"/>
      <c r="B655" s="52"/>
      <c r="C655" s="19"/>
      <c r="D655" s="18"/>
      <c r="E655" s="20"/>
      <c r="F655" s="23"/>
      <c r="G655" s="23"/>
      <c r="H655" s="18"/>
      <c r="I655" s="18"/>
      <c r="J655" s="24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" customHeight="1" x14ac:dyDescent="0.35">
      <c r="A656" s="62">
        <v>45959</v>
      </c>
      <c r="B656" s="62">
        <v>46068</v>
      </c>
      <c r="C656" s="63"/>
      <c r="D656" s="64">
        <v>23497</v>
      </c>
      <c r="E656" s="65" t="s">
        <v>28</v>
      </c>
      <c r="F656" s="66">
        <v>3082</v>
      </c>
      <c r="G656" s="66"/>
      <c r="H656" s="66"/>
      <c r="I656" s="64"/>
      <c r="J656" s="67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" customHeight="1" x14ac:dyDescent="0.35">
      <c r="A657" s="52"/>
      <c r="B657" s="52"/>
      <c r="C657" s="19"/>
      <c r="D657" s="18"/>
      <c r="E657" s="20"/>
      <c r="F657" s="23"/>
      <c r="G657" s="23"/>
      <c r="H657" s="18"/>
      <c r="I657" s="18"/>
      <c r="J657" s="24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" customHeight="1" x14ac:dyDescent="0.35">
      <c r="A658" s="52"/>
      <c r="B658" s="52"/>
      <c r="C658" s="19"/>
      <c r="D658" s="18"/>
      <c r="E658" s="20"/>
      <c r="F658" s="23"/>
      <c r="G658" s="23"/>
      <c r="H658" s="18"/>
      <c r="I658" s="18"/>
      <c r="J658" s="24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" customHeight="1" x14ac:dyDescent="0.35">
      <c r="A659" s="52"/>
      <c r="B659" s="52"/>
      <c r="C659" s="19"/>
      <c r="D659" s="18"/>
      <c r="E659" s="20"/>
      <c r="F659" s="23"/>
      <c r="G659" s="23"/>
      <c r="H659" s="18"/>
      <c r="I659" s="18"/>
      <c r="J659" s="24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" customHeight="1" x14ac:dyDescent="0.35">
      <c r="A660" s="52"/>
      <c r="B660" s="52"/>
      <c r="C660" s="19"/>
      <c r="D660" s="18"/>
      <c r="E660" s="20"/>
      <c r="F660" s="23"/>
      <c r="G660" s="23"/>
      <c r="H660" s="18"/>
      <c r="I660" s="18"/>
      <c r="J660" s="24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" customHeight="1" x14ac:dyDescent="0.35">
      <c r="A661" s="52"/>
      <c r="B661" s="52"/>
      <c r="C661" s="19"/>
      <c r="D661" s="18"/>
      <c r="E661" s="20"/>
      <c r="F661" s="23"/>
      <c r="G661" s="23"/>
      <c r="H661" s="18"/>
      <c r="I661" s="18"/>
      <c r="J661" s="24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" customHeight="1" x14ac:dyDescent="0.35">
      <c r="A662" s="52"/>
      <c r="B662" s="52"/>
      <c r="C662" s="19"/>
      <c r="D662" s="18"/>
      <c r="E662" s="20"/>
      <c r="F662" s="23"/>
      <c r="G662" s="23"/>
      <c r="H662" s="18"/>
      <c r="I662" s="18"/>
      <c r="J662" s="24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" customHeight="1" x14ac:dyDescent="0.35">
      <c r="A663" s="52"/>
      <c r="B663" s="52"/>
      <c r="C663" s="19"/>
      <c r="D663" s="18"/>
      <c r="E663" s="20"/>
      <c r="F663" s="23"/>
      <c r="G663" s="23"/>
      <c r="H663" s="18"/>
      <c r="I663" s="18"/>
      <c r="J663" s="24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" customHeight="1" x14ac:dyDescent="0.35">
      <c r="A664" s="52"/>
      <c r="B664" s="52"/>
      <c r="C664" s="19"/>
      <c r="D664" s="18"/>
      <c r="E664" s="20"/>
      <c r="F664" s="23"/>
      <c r="G664" s="23"/>
      <c r="H664" s="18"/>
      <c r="I664" s="18"/>
      <c r="J664" s="24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" customHeight="1" x14ac:dyDescent="0.35">
      <c r="A665" s="68">
        <v>45964</v>
      </c>
      <c r="B665" s="68">
        <v>46054</v>
      </c>
      <c r="C665" s="69"/>
      <c r="D665" s="70">
        <v>23505</v>
      </c>
      <c r="E665" s="71" t="s">
        <v>45</v>
      </c>
      <c r="F665" s="72">
        <v>6220</v>
      </c>
      <c r="G665" s="72"/>
      <c r="H665" s="72"/>
      <c r="I665" s="70"/>
      <c r="J665" s="73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" customHeight="1" x14ac:dyDescent="0.35">
      <c r="A666" s="74">
        <v>45964</v>
      </c>
      <c r="B666" s="74">
        <v>46024</v>
      </c>
      <c r="C666" s="75">
        <v>46024</v>
      </c>
      <c r="D666" s="76">
        <v>23506</v>
      </c>
      <c r="E666" s="77" t="s">
        <v>46</v>
      </c>
      <c r="F666" s="78">
        <v>58040</v>
      </c>
      <c r="G666" s="78">
        <v>58040</v>
      </c>
      <c r="H666" s="78"/>
      <c r="I666" s="76" t="s">
        <v>47</v>
      </c>
      <c r="J666" s="79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" customHeight="1" x14ac:dyDescent="0.35">
      <c r="A667" s="52"/>
      <c r="B667" s="52"/>
      <c r="C667" s="19"/>
      <c r="D667" s="18"/>
      <c r="E667" s="20"/>
      <c r="F667" s="23"/>
      <c r="G667" s="23"/>
      <c r="H667" s="18"/>
      <c r="I667" s="18"/>
      <c r="J667" s="24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" customHeight="1" x14ac:dyDescent="0.35">
      <c r="A668" s="52"/>
      <c r="B668" s="52"/>
      <c r="C668" s="19"/>
      <c r="D668" s="18"/>
      <c r="E668" s="20"/>
      <c r="F668" s="23"/>
      <c r="G668" s="23"/>
      <c r="H668" s="18"/>
      <c r="I668" s="18"/>
      <c r="J668" s="24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" customHeight="1" x14ac:dyDescent="0.35">
      <c r="A669" s="62">
        <v>45965</v>
      </c>
      <c r="B669" s="62">
        <v>46049</v>
      </c>
      <c r="C669" s="63"/>
      <c r="D669" s="64" t="s">
        <v>48</v>
      </c>
      <c r="E669" s="65" t="s">
        <v>49</v>
      </c>
      <c r="F669" s="66">
        <v>4396.66</v>
      </c>
      <c r="G669" s="66"/>
      <c r="H669" s="66"/>
      <c r="I669" s="64"/>
      <c r="J669" s="67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" customHeight="1" x14ac:dyDescent="0.35">
      <c r="A670" s="52"/>
      <c r="B670" s="52"/>
      <c r="C670" s="19"/>
      <c r="D670" s="18"/>
      <c r="E670" s="20"/>
      <c r="F670" s="23"/>
      <c r="G670" s="23"/>
      <c r="H670" s="18"/>
      <c r="I670" s="18"/>
      <c r="J670" s="24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" customHeight="1" x14ac:dyDescent="0.35">
      <c r="A671" s="52"/>
      <c r="B671" s="52"/>
      <c r="C671" s="19"/>
      <c r="D671" s="18"/>
      <c r="E671" s="20"/>
      <c r="F671" s="23"/>
      <c r="G671" s="23"/>
      <c r="H671" s="18"/>
      <c r="I671" s="18"/>
      <c r="J671" s="24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" customHeight="1" x14ac:dyDescent="0.35">
      <c r="A672" s="52"/>
      <c r="B672" s="52"/>
      <c r="C672" s="19"/>
      <c r="D672" s="18"/>
      <c r="E672" s="20"/>
      <c r="F672" s="23"/>
      <c r="G672" s="23"/>
      <c r="H672" s="18"/>
      <c r="I672" s="18"/>
      <c r="J672" s="24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" customHeight="1" x14ac:dyDescent="0.35">
      <c r="A673" s="52"/>
      <c r="B673" s="52"/>
      <c r="C673" s="19"/>
      <c r="D673" s="18"/>
      <c r="E673" s="20"/>
      <c r="F673" s="23"/>
      <c r="G673" s="23"/>
      <c r="H673" s="18"/>
      <c r="I673" s="18"/>
      <c r="J673" s="24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" customHeight="1" x14ac:dyDescent="0.35">
      <c r="A674" s="62">
        <v>45967</v>
      </c>
      <c r="B674" s="62">
        <v>46051</v>
      </c>
      <c r="C674" s="63"/>
      <c r="D674" s="64">
        <v>23513</v>
      </c>
      <c r="E674" s="65" t="s">
        <v>50</v>
      </c>
      <c r="F674" s="66">
        <v>5862.02</v>
      </c>
      <c r="G674" s="66"/>
      <c r="H674" s="66"/>
      <c r="I674" s="64"/>
      <c r="J674" s="67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" customHeight="1" x14ac:dyDescent="0.35">
      <c r="A675" s="52"/>
      <c r="B675" s="52"/>
      <c r="C675" s="19"/>
      <c r="D675" s="18"/>
      <c r="E675" s="20"/>
      <c r="F675" s="23"/>
      <c r="G675" s="23"/>
      <c r="H675" s="18"/>
      <c r="I675" s="18"/>
      <c r="J675" s="24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" customHeight="1" x14ac:dyDescent="0.35">
      <c r="A676" s="52"/>
      <c r="B676" s="52"/>
      <c r="C676" s="19"/>
      <c r="D676" s="18"/>
      <c r="E676" s="20"/>
      <c r="F676" s="23"/>
      <c r="G676" s="23"/>
      <c r="H676" s="18"/>
      <c r="I676" s="18"/>
      <c r="J676" s="24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" customHeight="1" x14ac:dyDescent="0.35">
      <c r="A677" s="52"/>
      <c r="B677" s="52"/>
      <c r="C677" s="19"/>
      <c r="D677" s="18"/>
      <c r="E677" s="20"/>
      <c r="F677" s="23"/>
      <c r="G677" s="23"/>
      <c r="H677" s="18"/>
      <c r="I677" s="18"/>
      <c r="J677" s="24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" customHeight="1" x14ac:dyDescent="0.35">
      <c r="A678" s="52"/>
      <c r="B678" s="52"/>
      <c r="C678" s="19"/>
      <c r="D678" s="18"/>
      <c r="E678" s="20"/>
      <c r="F678" s="23"/>
      <c r="G678" s="23"/>
      <c r="H678" s="18"/>
      <c r="I678" s="18"/>
      <c r="J678" s="24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" customHeight="1" x14ac:dyDescent="0.35">
      <c r="A679" s="52"/>
      <c r="B679" s="52"/>
      <c r="C679" s="19"/>
      <c r="D679" s="18"/>
      <c r="E679" s="20"/>
      <c r="F679" s="23"/>
      <c r="G679" s="23"/>
      <c r="H679" s="18"/>
      <c r="I679" s="18"/>
      <c r="J679" s="24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" customHeight="1" x14ac:dyDescent="0.35">
      <c r="A680" s="52"/>
      <c r="B680" s="52"/>
      <c r="C680" s="19"/>
      <c r="D680" s="18"/>
      <c r="E680" s="20"/>
      <c r="F680" s="23"/>
      <c r="G680" s="23"/>
      <c r="H680" s="18"/>
      <c r="I680" s="18"/>
      <c r="J680" s="24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" customHeight="1" x14ac:dyDescent="0.35">
      <c r="A681" s="52"/>
      <c r="B681" s="52"/>
      <c r="C681" s="19"/>
      <c r="D681" s="18"/>
      <c r="E681" s="20"/>
      <c r="F681" s="23"/>
      <c r="G681" s="23"/>
      <c r="H681" s="18"/>
      <c r="I681" s="18"/>
      <c r="J681" s="24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" customHeight="1" x14ac:dyDescent="0.35">
      <c r="A682" s="52"/>
      <c r="B682" s="52"/>
      <c r="C682" s="19"/>
      <c r="D682" s="18"/>
      <c r="E682" s="20"/>
      <c r="F682" s="23"/>
      <c r="G682" s="23"/>
      <c r="H682" s="18"/>
      <c r="I682" s="18"/>
      <c r="J682" s="24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" customHeight="1" x14ac:dyDescent="0.35">
      <c r="A683" s="52"/>
      <c r="B683" s="52"/>
      <c r="C683" s="19"/>
      <c r="D683" s="18"/>
      <c r="E683" s="20"/>
      <c r="F683" s="23"/>
      <c r="G683" s="23"/>
      <c r="H683" s="18"/>
      <c r="I683" s="18"/>
      <c r="J683" s="24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" customHeight="1" x14ac:dyDescent="0.35">
      <c r="A684" s="52"/>
      <c r="B684" s="52"/>
      <c r="C684" s="19"/>
      <c r="D684" s="18"/>
      <c r="E684" s="20"/>
      <c r="F684" s="23"/>
      <c r="G684" s="23"/>
      <c r="H684" s="18"/>
      <c r="I684" s="18"/>
      <c r="J684" s="24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" customHeight="1" x14ac:dyDescent="0.35">
      <c r="A685" s="52"/>
      <c r="B685" s="52"/>
      <c r="C685" s="19"/>
      <c r="D685" s="18"/>
      <c r="E685" s="20"/>
      <c r="F685" s="23"/>
      <c r="G685" s="23"/>
      <c r="H685" s="18"/>
      <c r="I685" s="18"/>
      <c r="J685" s="24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" customHeight="1" x14ac:dyDescent="0.35">
      <c r="A686" s="52"/>
      <c r="B686" s="52"/>
      <c r="C686" s="19"/>
      <c r="D686" s="18"/>
      <c r="E686" s="20"/>
      <c r="F686" s="23"/>
      <c r="G686" s="23"/>
      <c r="H686" s="18"/>
      <c r="I686" s="18"/>
      <c r="J686" s="24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" customHeight="1" x14ac:dyDescent="0.35">
      <c r="A687" s="52"/>
      <c r="B687" s="52"/>
      <c r="C687" s="19"/>
      <c r="D687" s="18"/>
      <c r="E687" s="20"/>
      <c r="F687" s="23"/>
      <c r="G687" s="23"/>
      <c r="H687" s="18"/>
      <c r="I687" s="18"/>
      <c r="J687" s="24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" customHeight="1" x14ac:dyDescent="0.35">
      <c r="A688" s="52"/>
      <c r="B688" s="52"/>
      <c r="C688" s="19"/>
      <c r="D688" s="18"/>
      <c r="E688" s="20"/>
      <c r="F688" s="23"/>
      <c r="G688" s="23"/>
      <c r="H688" s="18"/>
      <c r="I688" s="18"/>
      <c r="J688" s="24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" customHeight="1" x14ac:dyDescent="0.35">
      <c r="A689" s="52"/>
      <c r="B689" s="52"/>
      <c r="C689" s="19"/>
      <c r="D689" s="18"/>
      <c r="E689" s="20"/>
      <c r="F689" s="23"/>
      <c r="G689" s="23"/>
      <c r="H689" s="18"/>
      <c r="I689" s="18"/>
      <c r="J689" s="24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" customHeight="1" x14ac:dyDescent="0.35">
      <c r="A690" s="52"/>
      <c r="B690" s="52"/>
      <c r="C690" s="19"/>
      <c r="D690" s="18"/>
      <c r="E690" s="20"/>
      <c r="F690" s="23"/>
      <c r="G690" s="23"/>
      <c r="H690" s="18"/>
      <c r="I690" s="18"/>
      <c r="J690" s="24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" customHeight="1" x14ac:dyDescent="0.35">
      <c r="A691" s="52"/>
      <c r="B691" s="52"/>
      <c r="C691" s="19"/>
      <c r="D691" s="18"/>
      <c r="E691" s="20"/>
      <c r="F691" s="23"/>
      <c r="G691" s="23"/>
      <c r="H691" s="18"/>
      <c r="I691" s="18"/>
      <c r="J691" s="24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" customHeight="1" x14ac:dyDescent="0.35">
      <c r="A692" s="52"/>
      <c r="B692" s="52"/>
      <c r="C692" s="19"/>
      <c r="D692" s="18"/>
      <c r="E692" s="20"/>
      <c r="F692" s="23"/>
      <c r="G692" s="23"/>
      <c r="H692" s="18"/>
      <c r="I692" s="18"/>
      <c r="J692" s="24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" customHeight="1" x14ac:dyDescent="0.35">
      <c r="A693" s="52"/>
      <c r="B693" s="52"/>
      <c r="C693" s="19"/>
      <c r="D693" s="18"/>
      <c r="E693" s="20"/>
      <c r="F693" s="23"/>
      <c r="G693" s="23"/>
      <c r="H693" s="18"/>
      <c r="I693" s="18"/>
      <c r="J693" s="24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" customHeight="1" x14ac:dyDescent="0.35">
      <c r="A694" s="62">
        <v>45978</v>
      </c>
      <c r="B694" s="62">
        <v>46038</v>
      </c>
      <c r="C694" s="63">
        <v>46038</v>
      </c>
      <c r="D694" s="64">
        <v>23532</v>
      </c>
      <c r="E694" s="65" t="s">
        <v>26</v>
      </c>
      <c r="F694" s="66">
        <v>1867</v>
      </c>
      <c r="G694" s="66">
        <v>1855.79</v>
      </c>
      <c r="H694" s="66"/>
      <c r="I694" s="64" t="s">
        <v>12</v>
      </c>
      <c r="J694" s="67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" customHeight="1" x14ac:dyDescent="0.35">
      <c r="A695" s="52"/>
      <c r="B695" s="52"/>
      <c r="C695" s="19"/>
      <c r="D695" s="18"/>
      <c r="E695" s="20"/>
      <c r="F695" s="23"/>
      <c r="G695" s="23"/>
      <c r="H695" s="18"/>
      <c r="I695" s="18"/>
      <c r="J695" s="24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" customHeight="1" x14ac:dyDescent="0.35">
      <c r="A696" s="52"/>
      <c r="B696" s="52"/>
      <c r="C696" s="19"/>
      <c r="D696" s="18"/>
      <c r="E696" s="20"/>
      <c r="F696" s="23"/>
      <c r="G696" s="23"/>
      <c r="H696" s="18"/>
      <c r="I696" s="18"/>
      <c r="J696" s="24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" customHeight="1" x14ac:dyDescent="0.35">
      <c r="A697" s="52"/>
      <c r="B697" s="52"/>
      <c r="C697" s="19"/>
      <c r="D697" s="18"/>
      <c r="E697" s="20"/>
      <c r="F697" s="23"/>
      <c r="G697" s="23"/>
      <c r="H697" s="18"/>
      <c r="I697" s="18"/>
      <c r="J697" s="24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" customHeight="1" x14ac:dyDescent="0.35">
      <c r="A698" s="62">
        <v>45979</v>
      </c>
      <c r="B698" s="62">
        <v>46031</v>
      </c>
      <c r="C698" s="63">
        <v>46024</v>
      </c>
      <c r="D698" s="64">
        <v>23536</v>
      </c>
      <c r="E698" s="65" t="s">
        <v>51</v>
      </c>
      <c r="F698" s="66">
        <v>6004</v>
      </c>
      <c r="G698" s="66">
        <v>6004</v>
      </c>
      <c r="H698" s="66"/>
      <c r="I698" s="64" t="s">
        <v>12</v>
      </c>
      <c r="J698" s="67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" customHeight="1" x14ac:dyDescent="0.35">
      <c r="A699" s="52"/>
      <c r="B699" s="52"/>
      <c r="C699" s="19"/>
      <c r="D699" s="18"/>
      <c r="E699" s="20"/>
      <c r="F699" s="23"/>
      <c r="G699" s="23"/>
      <c r="H699" s="18"/>
      <c r="I699" s="18"/>
      <c r="J699" s="24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" customHeight="1" x14ac:dyDescent="0.35">
      <c r="A700" s="52"/>
      <c r="B700" s="52"/>
      <c r="C700" s="19"/>
      <c r="D700" s="18"/>
      <c r="E700" s="20"/>
      <c r="F700" s="23"/>
      <c r="G700" s="23"/>
      <c r="H700" s="18"/>
      <c r="I700" s="18"/>
      <c r="J700" s="24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" customHeight="1" x14ac:dyDescent="0.35">
      <c r="A701" s="68">
        <v>45979</v>
      </c>
      <c r="B701" s="68">
        <v>46038</v>
      </c>
      <c r="C701" s="69">
        <v>46038</v>
      </c>
      <c r="D701" s="70" t="s">
        <v>52</v>
      </c>
      <c r="E701" s="71" t="s">
        <v>53</v>
      </c>
      <c r="F701" s="72">
        <v>5196.67</v>
      </c>
      <c r="G701" s="72">
        <v>5196.67</v>
      </c>
      <c r="H701" s="72"/>
      <c r="I701" s="70" t="s">
        <v>10</v>
      </c>
      <c r="J701" s="73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" customHeight="1" x14ac:dyDescent="0.35">
      <c r="A702" s="74">
        <v>45979</v>
      </c>
      <c r="B702" s="74">
        <v>46069</v>
      </c>
      <c r="C702" s="75"/>
      <c r="D702" s="76" t="s">
        <v>54</v>
      </c>
      <c r="E702" s="77" t="s">
        <v>53</v>
      </c>
      <c r="F702" s="78">
        <v>5196.67</v>
      </c>
      <c r="G702" s="78"/>
      <c r="H702" s="78"/>
      <c r="I702" s="76"/>
      <c r="J702" s="79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" customHeight="1" x14ac:dyDescent="0.35">
      <c r="A703" s="52"/>
      <c r="B703" s="52"/>
      <c r="C703" s="19"/>
      <c r="D703" s="18"/>
      <c r="E703" s="20"/>
      <c r="F703" s="23"/>
      <c r="G703" s="23"/>
      <c r="H703" s="18"/>
      <c r="I703" s="18"/>
      <c r="J703" s="24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" customHeight="1" x14ac:dyDescent="0.35">
      <c r="A704" s="52"/>
      <c r="B704" s="52"/>
      <c r="C704" s="19"/>
      <c r="D704" s="18"/>
      <c r="E704" s="20"/>
      <c r="F704" s="23"/>
      <c r="G704" s="23"/>
      <c r="H704" s="18"/>
      <c r="I704" s="18"/>
      <c r="J704" s="24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" customHeight="1" x14ac:dyDescent="0.35">
      <c r="A705" s="52"/>
      <c r="B705" s="52"/>
      <c r="C705" s="19"/>
      <c r="D705" s="18"/>
      <c r="E705" s="20"/>
      <c r="F705" s="23"/>
      <c r="G705" s="23"/>
      <c r="H705" s="18"/>
      <c r="I705" s="18"/>
      <c r="J705" s="24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" customHeight="1" x14ac:dyDescent="0.35">
      <c r="A706" s="52"/>
      <c r="B706" s="52"/>
      <c r="C706" s="19"/>
      <c r="D706" s="18"/>
      <c r="E706" s="20"/>
      <c r="F706" s="23"/>
      <c r="G706" s="23"/>
      <c r="H706" s="18"/>
      <c r="I706" s="18"/>
      <c r="J706" s="24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" customHeight="1" x14ac:dyDescent="0.35">
      <c r="A707" s="52"/>
      <c r="B707" s="52"/>
      <c r="C707" s="19"/>
      <c r="D707" s="18"/>
      <c r="E707" s="20"/>
      <c r="F707" s="23"/>
      <c r="G707" s="23"/>
      <c r="H707" s="18"/>
      <c r="I707" s="18"/>
      <c r="J707" s="24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" customHeight="1" x14ac:dyDescent="0.35">
      <c r="A708" s="52"/>
      <c r="B708" s="52"/>
      <c r="C708" s="19"/>
      <c r="D708" s="18"/>
      <c r="E708" s="20"/>
      <c r="F708" s="23"/>
      <c r="G708" s="23"/>
      <c r="H708" s="18"/>
      <c r="I708" s="18"/>
      <c r="J708" s="24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" customHeight="1" x14ac:dyDescent="0.35">
      <c r="A709" s="62">
        <v>45986</v>
      </c>
      <c r="B709" s="62">
        <v>46052</v>
      </c>
      <c r="C709" s="63"/>
      <c r="D709" s="64">
        <v>23545</v>
      </c>
      <c r="E709" s="65" t="s">
        <v>55</v>
      </c>
      <c r="F709" s="66">
        <v>9036</v>
      </c>
      <c r="G709" s="66"/>
      <c r="H709" s="66"/>
      <c r="I709" s="64" t="s">
        <v>12</v>
      </c>
      <c r="J709" s="67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" customHeight="1" x14ac:dyDescent="0.35">
      <c r="A710" s="52"/>
      <c r="B710" s="52"/>
      <c r="C710" s="19"/>
      <c r="D710" s="18"/>
      <c r="E710" s="20"/>
      <c r="F710" s="23"/>
      <c r="G710" s="23"/>
      <c r="H710" s="18"/>
      <c r="I710" s="18"/>
      <c r="J710" s="24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" customHeight="1" x14ac:dyDescent="0.35">
      <c r="A711" s="52"/>
      <c r="B711" s="52"/>
      <c r="C711" s="19"/>
      <c r="D711" s="18"/>
      <c r="E711" s="20"/>
      <c r="F711" s="23"/>
      <c r="G711" s="23"/>
      <c r="H711" s="18"/>
      <c r="I711" s="18"/>
      <c r="J711" s="24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" customHeight="1" x14ac:dyDescent="0.35">
      <c r="A712" s="52"/>
      <c r="B712" s="52"/>
      <c r="C712" s="19"/>
      <c r="D712" s="18"/>
      <c r="E712" s="20"/>
      <c r="F712" s="23"/>
      <c r="G712" s="23"/>
      <c r="H712" s="18"/>
      <c r="I712" s="18"/>
      <c r="J712" s="24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" customHeight="1" x14ac:dyDescent="0.35">
      <c r="A713" s="68">
        <v>45989</v>
      </c>
      <c r="B713" s="68">
        <v>46045</v>
      </c>
      <c r="C713" s="69"/>
      <c r="D713" s="70" t="s">
        <v>56</v>
      </c>
      <c r="E713" s="71" t="s">
        <v>57</v>
      </c>
      <c r="F713" s="72">
        <v>3416</v>
      </c>
      <c r="G713" s="72"/>
      <c r="H713" s="72"/>
      <c r="I713" s="70"/>
      <c r="J713" s="73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" customHeight="1" x14ac:dyDescent="0.35">
      <c r="A714" s="4">
        <v>45992</v>
      </c>
      <c r="B714" s="4">
        <v>46034</v>
      </c>
      <c r="C714" s="11">
        <v>46034</v>
      </c>
      <c r="D714" s="5">
        <v>23550</v>
      </c>
      <c r="E714" s="8" t="s">
        <v>58</v>
      </c>
      <c r="F714" s="12">
        <v>2822</v>
      </c>
      <c r="G714" s="12">
        <v>2822</v>
      </c>
      <c r="H714" s="12"/>
      <c r="I714" s="5" t="s">
        <v>10</v>
      </c>
      <c r="J714" s="9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" customHeight="1" x14ac:dyDescent="0.35">
      <c r="A715" s="74">
        <v>45992</v>
      </c>
      <c r="B715" s="74">
        <v>46027</v>
      </c>
      <c r="C715" s="75">
        <v>45662</v>
      </c>
      <c r="D715" s="76">
        <v>23551</v>
      </c>
      <c r="E715" s="77" t="s">
        <v>22</v>
      </c>
      <c r="F715" s="78">
        <v>6121.6</v>
      </c>
      <c r="G715" s="78">
        <v>6121.6</v>
      </c>
      <c r="H715" s="78"/>
      <c r="I715" s="76" t="s">
        <v>10</v>
      </c>
      <c r="J715" s="79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" customHeight="1" x14ac:dyDescent="0.35">
      <c r="A716" s="52"/>
      <c r="B716" s="52"/>
      <c r="C716" s="19"/>
      <c r="D716" s="18"/>
      <c r="E716" s="20"/>
      <c r="F716" s="23"/>
      <c r="G716" s="23"/>
      <c r="H716" s="18"/>
      <c r="I716" s="18"/>
      <c r="J716" s="24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" customHeight="1" x14ac:dyDescent="0.35">
      <c r="A717" s="52"/>
      <c r="B717" s="52"/>
      <c r="C717" s="19"/>
      <c r="D717" s="18"/>
      <c r="E717" s="20"/>
      <c r="F717" s="23"/>
      <c r="G717" s="23"/>
      <c r="H717" s="18"/>
      <c r="I717" s="18"/>
      <c r="J717" s="24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" customHeight="1" x14ac:dyDescent="0.35">
      <c r="A718" s="52"/>
      <c r="B718" s="52"/>
      <c r="C718" s="19"/>
      <c r="D718" s="18"/>
      <c r="E718" s="20"/>
      <c r="F718" s="23"/>
      <c r="G718" s="23"/>
      <c r="H718" s="18"/>
      <c r="I718" s="18"/>
      <c r="J718" s="24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" customHeight="1" x14ac:dyDescent="0.35">
      <c r="A719" s="62">
        <v>45993</v>
      </c>
      <c r="B719" s="62">
        <v>46028</v>
      </c>
      <c r="C719" s="63">
        <v>46028</v>
      </c>
      <c r="D719" s="64">
        <v>23555</v>
      </c>
      <c r="E719" s="65" t="s">
        <v>22</v>
      </c>
      <c r="F719" s="66">
        <v>1186</v>
      </c>
      <c r="G719" s="66">
        <v>1186</v>
      </c>
      <c r="H719" s="66"/>
      <c r="I719" s="64" t="s">
        <v>47</v>
      </c>
      <c r="J719" s="67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" customHeight="1" x14ac:dyDescent="0.35">
      <c r="A720" s="52"/>
      <c r="B720" s="52"/>
      <c r="C720" s="19"/>
      <c r="D720" s="18"/>
      <c r="E720" s="20"/>
      <c r="F720" s="23"/>
      <c r="G720" s="23"/>
      <c r="H720" s="18"/>
      <c r="I720" s="18"/>
      <c r="J720" s="24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" customHeight="1" x14ac:dyDescent="0.35">
      <c r="A721" s="62">
        <v>45994</v>
      </c>
      <c r="B721" s="62">
        <v>46024</v>
      </c>
      <c r="C721" s="63">
        <v>46024</v>
      </c>
      <c r="D721" s="64">
        <v>23557</v>
      </c>
      <c r="E721" s="65" t="s">
        <v>20</v>
      </c>
      <c r="F721" s="66">
        <v>545</v>
      </c>
      <c r="G721" s="66">
        <v>545</v>
      </c>
      <c r="H721" s="66"/>
      <c r="I721" s="64" t="s">
        <v>12</v>
      </c>
      <c r="J721" s="67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" customHeight="1" x14ac:dyDescent="0.35">
      <c r="A722" s="52"/>
      <c r="B722" s="52"/>
      <c r="C722" s="19"/>
      <c r="D722" s="18"/>
      <c r="E722" s="20"/>
      <c r="F722" s="23"/>
      <c r="G722" s="23"/>
      <c r="H722" s="18"/>
      <c r="I722" s="18"/>
      <c r="J722" s="24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" customHeight="1" x14ac:dyDescent="0.35">
      <c r="A723" s="68">
        <v>45995</v>
      </c>
      <c r="B723" s="68">
        <v>46023</v>
      </c>
      <c r="C723" s="69">
        <v>46023</v>
      </c>
      <c r="D723" s="70">
        <v>23559</v>
      </c>
      <c r="E723" s="80" t="s">
        <v>9</v>
      </c>
      <c r="F723" s="72">
        <v>3400</v>
      </c>
      <c r="G723" s="72">
        <v>3396</v>
      </c>
      <c r="H723" s="72"/>
      <c r="I723" s="70" t="s">
        <v>10</v>
      </c>
      <c r="J723" s="73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" customHeight="1" x14ac:dyDescent="0.35">
      <c r="A724" s="4">
        <v>45995</v>
      </c>
      <c r="B724" s="4">
        <v>46023</v>
      </c>
      <c r="C724" s="11">
        <v>46024</v>
      </c>
      <c r="D724" s="5">
        <v>23560</v>
      </c>
      <c r="E724" s="8" t="s">
        <v>59</v>
      </c>
      <c r="F724" s="12">
        <v>1046</v>
      </c>
      <c r="G724" s="12">
        <v>1046</v>
      </c>
      <c r="H724" s="12"/>
      <c r="I724" s="5" t="s">
        <v>47</v>
      </c>
      <c r="J724" s="9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" customHeight="1" x14ac:dyDescent="0.35">
      <c r="A725" s="4">
        <v>45995</v>
      </c>
      <c r="B725" s="4">
        <v>46025</v>
      </c>
      <c r="C725" s="11">
        <v>46027</v>
      </c>
      <c r="D725" s="5">
        <v>23561</v>
      </c>
      <c r="E725" s="8" t="s">
        <v>60</v>
      </c>
      <c r="F725" s="12">
        <v>486</v>
      </c>
      <c r="G725" s="12">
        <v>486</v>
      </c>
      <c r="H725" s="12"/>
      <c r="I725" s="5" t="s">
        <v>47</v>
      </c>
      <c r="J725" s="9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" customHeight="1" x14ac:dyDescent="0.35">
      <c r="A726" s="4">
        <v>45995</v>
      </c>
      <c r="B726" s="4">
        <v>46023</v>
      </c>
      <c r="C726" s="11">
        <v>46008</v>
      </c>
      <c r="D726" s="5">
        <v>23562</v>
      </c>
      <c r="E726" s="8" t="s">
        <v>61</v>
      </c>
      <c r="F726" s="12">
        <v>446</v>
      </c>
      <c r="G726" s="12">
        <v>446</v>
      </c>
      <c r="H726" s="12"/>
      <c r="I726" s="5" t="s">
        <v>10</v>
      </c>
      <c r="J726" s="9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" customHeight="1" x14ac:dyDescent="0.35">
      <c r="A727" s="4">
        <v>45996</v>
      </c>
      <c r="B727" s="4">
        <v>46030</v>
      </c>
      <c r="C727" s="11">
        <v>46030</v>
      </c>
      <c r="D727" s="5">
        <v>23563</v>
      </c>
      <c r="E727" s="8" t="s">
        <v>16</v>
      </c>
      <c r="F727" s="12">
        <v>1149</v>
      </c>
      <c r="G727" s="12">
        <v>1149</v>
      </c>
      <c r="H727" s="12"/>
      <c r="I727" s="5" t="s">
        <v>10</v>
      </c>
      <c r="J727" s="9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" customHeight="1" x14ac:dyDescent="0.35">
      <c r="A728" s="4">
        <v>46000</v>
      </c>
      <c r="B728" s="4">
        <v>46035</v>
      </c>
      <c r="C728" s="11">
        <v>46035</v>
      </c>
      <c r="D728" s="5">
        <v>23564</v>
      </c>
      <c r="E728" s="8" t="s">
        <v>22</v>
      </c>
      <c r="F728" s="12">
        <v>7890</v>
      </c>
      <c r="G728" s="12">
        <v>7890</v>
      </c>
      <c r="H728" s="12"/>
      <c r="I728" s="5" t="s">
        <v>10</v>
      </c>
      <c r="J728" s="9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" customHeight="1" x14ac:dyDescent="0.35">
      <c r="A729" s="4">
        <v>46000</v>
      </c>
      <c r="B729" s="4">
        <v>46027</v>
      </c>
      <c r="C729" s="11">
        <v>46027</v>
      </c>
      <c r="D729" s="5">
        <v>23565</v>
      </c>
      <c r="E729" s="8" t="s">
        <v>31</v>
      </c>
      <c r="F729" s="12">
        <v>2526</v>
      </c>
      <c r="G729" s="12">
        <v>2526</v>
      </c>
      <c r="H729" s="12"/>
      <c r="I729" s="5" t="s">
        <v>12</v>
      </c>
      <c r="J729" s="9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" customHeight="1" x14ac:dyDescent="0.35">
      <c r="A730" s="4">
        <v>46000</v>
      </c>
      <c r="B730" s="4">
        <v>46030</v>
      </c>
      <c r="C730" s="11">
        <v>46031</v>
      </c>
      <c r="D730" s="5">
        <v>23566</v>
      </c>
      <c r="E730" s="8" t="s">
        <v>34</v>
      </c>
      <c r="F730" s="12">
        <v>1385.35</v>
      </c>
      <c r="G730" s="12">
        <v>1385.35</v>
      </c>
      <c r="H730" s="12"/>
      <c r="I730" s="5" t="s">
        <v>12</v>
      </c>
      <c r="J730" s="9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" customHeight="1" x14ac:dyDescent="0.35">
      <c r="A731" s="4">
        <v>46001</v>
      </c>
      <c r="B731" s="4">
        <v>46036</v>
      </c>
      <c r="C731" s="11">
        <v>46036</v>
      </c>
      <c r="D731" s="5">
        <v>23567</v>
      </c>
      <c r="E731" s="8" t="s">
        <v>62</v>
      </c>
      <c r="F731" s="12">
        <v>1452</v>
      </c>
      <c r="G731" s="12">
        <v>1452</v>
      </c>
      <c r="H731" s="12"/>
      <c r="I731" s="5" t="s">
        <v>10</v>
      </c>
      <c r="J731" s="9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" customHeight="1" x14ac:dyDescent="0.35">
      <c r="A732" s="4">
        <v>46001</v>
      </c>
      <c r="B732" s="4">
        <v>46029</v>
      </c>
      <c r="C732" s="11">
        <v>46029</v>
      </c>
      <c r="D732" s="5">
        <v>23568</v>
      </c>
      <c r="E732" s="8" t="s">
        <v>63</v>
      </c>
      <c r="F732" s="12">
        <v>4560</v>
      </c>
      <c r="G732" s="12">
        <v>4560</v>
      </c>
      <c r="H732" s="12"/>
      <c r="I732" s="5" t="s">
        <v>10</v>
      </c>
      <c r="J732" s="9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" customHeight="1" x14ac:dyDescent="0.35">
      <c r="A733" s="4">
        <v>46002</v>
      </c>
      <c r="B733" s="4">
        <v>46042</v>
      </c>
      <c r="C733" s="11"/>
      <c r="D733" s="5">
        <v>23569</v>
      </c>
      <c r="E733" s="8" t="s">
        <v>64</v>
      </c>
      <c r="F733" s="12">
        <v>2150</v>
      </c>
      <c r="G733" s="12"/>
      <c r="H733" s="12"/>
      <c r="I733" s="5" t="s">
        <v>12</v>
      </c>
      <c r="J733" s="9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" customHeight="1" x14ac:dyDescent="0.35">
      <c r="A734" s="4">
        <v>46002</v>
      </c>
      <c r="B734" s="4">
        <v>46042</v>
      </c>
      <c r="C734" s="11"/>
      <c r="D734" s="5">
        <v>23570</v>
      </c>
      <c r="E734" s="8" t="s">
        <v>64</v>
      </c>
      <c r="F734" s="12">
        <v>2534</v>
      </c>
      <c r="G734" s="12"/>
      <c r="H734" s="12"/>
      <c r="I734" s="5" t="s">
        <v>12</v>
      </c>
      <c r="J734" s="9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" customHeight="1" x14ac:dyDescent="0.35">
      <c r="A735" s="4">
        <v>46002</v>
      </c>
      <c r="B735" s="4">
        <v>46047</v>
      </c>
      <c r="C735" s="11"/>
      <c r="D735" s="5">
        <v>23571</v>
      </c>
      <c r="E735" s="8" t="s">
        <v>65</v>
      </c>
      <c r="F735" s="12">
        <v>10500</v>
      </c>
      <c r="G735" s="12"/>
      <c r="H735" s="12"/>
      <c r="I735" s="5" t="s">
        <v>12</v>
      </c>
      <c r="J735" s="9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" customHeight="1" x14ac:dyDescent="0.35">
      <c r="A736" s="4">
        <v>46003</v>
      </c>
      <c r="B736" s="4">
        <v>46031</v>
      </c>
      <c r="C736" s="11">
        <v>46031</v>
      </c>
      <c r="D736" s="5" t="s">
        <v>66</v>
      </c>
      <c r="E736" s="8" t="s">
        <v>57</v>
      </c>
      <c r="F736" s="12">
        <v>2710</v>
      </c>
      <c r="G736" s="12">
        <v>2710</v>
      </c>
      <c r="H736" s="12"/>
      <c r="I736" s="5" t="s">
        <v>10</v>
      </c>
      <c r="J736" s="9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" customHeight="1" x14ac:dyDescent="0.35">
      <c r="A737" s="4">
        <v>46003</v>
      </c>
      <c r="B737" s="4">
        <v>46059</v>
      </c>
      <c r="C737" s="11"/>
      <c r="D737" s="5" t="s">
        <v>67</v>
      </c>
      <c r="E737" s="8" t="s">
        <v>57</v>
      </c>
      <c r="F737" s="12">
        <v>2710</v>
      </c>
      <c r="G737" s="12"/>
      <c r="H737" s="12"/>
      <c r="I737" s="5"/>
      <c r="J737" s="9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" customHeight="1" x14ac:dyDescent="0.35">
      <c r="A738" s="4">
        <v>46003</v>
      </c>
      <c r="B738" s="4">
        <v>46038</v>
      </c>
      <c r="C738" s="11">
        <v>46038</v>
      </c>
      <c r="D738" s="5">
        <v>23573</v>
      </c>
      <c r="E738" s="8" t="s">
        <v>22</v>
      </c>
      <c r="F738" s="12">
        <v>1466.26</v>
      </c>
      <c r="G738" s="12">
        <v>1466.26</v>
      </c>
      <c r="H738" s="12"/>
      <c r="I738" s="5" t="s">
        <v>10</v>
      </c>
      <c r="J738" s="9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" customHeight="1" x14ac:dyDescent="0.35">
      <c r="A739" s="4">
        <v>46003</v>
      </c>
      <c r="B739" s="4">
        <v>46038</v>
      </c>
      <c r="C739" s="11">
        <v>46038</v>
      </c>
      <c r="D739" s="5">
        <v>23574</v>
      </c>
      <c r="E739" s="8" t="s">
        <v>22</v>
      </c>
      <c r="F739" s="12">
        <v>1640</v>
      </c>
      <c r="G739" s="12">
        <v>1640</v>
      </c>
      <c r="H739" s="12"/>
      <c r="I739" s="5" t="s">
        <v>10</v>
      </c>
      <c r="J739" s="9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" customHeight="1" x14ac:dyDescent="0.35">
      <c r="A740" s="4">
        <v>46003</v>
      </c>
      <c r="B740" s="4">
        <v>46030</v>
      </c>
      <c r="C740" s="11">
        <v>46030</v>
      </c>
      <c r="D740" s="5" t="s">
        <v>68</v>
      </c>
      <c r="E740" s="8" t="s">
        <v>16</v>
      </c>
      <c r="F740" s="12">
        <v>1449</v>
      </c>
      <c r="G740" s="12">
        <v>1449</v>
      </c>
      <c r="H740" s="12"/>
      <c r="I740" s="5" t="s">
        <v>10</v>
      </c>
      <c r="J740" s="9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" customHeight="1" x14ac:dyDescent="0.35">
      <c r="A741" s="4">
        <v>46003</v>
      </c>
      <c r="B741" s="4">
        <v>46044</v>
      </c>
      <c r="C741" s="11"/>
      <c r="D741" s="5" t="s">
        <v>69</v>
      </c>
      <c r="E741" s="8" t="s">
        <v>16</v>
      </c>
      <c r="F741" s="12">
        <v>1449</v>
      </c>
      <c r="G741" s="12"/>
      <c r="H741" s="12"/>
      <c r="I741" s="5"/>
      <c r="J741" s="9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" customHeight="1" x14ac:dyDescent="0.35">
      <c r="A742" s="74">
        <v>46003</v>
      </c>
      <c r="B742" s="74">
        <v>46065</v>
      </c>
      <c r="C742" s="75"/>
      <c r="D742" s="76" t="s">
        <v>70</v>
      </c>
      <c r="E742" s="77" t="s">
        <v>16</v>
      </c>
      <c r="F742" s="78">
        <v>1449</v>
      </c>
      <c r="G742" s="78"/>
      <c r="H742" s="78"/>
      <c r="I742" s="76"/>
      <c r="J742" s="79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" customHeight="1" x14ac:dyDescent="0.35">
      <c r="A743" s="52"/>
      <c r="B743" s="52"/>
      <c r="C743" s="19"/>
      <c r="D743" s="18"/>
      <c r="E743" s="20"/>
      <c r="F743" s="23"/>
      <c r="G743" s="23"/>
      <c r="H743" s="18"/>
      <c r="I743" s="18"/>
      <c r="J743" s="24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" customHeight="1" x14ac:dyDescent="0.35">
      <c r="A744" s="68">
        <v>46006</v>
      </c>
      <c r="B744" s="68">
        <v>46051</v>
      </c>
      <c r="C744" s="69"/>
      <c r="D744" s="70">
        <v>23577</v>
      </c>
      <c r="E744" s="71" t="s">
        <v>29</v>
      </c>
      <c r="F744" s="72">
        <v>14208</v>
      </c>
      <c r="G744" s="72"/>
      <c r="H744" s="72"/>
      <c r="I744" s="70"/>
      <c r="J744" s="73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" customHeight="1" x14ac:dyDescent="0.35">
      <c r="A745" s="4">
        <v>46007</v>
      </c>
      <c r="B745" s="4">
        <v>46050</v>
      </c>
      <c r="C745" s="11"/>
      <c r="D745" s="5">
        <v>23578</v>
      </c>
      <c r="E745" s="8" t="s">
        <v>71</v>
      </c>
      <c r="F745" s="12">
        <v>5474</v>
      </c>
      <c r="G745" s="12"/>
      <c r="H745" s="12"/>
      <c r="I745" s="5"/>
      <c r="J745" s="9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" customHeight="1" x14ac:dyDescent="0.35">
      <c r="A746" s="4">
        <v>46008</v>
      </c>
      <c r="B746" s="4">
        <v>46036</v>
      </c>
      <c r="C746" s="11">
        <v>46036</v>
      </c>
      <c r="D746" s="5" t="s">
        <v>72</v>
      </c>
      <c r="E746" s="8" t="s">
        <v>57</v>
      </c>
      <c r="F746" s="12">
        <v>5654.5</v>
      </c>
      <c r="G746" s="12">
        <v>5654.5</v>
      </c>
      <c r="H746" s="12"/>
      <c r="I746" s="5" t="s">
        <v>10</v>
      </c>
      <c r="J746" s="9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" customHeight="1" x14ac:dyDescent="0.35">
      <c r="A747" s="4">
        <v>46008</v>
      </c>
      <c r="B747" s="4">
        <v>46064</v>
      </c>
      <c r="C747" s="11"/>
      <c r="D747" s="5" t="s">
        <v>73</v>
      </c>
      <c r="E747" s="8" t="s">
        <v>57</v>
      </c>
      <c r="F747" s="12">
        <v>5654.5</v>
      </c>
      <c r="G747" s="12"/>
      <c r="H747" s="12"/>
      <c r="I747" s="5"/>
      <c r="J747" s="9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" customHeight="1" x14ac:dyDescent="0.35">
      <c r="A748" s="4">
        <v>46008</v>
      </c>
      <c r="B748" s="4">
        <v>46036</v>
      </c>
      <c r="C748" s="11">
        <v>46036</v>
      </c>
      <c r="D748" s="5">
        <v>23580</v>
      </c>
      <c r="E748" s="8" t="s">
        <v>57</v>
      </c>
      <c r="F748" s="12">
        <v>1578</v>
      </c>
      <c r="G748" s="12">
        <v>1578</v>
      </c>
      <c r="H748" s="12"/>
      <c r="I748" s="5" t="s">
        <v>10</v>
      </c>
      <c r="J748" s="9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" customHeight="1" x14ac:dyDescent="0.35">
      <c r="A749" s="4">
        <v>46008</v>
      </c>
      <c r="B749" s="4">
        <v>46043</v>
      </c>
      <c r="C749" s="11"/>
      <c r="D749" s="5">
        <v>23581</v>
      </c>
      <c r="E749" s="8" t="s">
        <v>18</v>
      </c>
      <c r="F749" s="12">
        <v>2938</v>
      </c>
      <c r="G749" s="12"/>
      <c r="H749" s="12"/>
      <c r="I749" s="5"/>
      <c r="J749" s="9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" customHeight="1" x14ac:dyDescent="0.35">
      <c r="A750" s="4">
        <v>46009</v>
      </c>
      <c r="B750" s="4">
        <v>46037</v>
      </c>
      <c r="C750" s="11">
        <v>46037</v>
      </c>
      <c r="D750" s="5" t="s">
        <v>74</v>
      </c>
      <c r="E750" s="8" t="s">
        <v>75</v>
      </c>
      <c r="F750" s="12">
        <v>2073.9299999999998</v>
      </c>
      <c r="G750" s="12">
        <v>2073.9299999999998</v>
      </c>
      <c r="H750" s="12"/>
      <c r="I750" s="5" t="s">
        <v>10</v>
      </c>
      <c r="J750" s="9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" customHeight="1" x14ac:dyDescent="0.35">
      <c r="A751" s="4">
        <v>46009</v>
      </c>
      <c r="B751" s="4">
        <v>46065</v>
      </c>
      <c r="C751" s="11"/>
      <c r="D751" s="5" t="s">
        <v>76</v>
      </c>
      <c r="E751" s="8" t="s">
        <v>75</v>
      </c>
      <c r="F751" s="12">
        <v>2073.9299999999998</v>
      </c>
      <c r="G751" s="12"/>
      <c r="H751" s="12"/>
      <c r="I751" s="5"/>
      <c r="J751" s="9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" customHeight="1" x14ac:dyDescent="0.35">
      <c r="A752" s="74">
        <v>46009</v>
      </c>
      <c r="B752" s="74">
        <v>46037</v>
      </c>
      <c r="C752" s="75">
        <v>46037</v>
      </c>
      <c r="D752" s="76">
        <v>23583</v>
      </c>
      <c r="E752" s="77" t="s">
        <v>77</v>
      </c>
      <c r="F752" s="78">
        <v>1711.36</v>
      </c>
      <c r="G752" s="78">
        <v>1711.36</v>
      </c>
      <c r="H752" s="78"/>
      <c r="I752" s="76" t="s">
        <v>10</v>
      </c>
      <c r="J752" s="79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" customHeight="1" x14ac:dyDescent="0.35">
      <c r="A753" s="52"/>
      <c r="B753" s="52"/>
      <c r="C753" s="19"/>
      <c r="D753" s="18"/>
      <c r="E753" s="20"/>
      <c r="F753" s="23"/>
      <c r="G753" s="23"/>
      <c r="H753" s="18"/>
      <c r="I753" s="18"/>
      <c r="J753" s="24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" customHeight="1" x14ac:dyDescent="0.35">
      <c r="A754" s="68">
        <v>46009</v>
      </c>
      <c r="B754" s="68">
        <v>46038</v>
      </c>
      <c r="C754" s="69">
        <v>46034</v>
      </c>
      <c r="D754" s="70">
        <v>23584</v>
      </c>
      <c r="E754" s="71" t="s">
        <v>78</v>
      </c>
      <c r="F754" s="72">
        <v>1651</v>
      </c>
      <c r="G754" s="72">
        <v>1651</v>
      </c>
      <c r="H754" s="72"/>
      <c r="I754" s="70" t="s">
        <v>47</v>
      </c>
      <c r="J754" s="73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" customHeight="1" x14ac:dyDescent="0.35">
      <c r="A755" s="74">
        <v>46013</v>
      </c>
      <c r="B755" s="74">
        <v>46379</v>
      </c>
      <c r="C755" s="75">
        <v>46070</v>
      </c>
      <c r="D755" s="76">
        <v>23585</v>
      </c>
      <c r="E755" s="77" t="s">
        <v>79</v>
      </c>
      <c r="F755" s="78">
        <v>2840</v>
      </c>
      <c r="G755" s="78">
        <v>1301.53</v>
      </c>
      <c r="H755" s="78"/>
      <c r="I755" s="76" t="s">
        <v>80</v>
      </c>
      <c r="J755" s="79" t="s">
        <v>81</v>
      </c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" customHeight="1" x14ac:dyDescent="0.35">
      <c r="A756" s="52"/>
      <c r="B756" s="52"/>
      <c r="C756" s="19"/>
      <c r="D756" s="18"/>
      <c r="E756" s="20"/>
      <c r="F756" s="23"/>
      <c r="G756" s="23"/>
      <c r="H756" s="18"/>
      <c r="I756" s="18"/>
      <c r="J756" s="24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" customHeight="1" x14ac:dyDescent="0.35">
      <c r="A757" s="68">
        <v>46027</v>
      </c>
      <c r="B757" s="68">
        <v>46055</v>
      </c>
      <c r="C757" s="69"/>
      <c r="D757" s="70">
        <v>23586</v>
      </c>
      <c r="E757" s="71" t="s">
        <v>9</v>
      </c>
      <c r="F757" s="72">
        <v>8800</v>
      </c>
      <c r="G757" s="72"/>
      <c r="H757" s="72"/>
      <c r="I757" s="70"/>
      <c r="J757" s="73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" customHeight="1" x14ac:dyDescent="0.35">
      <c r="A758" s="4">
        <v>46027</v>
      </c>
      <c r="B758" s="4">
        <v>46055</v>
      </c>
      <c r="C758" s="11"/>
      <c r="D758" s="5">
        <v>23587</v>
      </c>
      <c r="E758" s="8" t="s">
        <v>11</v>
      </c>
      <c r="F758" s="12">
        <v>3004</v>
      </c>
      <c r="G758" s="12"/>
      <c r="H758" s="12"/>
      <c r="I758" s="5" t="s">
        <v>12</v>
      </c>
      <c r="J758" s="9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" customHeight="1" x14ac:dyDescent="0.35">
      <c r="A759" s="4">
        <v>46027</v>
      </c>
      <c r="B759" s="4">
        <v>46055</v>
      </c>
      <c r="C759" s="11"/>
      <c r="D759" s="5">
        <v>23588</v>
      </c>
      <c r="E759" s="8" t="s">
        <v>13</v>
      </c>
      <c r="F759" s="12">
        <v>1578</v>
      </c>
      <c r="G759" s="12"/>
      <c r="H759" s="12"/>
      <c r="I759" s="5" t="s">
        <v>12</v>
      </c>
      <c r="J759" s="9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" customHeight="1" x14ac:dyDescent="0.35">
      <c r="A760" s="4">
        <v>46028</v>
      </c>
      <c r="B760" s="4">
        <v>46086</v>
      </c>
      <c r="C760" s="11"/>
      <c r="D760" s="5">
        <v>23589</v>
      </c>
      <c r="E760" s="8" t="s">
        <v>14</v>
      </c>
      <c r="F760" s="12">
        <v>1658</v>
      </c>
      <c r="G760" s="12"/>
      <c r="H760" s="12"/>
      <c r="I760" s="5" t="s">
        <v>12</v>
      </c>
      <c r="J760" s="9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" customHeight="1" x14ac:dyDescent="0.35">
      <c r="A761" s="4">
        <v>46028</v>
      </c>
      <c r="B761" s="4">
        <v>46079</v>
      </c>
      <c r="C761" s="11"/>
      <c r="D761" s="5">
        <v>23591</v>
      </c>
      <c r="E761" s="8" t="s">
        <v>15</v>
      </c>
      <c r="F761" s="12">
        <v>1537</v>
      </c>
      <c r="G761" s="12"/>
      <c r="H761" s="12"/>
      <c r="I761" s="5"/>
      <c r="J761" s="9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" customHeight="1" x14ac:dyDescent="0.35">
      <c r="A762" s="4">
        <v>46028</v>
      </c>
      <c r="B762" s="4">
        <v>46065</v>
      </c>
      <c r="C762" s="11"/>
      <c r="D762" s="5">
        <v>23592</v>
      </c>
      <c r="E762" s="8" t="s">
        <v>16</v>
      </c>
      <c r="F762" s="12">
        <v>1323</v>
      </c>
      <c r="G762" s="12"/>
      <c r="H762" s="12"/>
      <c r="I762" s="5"/>
      <c r="J762" s="9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" customHeight="1" x14ac:dyDescent="0.35">
      <c r="A763" s="4">
        <v>46029</v>
      </c>
      <c r="B763" s="4">
        <v>46057</v>
      </c>
      <c r="C763" s="11"/>
      <c r="D763" s="5">
        <v>23593</v>
      </c>
      <c r="E763" s="8" t="s">
        <v>17</v>
      </c>
      <c r="F763" s="12">
        <v>1258</v>
      </c>
      <c r="G763" s="12"/>
      <c r="H763" s="12"/>
      <c r="I763" s="5"/>
      <c r="J763" s="9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" customHeight="1" x14ac:dyDescent="0.35">
      <c r="A764" s="4">
        <v>46029</v>
      </c>
      <c r="B764" s="4">
        <v>46059</v>
      </c>
      <c r="C764" s="11"/>
      <c r="D764" s="5">
        <v>23594</v>
      </c>
      <c r="E764" s="8" t="s">
        <v>18</v>
      </c>
      <c r="F764" s="12">
        <v>1520</v>
      </c>
      <c r="G764" s="12"/>
      <c r="H764" s="12"/>
      <c r="I764" s="5"/>
      <c r="J764" s="9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" customHeight="1" x14ac:dyDescent="0.35">
      <c r="A765" s="4">
        <v>46030</v>
      </c>
      <c r="B765" s="4">
        <v>46065</v>
      </c>
      <c r="C765" s="11"/>
      <c r="D765" s="5">
        <v>23595</v>
      </c>
      <c r="E765" s="8" t="s">
        <v>16</v>
      </c>
      <c r="F765" s="12">
        <v>1854</v>
      </c>
      <c r="G765" s="12"/>
      <c r="H765" s="12"/>
      <c r="I765" s="5"/>
      <c r="J765" s="9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" customHeight="1" x14ac:dyDescent="0.35">
      <c r="A766" s="4">
        <v>46030</v>
      </c>
      <c r="B766" s="4">
        <v>46058</v>
      </c>
      <c r="C766" s="11"/>
      <c r="D766" s="5">
        <v>23596</v>
      </c>
      <c r="E766" s="8" t="s">
        <v>19</v>
      </c>
      <c r="F766" s="12">
        <v>2444.4</v>
      </c>
      <c r="G766" s="12"/>
      <c r="H766" s="12"/>
      <c r="I766" s="5"/>
      <c r="J766" s="9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" customHeight="1" x14ac:dyDescent="0.35">
      <c r="A767" s="4">
        <v>46030</v>
      </c>
      <c r="B767" s="4">
        <v>46060</v>
      </c>
      <c r="C767" s="11"/>
      <c r="D767" s="5">
        <v>23597</v>
      </c>
      <c r="E767" s="8" t="s">
        <v>20</v>
      </c>
      <c r="F767" s="12">
        <v>5450</v>
      </c>
      <c r="G767" s="12"/>
      <c r="H767" s="12"/>
      <c r="I767" s="5" t="s">
        <v>12</v>
      </c>
      <c r="J767" s="9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" customHeight="1" x14ac:dyDescent="0.35">
      <c r="A768" s="4">
        <v>46030</v>
      </c>
      <c r="B768" s="4">
        <v>46060</v>
      </c>
      <c r="C768" s="11"/>
      <c r="D768" s="5">
        <v>23598</v>
      </c>
      <c r="E768" s="8" t="s">
        <v>20</v>
      </c>
      <c r="F768" s="12">
        <v>3686.04</v>
      </c>
      <c r="G768" s="12"/>
      <c r="H768" s="12"/>
      <c r="I768" s="5" t="s">
        <v>12</v>
      </c>
      <c r="J768" s="9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" customHeight="1" x14ac:dyDescent="0.35">
      <c r="A769" s="4">
        <v>46030</v>
      </c>
      <c r="B769" s="4">
        <v>46058</v>
      </c>
      <c r="C769" s="11"/>
      <c r="D769" s="5">
        <v>23599</v>
      </c>
      <c r="E769" s="8" t="s">
        <v>21</v>
      </c>
      <c r="F769" s="12">
        <v>4348.97</v>
      </c>
      <c r="G769" s="12"/>
      <c r="H769" s="12"/>
      <c r="I769" s="5"/>
      <c r="J769" s="9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" customHeight="1" x14ac:dyDescent="0.35">
      <c r="A770" s="4">
        <v>46031</v>
      </c>
      <c r="B770" s="4">
        <v>46066</v>
      </c>
      <c r="C770" s="11"/>
      <c r="D770" s="5">
        <v>23600</v>
      </c>
      <c r="E770" s="8" t="s">
        <v>22</v>
      </c>
      <c r="F770" s="12">
        <v>3031.16</v>
      </c>
      <c r="G770" s="12"/>
      <c r="H770" s="12"/>
      <c r="I770" s="5"/>
      <c r="J770" s="9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" customHeight="1" x14ac:dyDescent="0.35">
      <c r="A771" s="4">
        <v>46034</v>
      </c>
      <c r="B771" s="4">
        <v>46062</v>
      </c>
      <c r="C771" s="11"/>
      <c r="D771" s="5">
        <v>23602</v>
      </c>
      <c r="E771" s="8" t="s">
        <v>23</v>
      </c>
      <c r="F771" s="12">
        <v>2488</v>
      </c>
      <c r="G771" s="12"/>
      <c r="H771" s="12"/>
      <c r="I771" s="5"/>
      <c r="J771" s="9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" customHeight="1" x14ac:dyDescent="0.35">
      <c r="A772" s="4">
        <v>46034</v>
      </c>
      <c r="B772" s="4">
        <v>46062</v>
      </c>
      <c r="C772" s="11"/>
      <c r="D772" s="5">
        <v>23603</v>
      </c>
      <c r="E772" s="8" t="s">
        <v>24</v>
      </c>
      <c r="F772" s="12">
        <v>2099</v>
      </c>
      <c r="G772" s="12"/>
      <c r="H772" s="12"/>
      <c r="I772" s="5" t="s">
        <v>12</v>
      </c>
      <c r="J772" s="9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" customHeight="1" x14ac:dyDescent="0.35">
      <c r="A773" s="4">
        <v>46034</v>
      </c>
      <c r="B773" s="4">
        <v>46069</v>
      </c>
      <c r="C773" s="11"/>
      <c r="D773" s="5">
        <v>23604</v>
      </c>
      <c r="E773" s="8" t="s">
        <v>22</v>
      </c>
      <c r="F773" s="12">
        <v>3089.3</v>
      </c>
      <c r="G773" s="12"/>
      <c r="H773" s="12"/>
      <c r="I773" s="5"/>
      <c r="J773" s="9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" customHeight="1" x14ac:dyDescent="0.35">
      <c r="A774" s="4">
        <v>46034</v>
      </c>
      <c r="B774" s="4">
        <v>46062</v>
      </c>
      <c r="C774" s="11"/>
      <c r="D774" s="5">
        <v>23605</v>
      </c>
      <c r="E774" s="8" t="s">
        <v>21</v>
      </c>
      <c r="F774" s="12">
        <v>5037.45</v>
      </c>
      <c r="G774" s="12"/>
      <c r="H774" s="12"/>
      <c r="I774" s="5"/>
      <c r="J774" s="9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" customHeight="1" x14ac:dyDescent="0.35">
      <c r="A775" s="4">
        <v>46036</v>
      </c>
      <c r="B775" s="4">
        <v>46090</v>
      </c>
      <c r="C775" s="11"/>
      <c r="D775" s="5">
        <v>23607</v>
      </c>
      <c r="E775" s="8" t="s">
        <v>25</v>
      </c>
      <c r="F775" s="12">
        <v>1708</v>
      </c>
      <c r="G775" s="12"/>
      <c r="H775" s="12"/>
      <c r="I775" s="5" t="s">
        <v>12</v>
      </c>
      <c r="J775" s="9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" customHeight="1" x14ac:dyDescent="0.35">
      <c r="A776" s="81"/>
      <c r="B776" s="4"/>
      <c r="C776" s="11"/>
      <c r="D776" s="5"/>
      <c r="E776" s="8"/>
      <c r="F776" s="12"/>
      <c r="G776" s="12"/>
      <c r="H776" s="12"/>
      <c r="I776" s="5"/>
      <c r="J776" s="9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" customHeight="1" x14ac:dyDescent="0.35">
      <c r="A777" s="4"/>
      <c r="B777" s="4"/>
      <c r="C777" s="11"/>
      <c r="D777" s="5"/>
      <c r="E777" s="8"/>
      <c r="F777" s="12"/>
      <c r="G777" s="12"/>
      <c r="H777" s="12"/>
      <c r="I777" s="5"/>
      <c r="J777" s="9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" customHeight="1" x14ac:dyDescent="0.35">
      <c r="A778" s="4"/>
      <c r="B778" s="4"/>
      <c r="C778" s="11"/>
      <c r="D778" s="5"/>
      <c r="E778" s="8"/>
      <c r="F778" s="12"/>
      <c r="G778" s="12"/>
      <c r="H778" s="12"/>
      <c r="I778" s="5"/>
      <c r="J778" s="9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" customHeight="1" x14ac:dyDescent="0.35">
      <c r="A779" s="4"/>
      <c r="B779" s="4"/>
      <c r="C779" s="11"/>
      <c r="D779" s="5"/>
      <c r="E779" s="8"/>
      <c r="F779" s="12"/>
      <c r="G779" s="12"/>
      <c r="H779" s="12"/>
      <c r="I779" s="5"/>
      <c r="J779" s="9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" customHeight="1" x14ac:dyDescent="0.35">
      <c r="A780" s="4"/>
      <c r="B780" s="4"/>
      <c r="C780" s="11"/>
      <c r="D780" s="5"/>
      <c r="E780" s="8"/>
      <c r="F780" s="12"/>
      <c r="G780" s="12"/>
      <c r="H780" s="12"/>
      <c r="I780" s="5"/>
      <c r="J780" s="9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" customHeight="1" x14ac:dyDescent="0.35">
      <c r="A781" s="4"/>
      <c r="B781" s="4"/>
      <c r="C781" s="11"/>
      <c r="D781" s="5"/>
      <c r="E781" s="8"/>
      <c r="F781" s="12"/>
      <c r="G781" s="12"/>
      <c r="H781" s="12"/>
      <c r="I781" s="5"/>
      <c r="J781" s="9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" customHeight="1" x14ac:dyDescent="0.35">
      <c r="A782" s="4"/>
      <c r="B782" s="4"/>
      <c r="C782" s="11"/>
      <c r="D782" s="5"/>
      <c r="E782" s="8"/>
      <c r="F782" s="12"/>
      <c r="G782" s="12"/>
      <c r="H782" s="12"/>
      <c r="I782" s="5"/>
      <c r="J782" s="9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" customHeight="1" x14ac:dyDescent="0.35">
      <c r="A783" s="74"/>
      <c r="B783" s="74"/>
      <c r="C783" s="75"/>
      <c r="D783" s="76"/>
      <c r="E783" s="77"/>
      <c r="F783" s="78"/>
      <c r="G783" s="78"/>
      <c r="H783" s="78"/>
      <c r="I783" s="76"/>
      <c r="J783" s="79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" customHeight="1" x14ac:dyDescent="0.35">
      <c r="A784" s="52"/>
      <c r="B784" s="52"/>
      <c r="C784" s="19"/>
      <c r="D784" s="18"/>
      <c r="E784" s="20"/>
      <c r="F784" s="23"/>
      <c r="G784" s="23"/>
      <c r="H784" s="18"/>
      <c r="I784" s="18"/>
      <c r="J784" s="24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" customHeight="1" x14ac:dyDescent="0.35">
      <c r="A785" s="52"/>
      <c r="B785" s="52"/>
      <c r="C785" s="19"/>
      <c r="D785" s="18"/>
      <c r="E785" s="20"/>
      <c r="F785" s="23"/>
      <c r="G785" s="23"/>
      <c r="H785" s="18"/>
      <c r="I785" s="18"/>
      <c r="J785" s="24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" customHeight="1" x14ac:dyDescent="0.35">
      <c r="A786" s="52"/>
      <c r="B786" s="52"/>
      <c r="C786" s="19"/>
      <c r="D786" s="18"/>
      <c r="E786" s="20"/>
      <c r="F786" s="23"/>
      <c r="G786" s="23"/>
      <c r="H786" s="18"/>
      <c r="I786" s="18"/>
      <c r="J786" s="24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" customHeight="1" x14ac:dyDescent="0.35">
      <c r="A787" s="52"/>
      <c r="B787" s="52"/>
      <c r="C787" s="19"/>
      <c r="D787" s="18"/>
      <c r="E787" s="20"/>
      <c r="F787" s="23"/>
      <c r="G787" s="23"/>
      <c r="H787" s="18"/>
      <c r="I787" s="18"/>
      <c r="J787" s="24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" customHeight="1" x14ac:dyDescent="0.35">
      <c r="A788" s="52"/>
      <c r="B788" s="52"/>
      <c r="C788" s="19"/>
      <c r="D788" s="18"/>
      <c r="E788" s="20"/>
      <c r="F788" s="23"/>
      <c r="G788" s="23"/>
      <c r="H788" s="18"/>
      <c r="I788" s="18"/>
      <c r="J788" s="24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" customHeight="1" x14ac:dyDescent="0.35">
      <c r="A789" s="52"/>
      <c r="B789" s="52"/>
      <c r="C789" s="19"/>
      <c r="D789" s="18"/>
      <c r="E789" s="20"/>
      <c r="F789" s="23"/>
      <c r="G789" s="23"/>
      <c r="H789" s="18"/>
      <c r="I789" s="18"/>
      <c r="J789" s="24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" customHeight="1" x14ac:dyDescent="0.35">
      <c r="A790" s="52"/>
      <c r="B790" s="52"/>
      <c r="C790" s="19"/>
      <c r="D790" s="18"/>
      <c r="E790" s="20"/>
      <c r="F790" s="23"/>
      <c r="G790" s="23"/>
      <c r="H790" s="18"/>
      <c r="I790" s="18"/>
      <c r="J790" s="24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" customHeight="1" x14ac:dyDescent="0.35">
      <c r="A791" s="52"/>
      <c r="B791" s="52"/>
      <c r="C791" s="19"/>
      <c r="D791" s="18"/>
      <c r="E791" s="20"/>
      <c r="F791" s="23"/>
      <c r="G791" s="23"/>
      <c r="H791" s="18"/>
      <c r="I791" s="18"/>
      <c r="J791" s="24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" customHeight="1" x14ac:dyDescent="0.35">
      <c r="A792" s="52"/>
      <c r="B792" s="52"/>
      <c r="C792" s="19"/>
      <c r="D792" s="18"/>
      <c r="E792" s="20"/>
      <c r="F792" s="23"/>
      <c r="G792" s="23"/>
      <c r="H792" s="18"/>
      <c r="I792" s="18"/>
      <c r="J792" s="24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" customHeight="1" x14ac:dyDescent="0.35">
      <c r="A793" s="52"/>
      <c r="B793" s="52"/>
      <c r="C793" s="19"/>
      <c r="D793" s="18"/>
      <c r="E793" s="20"/>
      <c r="F793" s="23"/>
      <c r="G793" s="23"/>
      <c r="H793" s="18"/>
      <c r="I793" s="18"/>
      <c r="J793" s="24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" customHeight="1" x14ac:dyDescent="0.35">
      <c r="A794" s="52"/>
      <c r="B794" s="52"/>
      <c r="C794" s="19"/>
      <c r="D794" s="18"/>
      <c r="E794" s="20"/>
      <c r="F794" s="23"/>
      <c r="G794" s="23"/>
      <c r="H794" s="18"/>
      <c r="I794" s="18"/>
      <c r="J794" s="24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" customHeight="1" x14ac:dyDescent="0.35">
      <c r="A795" s="52"/>
      <c r="B795" s="52"/>
      <c r="C795" s="19"/>
      <c r="D795" s="18"/>
      <c r="E795" s="20"/>
      <c r="F795" s="23"/>
      <c r="G795" s="23"/>
      <c r="H795" s="18"/>
      <c r="I795" s="18"/>
      <c r="J795" s="24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" customHeight="1" x14ac:dyDescent="0.35">
      <c r="A796" s="52"/>
      <c r="B796" s="52"/>
      <c r="C796" s="19"/>
      <c r="D796" s="18"/>
      <c r="E796" s="20"/>
      <c r="F796" s="23"/>
      <c r="G796" s="23"/>
      <c r="H796" s="18"/>
      <c r="I796" s="18"/>
      <c r="J796" s="24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" customHeight="1" x14ac:dyDescent="0.35">
      <c r="A797" s="52"/>
      <c r="B797" s="52"/>
      <c r="C797" s="19"/>
      <c r="D797" s="18"/>
      <c r="E797" s="20"/>
      <c r="F797" s="23"/>
      <c r="G797" s="23"/>
      <c r="H797" s="18"/>
      <c r="I797" s="18"/>
      <c r="J797" s="24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" customHeight="1" x14ac:dyDescent="0.35">
      <c r="A798" s="52"/>
      <c r="B798" s="52"/>
      <c r="C798" s="19"/>
      <c r="D798" s="18"/>
      <c r="E798" s="20"/>
      <c r="F798" s="23"/>
      <c r="G798" s="23"/>
      <c r="H798" s="18"/>
      <c r="I798" s="18"/>
      <c r="J798" s="24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" customHeight="1" x14ac:dyDescent="0.35">
      <c r="A799" s="52"/>
      <c r="B799" s="52"/>
      <c r="C799" s="19"/>
      <c r="D799" s="18"/>
      <c r="E799" s="20"/>
      <c r="F799" s="23"/>
      <c r="G799" s="23"/>
      <c r="H799" s="18"/>
      <c r="I799" s="18"/>
      <c r="J799" s="24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" customHeight="1" x14ac:dyDescent="0.35">
      <c r="A800" s="52"/>
      <c r="B800" s="52"/>
      <c r="C800" s="19"/>
      <c r="D800" s="18"/>
      <c r="E800" s="20"/>
      <c r="F800" s="23"/>
      <c r="G800" s="23"/>
      <c r="H800" s="18"/>
      <c r="I800" s="18"/>
      <c r="J800" s="24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" customHeight="1" x14ac:dyDescent="0.35">
      <c r="A801" s="52"/>
      <c r="B801" s="52"/>
      <c r="C801" s="19"/>
      <c r="D801" s="18"/>
      <c r="E801" s="20"/>
      <c r="F801" s="23"/>
      <c r="G801" s="23"/>
      <c r="H801" s="18"/>
      <c r="I801" s="18"/>
      <c r="J801" s="24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" customHeight="1" x14ac:dyDescent="0.35">
      <c r="A802" s="52"/>
      <c r="B802" s="52"/>
      <c r="C802" s="19"/>
      <c r="D802" s="18"/>
      <c r="E802" s="20"/>
      <c r="F802" s="23"/>
      <c r="G802" s="23"/>
      <c r="H802" s="18"/>
      <c r="I802" s="18"/>
      <c r="J802" s="24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" customHeight="1" x14ac:dyDescent="0.35">
      <c r="A803" s="52"/>
      <c r="B803" s="52"/>
      <c r="C803" s="19"/>
      <c r="D803" s="18"/>
      <c r="E803" s="20"/>
      <c r="F803" s="23"/>
      <c r="G803" s="23"/>
      <c r="H803" s="18"/>
      <c r="I803" s="18"/>
      <c r="J803" s="24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" customHeight="1" x14ac:dyDescent="0.35">
      <c r="A804" s="52"/>
      <c r="B804" s="52"/>
      <c r="C804" s="19"/>
      <c r="D804" s="18"/>
      <c r="E804" s="20"/>
      <c r="F804" s="23"/>
      <c r="G804" s="23"/>
      <c r="H804" s="18"/>
      <c r="I804" s="18"/>
      <c r="J804" s="24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" customHeight="1" x14ac:dyDescent="0.35">
      <c r="A805" s="52"/>
      <c r="B805" s="52"/>
      <c r="C805" s="19"/>
      <c r="D805" s="18"/>
      <c r="E805" s="20"/>
      <c r="F805" s="23"/>
      <c r="G805" s="23"/>
      <c r="H805" s="18"/>
      <c r="I805" s="18"/>
      <c r="J805" s="24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" customHeight="1" x14ac:dyDescent="0.35">
      <c r="A806" s="52"/>
      <c r="B806" s="52"/>
      <c r="C806" s="19"/>
      <c r="D806" s="18"/>
      <c r="E806" s="20"/>
      <c r="F806" s="23"/>
      <c r="G806" s="23"/>
      <c r="H806" s="18"/>
      <c r="I806" s="18"/>
      <c r="J806" s="24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" customHeight="1" x14ac:dyDescent="0.35">
      <c r="A807" s="52"/>
      <c r="B807" s="52"/>
      <c r="C807" s="19"/>
      <c r="D807" s="18"/>
      <c r="E807" s="20"/>
      <c r="F807" s="23"/>
      <c r="G807" s="23"/>
      <c r="H807" s="18"/>
      <c r="I807" s="18"/>
      <c r="J807" s="24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" customHeight="1" x14ac:dyDescent="0.35">
      <c r="A808" s="52"/>
      <c r="B808" s="52"/>
      <c r="C808" s="19"/>
      <c r="D808" s="18"/>
      <c r="E808" s="20"/>
      <c r="F808" s="23"/>
      <c r="G808" s="23"/>
      <c r="H808" s="18"/>
      <c r="I808" s="18"/>
      <c r="J808" s="24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" customHeight="1" x14ac:dyDescent="0.35">
      <c r="A809" s="52"/>
      <c r="B809" s="52"/>
      <c r="C809" s="19"/>
      <c r="D809" s="18"/>
      <c r="E809" s="20"/>
      <c r="F809" s="23"/>
      <c r="G809" s="23"/>
      <c r="H809" s="18"/>
      <c r="I809" s="18"/>
      <c r="J809" s="24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" customHeight="1" x14ac:dyDescent="0.35">
      <c r="A810" s="52"/>
      <c r="B810" s="52"/>
      <c r="C810" s="19"/>
      <c r="D810" s="18"/>
      <c r="E810" s="20"/>
      <c r="F810" s="23"/>
      <c r="G810" s="23"/>
      <c r="H810" s="18"/>
      <c r="I810" s="18"/>
      <c r="J810" s="24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" customHeight="1" x14ac:dyDescent="0.35">
      <c r="A811" s="52"/>
      <c r="B811" s="52"/>
      <c r="C811" s="19"/>
      <c r="D811" s="18"/>
      <c r="E811" s="20"/>
      <c r="F811" s="23"/>
      <c r="G811" s="23"/>
      <c r="H811" s="18"/>
      <c r="I811" s="18"/>
      <c r="J811" s="24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" customHeight="1" x14ac:dyDescent="0.35">
      <c r="A812" s="52"/>
      <c r="B812" s="52"/>
      <c r="C812" s="19"/>
      <c r="D812" s="18"/>
      <c r="E812" s="20"/>
      <c r="F812" s="23"/>
      <c r="G812" s="23"/>
      <c r="H812" s="18"/>
      <c r="I812" s="18"/>
      <c r="J812" s="24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" customHeight="1" x14ac:dyDescent="0.35">
      <c r="A813" s="52"/>
      <c r="B813" s="52"/>
      <c r="C813" s="19"/>
      <c r="D813" s="18"/>
      <c r="E813" s="20"/>
      <c r="F813" s="23"/>
      <c r="G813" s="23"/>
      <c r="H813" s="18"/>
      <c r="I813" s="18"/>
      <c r="J813" s="24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" customHeight="1" x14ac:dyDescent="0.35">
      <c r="A814" s="52"/>
      <c r="B814" s="52"/>
      <c r="C814" s="19"/>
      <c r="D814" s="18"/>
      <c r="E814" s="20"/>
      <c r="F814" s="23"/>
      <c r="G814" s="23"/>
      <c r="H814" s="18"/>
      <c r="I814" s="18"/>
      <c r="J814" s="24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" customHeight="1" x14ac:dyDescent="0.35">
      <c r="A815" s="52"/>
      <c r="B815" s="52"/>
      <c r="C815" s="19"/>
      <c r="D815" s="18"/>
      <c r="E815" s="20"/>
      <c r="F815" s="23"/>
      <c r="G815" s="23"/>
      <c r="H815" s="18"/>
      <c r="I815" s="18"/>
      <c r="J815" s="24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" customHeight="1" x14ac:dyDescent="0.35">
      <c r="A816" s="52"/>
      <c r="B816" s="52"/>
      <c r="C816" s="19"/>
      <c r="D816" s="18"/>
      <c r="E816" s="20"/>
      <c r="F816" s="23"/>
      <c r="G816" s="23"/>
      <c r="H816" s="18"/>
      <c r="I816" s="18"/>
      <c r="J816" s="24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" customHeight="1" x14ac:dyDescent="0.35">
      <c r="A817" s="52"/>
      <c r="B817" s="52"/>
      <c r="C817" s="19"/>
      <c r="D817" s="18"/>
      <c r="E817" s="20"/>
      <c r="F817" s="23"/>
      <c r="G817" s="23"/>
      <c r="H817" s="18"/>
      <c r="I817" s="18"/>
      <c r="J817" s="24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" customHeight="1" x14ac:dyDescent="0.35">
      <c r="A818" s="52"/>
      <c r="B818" s="52"/>
      <c r="C818" s="19"/>
      <c r="D818" s="18"/>
      <c r="E818" s="20"/>
      <c r="F818" s="23"/>
      <c r="G818" s="23"/>
      <c r="H818" s="18"/>
      <c r="I818" s="18"/>
      <c r="J818" s="24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" customHeight="1" x14ac:dyDescent="0.35">
      <c r="A819" s="52"/>
      <c r="B819" s="52"/>
      <c r="C819" s="19"/>
      <c r="D819" s="18"/>
      <c r="E819" s="20"/>
      <c r="F819" s="23"/>
      <c r="G819" s="23"/>
      <c r="H819" s="18"/>
      <c r="I819" s="18"/>
      <c r="J819" s="24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" customHeight="1" x14ac:dyDescent="0.35">
      <c r="A820" s="52"/>
      <c r="B820" s="52"/>
      <c r="C820" s="19"/>
      <c r="D820" s="18"/>
      <c r="E820" s="20"/>
      <c r="F820" s="23"/>
      <c r="G820" s="23"/>
      <c r="H820" s="18"/>
      <c r="I820" s="18"/>
      <c r="J820" s="24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" customHeight="1" x14ac:dyDescent="0.35">
      <c r="A821" s="52"/>
      <c r="B821" s="52"/>
      <c r="C821" s="19"/>
      <c r="D821" s="18"/>
      <c r="E821" s="20"/>
      <c r="F821" s="23"/>
      <c r="G821" s="23"/>
      <c r="H821" s="18"/>
      <c r="I821" s="18"/>
      <c r="J821" s="24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" customHeight="1" x14ac:dyDescent="0.35">
      <c r="A822" s="52"/>
      <c r="B822" s="52"/>
      <c r="C822" s="19"/>
      <c r="D822" s="18"/>
      <c r="E822" s="20"/>
      <c r="F822" s="23"/>
      <c r="G822" s="23"/>
      <c r="H822" s="18"/>
      <c r="I822" s="18"/>
      <c r="J822" s="24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" customHeight="1" x14ac:dyDescent="0.35">
      <c r="A823" s="52"/>
      <c r="B823" s="52"/>
      <c r="C823" s="19"/>
      <c r="D823" s="18"/>
      <c r="E823" s="20"/>
      <c r="F823" s="23"/>
      <c r="G823" s="23"/>
      <c r="H823" s="18"/>
      <c r="I823" s="18"/>
      <c r="J823" s="24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" customHeight="1" x14ac:dyDescent="0.35">
      <c r="A824" s="52"/>
      <c r="B824" s="52"/>
      <c r="C824" s="19"/>
      <c r="D824" s="18"/>
      <c r="E824" s="20"/>
      <c r="F824" s="23"/>
      <c r="G824" s="23"/>
      <c r="H824" s="18"/>
      <c r="I824" s="18"/>
      <c r="J824" s="24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" customHeight="1" x14ac:dyDescent="0.35">
      <c r="A825" s="52"/>
      <c r="B825" s="52"/>
      <c r="C825" s="19"/>
      <c r="D825" s="18"/>
      <c r="E825" s="20"/>
      <c r="F825" s="23"/>
      <c r="G825" s="23"/>
      <c r="H825" s="18"/>
      <c r="I825" s="18"/>
      <c r="J825" s="24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" customHeight="1" x14ac:dyDescent="0.35">
      <c r="A826" s="52"/>
      <c r="B826" s="52"/>
      <c r="C826" s="19"/>
      <c r="D826" s="18"/>
      <c r="E826" s="20"/>
      <c r="F826" s="23"/>
      <c r="G826" s="23"/>
      <c r="H826" s="18"/>
      <c r="I826" s="18"/>
      <c r="J826" s="24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" customHeight="1" x14ac:dyDescent="0.35">
      <c r="A827" s="52"/>
      <c r="B827" s="52"/>
      <c r="C827" s="19"/>
      <c r="D827" s="18"/>
      <c r="E827" s="20"/>
      <c r="F827" s="23"/>
      <c r="G827" s="23"/>
      <c r="H827" s="18"/>
      <c r="I827" s="18"/>
      <c r="J827" s="24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" customHeight="1" x14ac:dyDescent="0.35">
      <c r="A828" s="52"/>
      <c r="B828" s="52"/>
      <c r="C828" s="19"/>
      <c r="D828" s="18"/>
      <c r="E828" s="20"/>
      <c r="F828" s="23"/>
      <c r="G828" s="23"/>
      <c r="H828" s="18"/>
      <c r="I828" s="18"/>
      <c r="J828" s="24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" customHeight="1" x14ac:dyDescent="0.35">
      <c r="A829" s="52"/>
      <c r="B829" s="52"/>
      <c r="C829" s="19"/>
      <c r="D829" s="18"/>
      <c r="E829" s="20"/>
      <c r="F829" s="23"/>
      <c r="G829" s="23"/>
      <c r="H829" s="18"/>
      <c r="I829" s="18"/>
      <c r="J829" s="24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" customHeight="1" x14ac:dyDescent="0.35">
      <c r="A830" s="52"/>
      <c r="B830" s="52"/>
      <c r="C830" s="19"/>
      <c r="D830" s="18"/>
      <c r="E830" s="20"/>
      <c r="F830" s="23"/>
      <c r="G830" s="23"/>
      <c r="H830" s="18"/>
      <c r="I830" s="18"/>
      <c r="J830" s="24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" customHeight="1" x14ac:dyDescent="0.35">
      <c r="A831" s="52"/>
      <c r="B831" s="52"/>
      <c r="C831" s="19"/>
      <c r="D831" s="18"/>
      <c r="E831" s="20"/>
      <c r="F831" s="23"/>
      <c r="G831" s="23"/>
      <c r="H831" s="18"/>
      <c r="I831" s="18"/>
      <c r="J831" s="24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" customHeight="1" x14ac:dyDescent="0.35">
      <c r="A832" s="52"/>
      <c r="B832" s="52"/>
      <c r="C832" s="19"/>
      <c r="D832" s="18"/>
      <c r="E832" s="20"/>
      <c r="F832" s="23"/>
      <c r="G832" s="23"/>
      <c r="H832" s="18"/>
      <c r="I832" s="18"/>
      <c r="J832" s="24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" customHeight="1" x14ac:dyDescent="0.35">
      <c r="A833" s="52"/>
      <c r="B833" s="52"/>
      <c r="C833" s="19"/>
      <c r="D833" s="18"/>
      <c r="E833" s="20"/>
      <c r="F833" s="23"/>
      <c r="G833" s="23"/>
      <c r="H833" s="18"/>
      <c r="I833" s="18"/>
      <c r="J833" s="24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" customHeight="1" x14ac:dyDescent="0.35">
      <c r="A834" s="52"/>
      <c r="B834" s="52"/>
      <c r="C834" s="19"/>
      <c r="D834" s="18"/>
      <c r="E834" s="20"/>
      <c r="F834" s="23"/>
      <c r="G834" s="23"/>
      <c r="H834" s="18"/>
      <c r="I834" s="18"/>
      <c r="J834" s="24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" customHeight="1" x14ac:dyDescent="0.35">
      <c r="A835" s="52"/>
      <c r="B835" s="52"/>
      <c r="C835" s="19"/>
      <c r="D835" s="18"/>
      <c r="E835" s="20"/>
      <c r="F835" s="23"/>
      <c r="G835" s="23"/>
      <c r="H835" s="18"/>
      <c r="I835" s="18"/>
      <c r="J835" s="24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" customHeight="1" x14ac:dyDescent="0.35">
      <c r="A836" s="52"/>
      <c r="B836" s="52"/>
      <c r="C836" s="19"/>
      <c r="D836" s="18"/>
      <c r="E836" s="20"/>
      <c r="F836" s="23"/>
      <c r="G836" s="23"/>
      <c r="H836" s="18"/>
      <c r="I836" s="18"/>
      <c r="J836" s="24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" customHeight="1" x14ac:dyDescent="0.35">
      <c r="A837" s="52"/>
      <c r="B837" s="52"/>
      <c r="C837" s="19"/>
      <c r="D837" s="18"/>
      <c r="E837" s="20"/>
      <c r="F837" s="23"/>
      <c r="G837" s="23"/>
      <c r="H837" s="18"/>
      <c r="I837" s="18"/>
      <c r="J837" s="24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" customHeight="1" x14ac:dyDescent="0.35">
      <c r="A838" s="52"/>
      <c r="B838" s="52"/>
      <c r="C838" s="19"/>
      <c r="D838" s="18"/>
      <c r="E838" s="20"/>
      <c r="F838" s="23"/>
      <c r="G838" s="23"/>
      <c r="H838" s="18"/>
      <c r="I838" s="18"/>
      <c r="J838" s="24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" customHeight="1" x14ac:dyDescent="0.35">
      <c r="A839" s="52"/>
      <c r="B839" s="52"/>
      <c r="C839" s="19"/>
      <c r="D839" s="18"/>
      <c r="E839" s="20"/>
      <c r="F839" s="23"/>
      <c r="G839" s="23"/>
      <c r="H839" s="18"/>
      <c r="I839" s="18"/>
      <c r="J839" s="24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" customHeight="1" x14ac:dyDescent="0.35">
      <c r="A840" s="52"/>
      <c r="B840" s="52"/>
      <c r="C840" s="19"/>
      <c r="D840" s="18"/>
      <c r="E840" s="20"/>
      <c r="F840" s="23"/>
      <c r="G840" s="23"/>
      <c r="H840" s="18"/>
      <c r="I840" s="18"/>
      <c r="J840" s="24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" customHeight="1" x14ac:dyDescent="0.35">
      <c r="A841" s="52"/>
      <c r="B841" s="52"/>
      <c r="C841" s="19"/>
      <c r="D841" s="18"/>
      <c r="E841" s="20"/>
      <c r="F841" s="23"/>
      <c r="G841" s="23"/>
      <c r="H841" s="18"/>
      <c r="I841" s="18"/>
      <c r="J841" s="24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" customHeight="1" x14ac:dyDescent="0.35">
      <c r="A842" s="52"/>
      <c r="B842" s="52"/>
      <c r="C842" s="19"/>
      <c r="D842" s="18"/>
      <c r="E842" s="20"/>
      <c r="F842" s="23"/>
      <c r="G842" s="23"/>
      <c r="H842" s="18"/>
      <c r="I842" s="18"/>
      <c r="J842" s="24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" customHeight="1" x14ac:dyDescent="0.35">
      <c r="A843" s="52"/>
      <c r="B843" s="52"/>
      <c r="C843" s="19"/>
      <c r="D843" s="18"/>
      <c r="E843" s="20"/>
      <c r="F843" s="23"/>
      <c r="G843" s="23"/>
      <c r="H843" s="18"/>
      <c r="I843" s="18"/>
      <c r="J843" s="24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" customHeight="1" x14ac:dyDescent="0.35">
      <c r="A844" s="52"/>
      <c r="B844" s="52"/>
      <c r="C844" s="19"/>
      <c r="D844" s="18"/>
      <c r="E844" s="20"/>
      <c r="F844" s="23"/>
      <c r="G844" s="23"/>
      <c r="H844" s="18"/>
      <c r="I844" s="18"/>
      <c r="J844" s="24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" customHeight="1" x14ac:dyDescent="0.35">
      <c r="A845" s="52"/>
      <c r="B845" s="52"/>
      <c r="C845" s="19"/>
      <c r="D845" s="18"/>
      <c r="E845" s="20"/>
      <c r="F845" s="23"/>
      <c r="G845" s="23"/>
      <c r="H845" s="18"/>
      <c r="I845" s="18"/>
      <c r="J845" s="24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" customHeight="1" x14ac:dyDescent="0.35">
      <c r="A846" s="52"/>
      <c r="B846" s="52"/>
      <c r="C846" s="19"/>
      <c r="D846" s="18"/>
      <c r="E846" s="20"/>
      <c r="F846" s="23"/>
      <c r="G846" s="23"/>
      <c r="H846" s="18"/>
      <c r="I846" s="18"/>
      <c r="J846" s="24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" customHeight="1" x14ac:dyDescent="0.35">
      <c r="A847" s="52"/>
      <c r="B847" s="52"/>
      <c r="C847" s="19"/>
      <c r="D847" s="18"/>
      <c r="E847" s="20"/>
      <c r="F847" s="23"/>
      <c r="G847" s="23"/>
      <c r="H847" s="18"/>
      <c r="I847" s="18"/>
      <c r="J847" s="24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" customHeight="1" x14ac:dyDescent="0.35">
      <c r="A848" s="52"/>
      <c r="B848" s="52"/>
      <c r="C848" s="19"/>
      <c r="D848" s="18"/>
      <c r="E848" s="20"/>
      <c r="F848" s="23"/>
      <c r="G848" s="23"/>
      <c r="H848" s="18"/>
      <c r="I848" s="18"/>
      <c r="J848" s="24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" customHeight="1" x14ac:dyDescent="0.35">
      <c r="A849" s="52"/>
      <c r="B849" s="52"/>
      <c r="C849" s="19"/>
      <c r="D849" s="18"/>
      <c r="E849" s="20"/>
      <c r="F849" s="23"/>
      <c r="G849" s="23"/>
      <c r="H849" s="18"/>
      <c r="I849" s="18"/>
      <c r="J849" s="24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" customHeight="1" x14ac:dyDescent="0.35">
      <c r="A850" s="52"/>
      <c r="B850" s="52"/>
      <c r="C850" s="19"/>
      <c r="D850" s="18"/>
      <c r="E850" s="20"/>
      <c r="F850" s="23"/>
      <c r="G850" s="23"/>
      <c r="H850" s="18"/>
      <c r="I850" s="18"/>
      <c r="J850" s="24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" customHeight="1" x14ac:dyDescent="0.35">
      <c r="A851" s="52"/>
      <c r="B851" s="52"/>
      <c r="C851" s="19"/>
      <c r="D851" s="18"/>
      <c r="E851" s="20"/>
      <c r="F851" s="23"/>
      <c r="G851" s="23"/>
      <c r="H851" s="18"/>
      <c r="I851" s="18"/>
      <c r="J851" s="24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" customHeight="1" x14ac:dyDescent="0.35">
      <c r="A852" s="52"/>
      <c r="B852" s="52"/>
      <c r="C852" s="19"/>
      <c r="D852" s="18"/>
      <c r="E852" s="20"/>
      <c r="F852" s="23"/>
      <c r="G852" s="23"/>
      <c r="H852" s="18"/>
      <c r="I852" s="18"/>
      <c r="J852" s="24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" customHeight="1" x14ac:dyDescent="0.35">
      <c r="A853" s="52"/>
      <c r="B853" s="52"/>
      <c r="C853" s="19"/>
      <c r="D853" s="18"/>
      <c r="E853" s="20"/>
      <c r="F853" s="23"/>
      <c r="G853" s="23"/>
      <c r="H853" s="18"/>
      <c r="I853" s="18"/>
      <c r="J853" s="24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" customHeight="1" x14ac:dyDescent="0.35">
      <c r="A854" s="52"/>
      <c r="B854" s="52"/>
      <c r="C854" s="19"/>
      <c r="D854" s="18"/>
      <c r="E854" s="20"/>
      <c r="F854" s="23"/>
      <c r="G854" s="23"/>
      <c r="H854" s="18"/>
      <c r="I854" s="18"/>
      <c r="J854" s="24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" customHeight="1" x14ac:dyDescent="0.35">
      <c r="A855" s="52"/>
      <c r="B855" s="52"/>
      <c r="C855" s="19"/>
      <c r="D855" s="18"/>
      <c r="E855" s="20"/>
      <c r="F855" s="23"/>
      <c r="G855" s="23"/>
      <c r="H855" s="18"/>
      <c r="I855" s="18"/>
      <c r="J855" s="24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" customHeight="1" x14ac:dyDescent="0.35">
      <c r="A856" s="52"/>
      <c r="B856" s="52"/>
      <c r="C856" s="19"/>
      <c r="D856" s="18"/>
      <c r="E856" s="20"/>
      <c r="F856" s="23"/>
      <c r="G856" s="23"/>
      <c r="H856" s="18"/>
      <c r="I856" s="18"/>
      <c r="J856" s="24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" customHeight="1" x14ac:dyDescent="0.35">
      <c r="A857" s="52"/>
      <c r="B857" s="52"/>
      <c r="C857" s="19"/>
      <c r="D857" s="18"/>
      <c r="E857" s="20"/>
      <c r="F857" s="23"/>
      <c r="G857" s="23"/>
      <c r="H857" s="18"/>
      <c r="I857" s="18"/>
      <c r="J857" s="24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" customHeight="1" x14ac:dyDescent="0.35">
      <c r="A858" s="52"/>
      <c r="B858" s="52"/>
      <c r="C858" s="19"/>
      <c r="D858" s="18"/>
      <c r="E858" s="20"/>
      <c r="F858" s="23"/>
      <c r="G858" s="23"/>
      <c r="H858" s="18"/>
      <c r="I858" s="18"/>
      <c r="J858" s="24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" customHeight="1" x14ac:dyDescent="0.35">
      <c r="A859" s="52"/>
      <c r="B859" s="52"/>
      <c r="C859" s="19"/>
      <c r="D859" s="18"/>
      <c r="E859" s="20"/>
      <c r="F859" s="23"/>
      <c r="G859" s="23"/>
      <c r="H859" s="18"/>
      <c r="I859" s="18"/>
      <c r="J859" s="24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" customHeight="1" x14ac:dyDescent="0.35">
      <c r="A860" s="52"/>
      <c r="B860" s="52"/>
      <c r="C860" s="19"/>
      <c r="D860" s="18"/>
      <c r="E860" s="20"/>
      <c r="F860" s="23"/>
      <c r="G860" s="23"/>
      <c r="H860" s="18"/>
      <c r="I860" s="18"/>
      <c r="J860" s="24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" customHeight="1" x14ac:dyDescent="0.35">
      <c r="A861" s="52"/>
      <c r="B861" s="52"/>
      <c r="C861" s="19"/>
      <c r="D861" s="18"/>
      <c r="E861" s="20"/>
      <c r="F861" s="23"/>
      <c r="G861" s="23"/>
      <c r="H861" s="18"/>
      <c r="I861" s="18"/>
      <c r="J861" s="24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" customHeight="1" x14ac:dyDescent="0.35">
      <c r="A862" s="52"/>
      <c r="B862" s="52"/>
      <c r="C862" s="19"/>
      <c r="D862" s="18"/>
      <c r="E862" s="20"/>
      <c r="F862" s="23"/>
      <c r="G862" s="23"/>
      <c r="H862" s="18"/>
      <c r="I862" s="18"/>
      <c r="J862" s="24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" customHeight="1" x14ac:dyDescent="0.35">
      <c r="A863" s="52"/>
      <c r="B863" s="52"/>
      <c r="C863" s="19"/>
      <c r="D863" s="18"/>
      <c r="E863" s="20"/>
      <c r="F863" s="23"/>
      <c r="G863" s="23"/>
      <c r="H863" s="18"/>
      <c r="I863" s="18"/>
      <c r="J863" s="24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" customHeight="1" x14ac:dyDescent="0.35">
      <c r="A864" s="52"/>
      <c r="B864" s="52"/>
      <c r="C864" s="19"/>
      <c r="D864" s="18"/>
      <c r="E864" s="20"/>
      <c r="F864" s="23"/>
      <c r="G864" s="23"/>
      <c r="H864" s="18"/>
      <c r="I864" s="18"/>
      <c r="J864" s="24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" customHeight="1" x14ac:dyDescent="0.35">
      <c r="A865" s="52"/>
      <c r="B865" s="52"/>
      <c r="C865" s="19"/>
      <c r="D865" s="18"/>
      <c r="E865" s="20"/>
      <c r="F865" s="23"/>
      <c r="G865" s="23"/>
      <c r="H865" s="18"/>
      <c r="I865" s="18"/>
      <c r="J865" s="24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" customHeight="1" x14ac:dyDescent="0.35">
      <c r="A866" s="52"/>
      <c r="B866" s="52"/>
      <c r="C866" s="19"/>
      <c r="D866" s="18"/>
      <c r="E866" s="20"/>
      <c r="F866" s="23"/>
      <c r="G866" s="23"/>
      <c r="H866" s="18"/>
      <c r="I866" s="18"/>
      <c r="J866" s="24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" customHeight="1" x14ac:dyDescent="0.35">
      <c r="A867" s="52"/>
      <c r="B867" s="52"/>
      <c r="C867" s="19"/>
      <c r="D867" s="18"/>
      <c r="E867" s="20"/>
      <c r="F867" s="23"/>
      <c r="G867" s="23"/>
      <c r="H867" s="18"/>
      <c r="I867" s="18"/>
      <c r="J867" s="24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" customHeight="1" x14ac:dyDescent="0.35">
      <c r="A868" s="52"/>
      <c r="B868" s="52"/>
      <c r="C868" s="19"/>
      <c r="D868" s="18"/>
      <c r="E868" s="20"/>
      <c r="F868" s="23"/>
      <c r="G868" s="23"/>
      <c r="H868" s="18"/>
      <c r="I868" s="18"/>
      <c r="J868" s="24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" customHeight="1" x14ac:dyDescent="0.35">
      <c r="A869" s="52"/>
      <c r="B869" s="52"/>
      <c r="C869" s="19"/>
      <c r="D869" s="18"/>
      <c r="E869" s="20"/>
      <c r="F869" s="23"/>
      <c r="G869" s="23"/>
      <c r="H869" s="18"/>
      <c r="I869" s="18"/>
      <c r="J869" s="24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" customHeight="1" x14ac:dyDescent="0.35">
      <c r="A870" s="52"/>
      <c r="B870" s="52"/>
      <c r="C870" s="19"/>
      <c r="D870" s="18"/>
      <c r="E870" s="20"/>
      <c r="F870" s="23"/>
      <c r="G870" s="23"/>
      <c r="H870" s="18"/>
      <c r="I870" s="18"/>
      <c r="J870" s="24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" customHeight="1" x14ac:dyDescent="0.35">
      <c r="A871" s="52"/>
      <c r="B871" s="52"/>
      <c r="C871" s="19"/>
      <c r="D871" s="18"/>
      <c r="E871" s="20"/>
      <c r="F871" s="23"/>
      <c r="G871" s="23"/>
      <c r="H871" s="18"/>
      <c r="I871" s="18"/>
      <c r="J871" s="24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" customHeight="1" x14ac:dyDescent="0.35">
      <c r="A872" s="52"/>
      <c r="B872" s="52"/>
      <c r="C872" s="19"/>
      <c r="D872" s="18"/>
      <c r="E872" s="20"/>
      <c r="F872" s="23"/>
      <c r="G872" s="23"/>
      <c r="H872" s="18"/>
      <c r="I872" s="18"/>
      <c r="J872" s="24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" customHeight="1" x14ac:dyDescent="0.35">
      <c r="A873" s="52"/>
      <c r="B873" s="52"/>
      <c r="C873" s="19"/>
      <c r="D873" s="18"/>
      <c r="E873" s="20"/>
      <c r="F873" s="23"/>
      <c r="G873" s="23"/>
      <c r="H873" s="18"/>
      <c r="I873" s="18"/>
      <c r="J873" s="24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" customHeight="1" x14ac:dyDescent="0.35">
      <c r="A874" s="52"/>
      <c r="B874" s="52"/>
      <c r="C874" s="19"/>
      <c r="D874" s="18"/>
      <c r="E874" s="20"/>
      <c r="F874" s="23"/>
      <c r="G874" s="23"/>
      <c r="H874" s="18"/>
      <c r="I874" s="18"/>
      <c r="J874" s="24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" customHeight="1" x14ac:dyDescent="0.35">
      <c r="A875" s="52"/>
      <c r="B875" s="52"/>
      <c r="C875" s="19"/>
      <c r="D875" s="18"/>
      <c r="E875" s="20"/>
      <c r="F875" s="23"/>
      <c r="G875" s="23"/>
      <c r="H875" s="18"/>
      <c r="I875" s="18"/>
      <c r="J875" s="24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" customHeight="1" x14ac:dyDescent="0.35">
      <c r="A876" s="52"/>
      <c r="B876" s="52"/>
      <c r="C876" s="19"/>
      <c r="D876" s="18"/>
      <c r="E876" s="20"/>
      <c r="F876" s="23"/>
      <c r="G876" s="23"/>
      <c r="H876" s="18"/>
      <c r="I876" s="18"/>
      <c r="J876" s="24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" customHeight="1" x14ac:dyDescent="0.35">
      <c r="A877" s="52"/>
      <c r="B877" s="52"/>
      <c r="C877" s="19"/>
      <c r="D877" s="18"/>
      <c r="E877" s="20"/>
      <c r="F877" s="23"/>
      <c r="G877" s="23"/>
      <c r="H877" s="18"/>
      <c r="I877" s="18"/>
      <c r="J877" s="24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" customHeight="1" x14ac:dyDescent="0.35">
      <c r="A878" s="52"/>
      <c r="B878" s="52"/>
      <c r="C878" s="19"/>
      <c r="D878" s="18"/>
      <c r="E878" s="20"/>
      <c r="F878" s="23"/>
      <c r="G878" s="23"/>
      <c r="H878" s="18"/>
      <c r="I878" s="18"/>
      <c r="J878" s="24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" customHeight="1" x14ac:dyDescent="0.35">
      <c r="A879" s="52"/>
      <c r="B879" s="52"/>
      <c r="C879" s="19"/>
      <c r="D879" s="18"/>
      <c r="E879" s="20"/>
      <c r="F879" s="23"/>
      <c r="G879" s="23"/>
      <c r="H879" s="18"/>
      <c r="I879" s="18"/>
      <c r="J879" s="24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" customHeight="1" x14ac:dyDescent="0.35">
      <c r="A880" s="52"/>
      <c r="B880" s="52"/>
      <c r="C880" s="19"/>
      <c r="D880" s="18"/>
      <c r="E880" s="20"/>
      <c r="F880" s="23"/>
      <c r="G880" s="23"/>
      <c r="H880" s="18"/>
      <c r="I880" s="18"/>
      <c r="J880" s="24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" customHeight="1" x14ac:dyDescent="0.35">
      <c r="A881" s="52"/>
      <c r="B881" s="52"/>
      <c r="C881" s="19"/>
      <c r="D881" s="18"/>
      <c r="E881" s="20"/>
      <c r="F881" s="23"/>
      <c r="G881" s="23"/>
      <c r="H881" s="18"/>
      <c r="I881" s="18"/>
      <c r="J881" s="24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" customHeight="1" x14ac:dyDescent="0.35">
      <c r="A882" s="52"/>
      <c r="B882" s="52"/>
      <c r="C882" s="19"/>
      <c r="D882" s="18"/>
      <c r="E882" s="20"/>
      <c r="F882" s="23"/>
      <c r="G882" s="23"/>
      <c r="H882" s="18"/>
      <c r="I882" s="18"/>
      <c r="J882" s="24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" customHeight="1" x14ac:dyDescent="0.35">
      <c r="A883" s="52"/>
      <c r="B883" s="52"/>
      <c r="C883" s="19"/>
      <c r="D883" s="18"/>
      <c r="E883" s="20"/>
      <c r="F883" s="23"/>
      <c r="G883" s="23"/>
      <c r="H883" s="18"/>
      <c r="I883" s="18"/>
      <c r="J883" s="24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" customHeight="1" x14ac:dyDescent="0.35">
      <c r="A884" s="52"/>
      <c r="B884" s="52"/>
      <c r="C884" s="19"/>
      <c r="D884" s="18"/>
      <c r="E884" s="20"/>
      <c r="F884" s="23"/>
      <c r="G884" s="23"/>
      <c r="H884" s="18"/>
      <c r="I884" s="18"/>
      <c r="J884" s="24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" customHeight="1" x14ac:dyDescent="0.35">
      <c r="A885" s="52"/>
      <c r="B885" s="52"/>
      <c r="C885" s="19"/>
      <c r="D885" s="18"/>
      <c r="E885" s="20"/>
      <c r="F885" s="23"/>
      <c r="G885" s="23"/>
      <c r="H885" s="18"/>
      <c r="I885" s="18"/>
      <c r="J885" s="24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" customHeight="1" x14ac:dyDescent="0.35">
      <c r="A886" s="52"/>
      <c r="B886" s="52"/>
      <c r="C886" s="19"/>
      <c r="D886" s="18"/>
      <c r="E886" s="20"/>
      <c r="F886" s="23"/>
      <c r="G886" s="23"/>
      <c r="H886" s="18"/>
      <c r="I886" s="18"/>
      <c r="J886" s="24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" customHeight="1" x14ac:dyDescent="0.35">
      <c r="A887" s="52"/>
      <c r="B887" s="52"/>
      <c r="C887" s="19"/>
      <c r="D887" s="18"/>
      <c r="E887" s="20"/>
      <c r="F887" s="23"/>
      <c r="G887" s="23"/>
      <c r="H887" s="18"/>
      <c r="I887" s="18"/>
      <c r="J887" s="24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" customHeight="1" x14ac:dyDescent="0.35">
      <c r="A888" s="52"/>
      <c r="B888" s="52"/>
      <c r="C888" s="19"/>
      <c r="D888" s="18"/>
      <c r="E888" s="20"/>
      <c r="F888" s="23"/>
      <c r="G888" s="23"/>
      <c r="H888" s="18"/>
      <c r="I888" s="18"/>
      <c r="J888" s="24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" customHeight="1" x14ac:dyDescent="0.35">
      <c r="A889" s="52"/>
      <c r="B889" s="52"/>
      <c r="C889" s="19"/>
      <c r="D889" s="18"/>
      <c r="E889" s="20"/>
      <c r="F889" s="23"/>
      <c r="G889" s="23"/>
      <c r="H889" s="18"/>
      <c r="I889" s="18"/>
      <c r="J889" s="24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" customHeight="1" x14ac:dyDescent="0.35">
      <c r="A890" s="52"/>
      <c r="B890" s="52"/>
      <c r="C890" s="19"/>
      <c r="D890" s="18"/>
      <c r="E890" s="20"/>
      <c r="F890" s="23"/>
      <c r="G890" s="23"/>
      <c r="H890" s="18"/>
      <c r="I890" s="18"/>
      <c r="J890" s="24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" customHeight="1" x14ac:dyDescent="0.35">
      <c r="A891" s="52"/>
      <c r="B891" s="52"/>
      <c r="C891" s="19"/>
      <c r="D891" s="18"/>
      <c r="E891" s="20"/>
      <c r="F891" s="23"/>
      <c r="G891" s="23"/>
      <c r="H891" s="18"/>
      <c r="I891" s="18"/>
      <c r="J891" s="24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" customHeight="1" x14ac:dyDescent="0.35">
      <c r="A892" s="52"/>
      <c r="B892" s="52"/>
      <c r="C892" s="19"/>
      <c r="D892" s="18"/>
      <c r="E892" s="20"/>
      <c r="F892" s="23"/>
      <c r="G892" s="23"/>
      <c r="H892" s="18"/>
      <c r="I892" s="18"/>
      <c r="J892" s="24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" customHeight="1" x14ac:dyDescent="0.35">
      <c r="A893" s="52"/>
      <c r="B893" s="52"/>
      <c r="C893" s="19"/>
      <c r="D893" s="18"/>
      <c r="E893" s="20"/>
      <c r="F893" s="23"/>
      <c r="G893" s="23"/>
      <c r="H893" s="18"/>
      <c r="I893" s="18"/>
      <c r="J893" s="24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" customHeight="1" x14ac:dyDescent="0.35">
      <c r="A894" s="52"/>
      <c r="B894" s="52"/>
      <c r="C894" s="19"/>
      <c r="D894" s="18"/>
      <c r="E894" s="20"/>
      <c r="F894" s="23"/>
      <c r="G894" s="23"/>
      <c r="H894" s="18"/>
      <c r="I894" s="18"/>
      <c r="J894" s="24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" customHeight="1" x14ac:dyDescent="0.35">
      <c r="A895" s="52"/>
      <c r="B895" s="52"/>
      <c r="C895" s="19"/>
      <c r="D895" s="18"/>
      <c r="E895" s="20"/>
      <c r="F895" s="23"/>
      <c r="G895" s="23"/>
      <c r="H895" s="18"/>
      <c r="I895" s="18"/>
      <c r="J895" s="24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" customHeight="1" x14ac:dyDescent="0.35">
      <c r="A896" s="52"/>
      <c r="B896" s="52"/>
      <c r="C896" s="19"/>
      <c r="D896" s="18"/>
      <c r="E896" s="20"/>
      <c r="F896" s="23"/>
      <c r="G896" s="23"/>
      <c r="H896" s="18"/>
      <c r="I896" s="18"/>
      <c r="J896" s="24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" customHeight="1" x14ac:dyDescent="0.35">
      <c r="A897" s="52"/>
      <c r="B897" s="52"/>
      <c r="C897" s="19"/>
      <c r="D897" s="18"/>
      <c r="E897" s="20"/>
      <c r="F897" s="23"/>
      <c r="G897" s="23"/>
      <c r="H897" s="18"/>
      <c r="I897" s="18"/>
      <c r="J897" s="24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" customHeight="1" x14ac:dyDescent="0.35">
      <c r="A898" s="52"/>
      <c r="B898" s="52"/>
      <c r="C898" s="19"/>
      <c r="D898" s="18"/>
      <c r="E898" s="20"/>
      <c r="F898" s="23"/>
      <c r="G898" s="23"/>
      <c r="H898" s="18"/>
      <c r="I898" s="18"/>
      <c r="J898" s="24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" customHeight="1" x14ac:dyDescent="0.35">
      <c r="A899" s="52"/>
      <c r="B899" s="52"/>
      <c r="C899" s="19"/>
      <c r="D899" s="18"/>
      <c r="E899" s="20"/>
      <c r="F899" s="23"/>
      <c r="G899" s="23"/>
      <c r="H899" s="18"/>
      <c r="I899" s="18"/>
      <c r="J899" s="24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" customHeight="1" x14ac:dyDescent="0.35">
      <c r="A900" s="52"/>
      <c r="B900" s="52"/>
      <c r="C900" s="19"/>
      <c r="D900" s="18"/>
      <c r="E900" s="20"/>
      <c r="F900" s="23"/>
      <c r="G900" s="23"/>
      <c r="H900" s="18"/>
      <c r="I900" s="18"/>
      <c r="J900" s="24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" customHeight="1" x14ac:dyDescent="0.35">
      <c r="A901" s="52"/>
      <c r="B901" s="52"/>
      <c r="C901" s="19"/>
      <c r="D901" s="18"/>
      <c r="E901" s="20"/>
      <c r="F901" s="23"/>
      <c r="G901" s="23"/>
      <c r="H901" s="18"/>
      <c r="I901" s="18"/>
      <c r="J901" s="24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" customHeight="1" x14ac:dyDescent="0.35">
      <c r="A902" s="52"/>
      <c r="B902" s="52"/>
      <c r="C902" s="19"/>
      <c r="D902" s="18"/>
      <c r="E902" s="20"/>
      <c r="F902" s="23"/>
      <c r="G902" s="23"/>
      <c r="H902" s="18"/>
      <c r="I902" s="18"/>
      <c r="J902" s="24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" customHeight="1" x14ac:dyDescent="0.35">
      <c r="A903" s="52"/>
      <c r="B903" s="52"/>
      <c r="C903" s="19"/>
      <c r="D903" s="18"/>
      <c r="E903" s="20"/>
      <c r="F903" s="23"/>
      <c r="G903" s="23"/>
      <c r="H903" s="18"/>
      <c r="I903" s="18"/>
      <c r="J903" s="24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" customHeight="1" x14ac:dyDescent="0.35">
      <c r="A904" s="52"/>
      <c r="B904" s="52"/>
      <c r="C904" s="19"/>
      <c r="D904" s="18"/>
      <c r="E904" s="20"/>
      <c r="F904" s="23"/>
      <c r="G904" s="23"/>
      <c r="H904" s="18"/>
      <c r="I904" s="18"/>
      <c r="J904" s="24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" customHeight="1" x14ac:dyDescent="0.35">
      <c r="A905" s="52"/>
      <c r="B905" s="52"/>
      <c r="C905" s="19"/>
      <c r="D905" s="18"/>
      <c r="E905" s="20"/>
      <c r="F905" s="23"/>
      <c r="G905" s="23"/>
      <c r="H905" s="18"/>
      <c r="I905" s="18"/>
      <c r="J905" s="24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" customHeight="1" x14ac:dyDescent="0.35">
      <c r="A906" s="52"/>
      <c r="B906" s="52"/>
      <c r="C906" s="19"/>
      <c r="D906" s="18"/>
      <c r="E906" s="20"/>
      <c r="F906" s="23"/>
      <c r="G906" s="23"/>
      <c r="H906" s="18"/>
      <c r="I906" s="18"/>
      <c r="J906" s="24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" customHeight="1" x14ac:dyDescent="0.35">
      <c r="A907" s="52"/>
      <c r="B907" s="52"/>
      <c r="C907" s="19"/>
      <c r="D907" s="18"/>
      <c r="E907" s="20"/>
      <c r="F907" s="23"/>
      <c r="G907" s="23"/>
      <c r="H907" s="18"/>
      <c r="I907" s="18"/>
      <c r="J907" s="24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" customHeight="1" x14ac:dyDescent="0.35">
      <c r="A908" s="52"/>
      <c r="B908" s="52"/>
      <c r="C908" s="19"/>
      <c r="D908" s="18"/>
      <c r="E908" s="20"/>
      <c r="F908" s="23"/>
      <c r="G908" s="23"/>
      <c r="H908" s="18"/>
      <c r="I908" s="18"/>
      <c r="J908" s="24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" customHeight="1" x14ac:dyDescent="0.35">
      <c r="A909" s="52"/>
      <c r="B909" s="52"/>
      <c r="C909" s="19"/>
      <c r="D909" s="18"/>
      <c r="E909" s="20"/>
      <c r="F909" s="23"/>
      <c r="G909" s="23"/>
      <c r="H909" s="18"/>
      <c r="I909" s="18"/>
      <c r="J909" s="24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" customHeight="1" x14ac:dyDescent="0.35">
      <c r="A910" s="52"/>
      <c r="B910" s="52"/>
      <c r="C910" s="19"/>
      <c r="D910" s="18"/>
      <c r="E910" s="20"/>
      <c r="F910" s="23"/>
      <c r="G910" s="23"/>
      <c r="H910" s="18"/>
      <c r="I910" s="18"/>
      <c r="J910" s="24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" customHeight="1" x14ac:dyDescent="0.35">
      <c r="A911" s="52"/>
      <c r="B911" s="52"/>
      <c r="C911" s="19"/>
      <c r="D911" s="18"/>
      <c r="E911" s="20"/>
      <c r="F911" s="23"/>
      <c r="G911" s="23"/>
      <c r="H911" s="18"/>
      <c r="I911" s="18"/>
      <c r="J911" s="24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" customHeight="1" x14ac:dyDescent="0.35">
      <c r="A912" s="52"/>
      <c r="B912" s="52"/>
      <c r="C912" s="19"/>
      <c r="D912" s="18"/>
      <c r="E912" s="20"/>
      <c r="F912" s="23"/>
      <c r="G912" s="23"/>
      <c r="H912" s="18"/>
      <c r="I912" s="18"/>
      <c r="J912" s="24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" customHeight="1" x14ac:dyDescent="0.35">
      <c r="A913" s="52"/>
      <c r="B913" s="52"/>
      <c r="C913" s="19"/>
      <c r="D913" s="18"/>
      <c r="E913" s="20"/>
      <c r="F913" s="23"/>
      <c r="G913" s="23"/>
      <c r="H913" s="18"/>
      <c r="I913" s="18"/>
      <c r="J913" s="24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" customHeight="1" x14ac:dyDescent="0.35">
      <c r="A914" s="52"/>
      <c r="B914" s="52"/>
      <c r="C914" s="19"/>
      <c r="D914" s="18"/>
      <c r="E914" s="20"/>
      <c r="F914" s="23"/>
      <c r="G914" s="23"/>
      <c r="H914" s="18"/>
      <c r="I914" s="18"/>
      <c r="J914" s="24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" customHeight="1" x14ac:dyDescent="0.35">
      <c r="A915" s="52"/>
      <c r="B915" s="52"/>
      <c r="C915" s="19"/>
      <c r="D915" s="18"/>
      <c r="E915" s="20"/>
      <c r="F915" s="23"/>
      <c r="G915" s="23"/>
      <c r="H915" s="18"/>
      <c r="I915" s="18"/>
      <c r="J915" s="24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" customHeight="1" x14ac:dyDescent="0.35">
      <c r="A916" s="52"/>
      <c r="B916" s="52"/>
      <c r="C916" s="19"/>
      <c r="D916" s="18"/>
      <c r="E916" s="20"/>
      <c r="F916" s="23"/>
      <c r="G916" s="23"/>
      <c r="H916" s="18"/>
      <c r="I916" s="18"/>
      <c r="J916" s="24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" customHeight="1" x14ac:dyDescent="0.35">
      <c r="A917" s="52"/>
      <c r="B917" s="52"/>
      <c r="C917" s="19"/>
      <c r="D917" s="18"/>
      <c r="E917" s="20"/>
      <c r="F917" s="23"/>
      <c r="G917" s="23"/>
      <c r="H917" s="18"/>
      <c r="I917" s="18"/>
      <c r="J917" s="24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" customHeight="1" x14ac:dyDescent="0.35">
      <c r="A918" s="52"/>
      <c r="B918" s="52"/>
      <c r="C918" s="19"/>
      <c r="D918" s="18"/>
      <c r="E918" s="20"/>
      <c r="F918" s="23"/>
      <c r="G918" s="23"/>
      <c r="H918" s="18"/>
      <c r="I918" s="18"/>
      <c r="J918" s="24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" customHeight="1" x14ac:dyDescent="0.35">
      <c r="A919" s="52"/>
      <c r="B919" s="52"/>
      <c r="C919" s="19"/>
      <c r="D919" s="18"/>
      <c r="E919" s="20"/>
      <c r="F919" s="23"/>
      <c r="G919" s="23"/>
      <c r="H919" s="18"/>
      <c r="I919" s="18"/>
      <c r="J919" s="24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" customHeight="1" x14ac:dyDescent="0.35">
      <c r="A920" s="52"/>
      <c r="B920" s="52"/>
      <c r="C920" s="19"/>
      <c r="D920" s="18"/>
      <c r="E920" s="20"/>
      <c r="F920" s="23"/>
      <c r="G920" s="23"/>
      <c r="H920" s="18"/>
      <c r="I920" s="18"/>
      <c r="J920" s="24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" customHeight="1" x14ac:dyDescent="0.35">
      <c r="A921" s="52"/>
      <c r="B921" s="52"/>
      <c r="C921" s="19"/>
      <c r="D921" s="18"/>
      <c r="E921" s="20"/>
      <c r="F921" s="23"/>
      <c r="G921" s="23"/>
      <c r="H921" s="18"/>
      <c r="I921" s="18"/>
      <c r="J921" s="24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" customHeight="1" x14ac:dyDescent="0.35">
      <c r="A922" s="52"/>
      <c r="B922" s="52"/>
      <c r="C922" s="19"/>
      <c r="D922" s="18"/>
      <c r="E922" s="20"/>
      <c r="F922" s="23"/>
      <c r="G922" s="23"/>
      <c r="H922" s="18"/>
      <c r="I922" s="18"/>
      <c r="J922" s="24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" customHeight="1" x14ac:dyDescent="0.35">
      <c r="A923" s="52"/>
      <c r="B923" s="52"/>
      <c r="C923" s="19"/>
      <c r="D923" s="18"/>
      <c r="E923" s="20"/>
      <c r="F923" s="23"/>
      <c r="G923" s="23"/>
      <c r="H923" s="18"/>
      <c r="I923" s="18"/>
      <c r="J923" s="24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" customHeight="1" x14ac:dyDescent="0.35">
      <c r="A924" s="52"/>
      <c r="B924" s="52"/>
      <c r="C924" s="19"/>
      <c r="D924" s="18"/>
      <c r="E924" s="20"/>
      <c r="F924" s="23"/>
      <c r="G924" s="23"/>
      <c r="H924" s="18"/>
      <c r="I924" s="18"/>
      <c r="J924" s="24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" customHeight="1" x14ac:dyDescent="0.35">
      <c r="A925" s="52"/>
      <c r="B925" s="52"/>
      <c r="C925" s="19"/>
      <c r="D925" s="18"/>
      <c r="E925" s="20"/>
      <c r="F925" s="23"/>
      <c r="G925" s="23"/>
      <c r="H925" s="18"/>
      <c r="I925" s="18"/>
      <c r="J925" s="24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" customHeight="1" x14ac:dyDescent="0.35">
      <c r="A926" s="52"/>
      <c r="B926" s="52"/>
      <c r="C926" s="19"/>
      <c r="D926" s="18"/>
      <c r="E926" s="20"/>
      <c r="F926" s="23"/>
      <c r="G926" s="23"/>
      <c r="H926" s="18"/>
      <c r="I926" s="18"/>
      <c r="J926" s="24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" customHeight="1" x14ac:dyDescent="0.35">
      <c r="A927" s="52"/>
      <c r="B927" s="52"/>
      <c r="C927" s="19"/>
      <c r="D927" s="18"/>
      <c r="E927" s="20"/>
      <c r="F927" s="23"/>
      <c r="G927" s="23"/>
      <c r="H927" s="18"/>
      <c r="I927" s="18"/>
      <c r="J927" s="24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" customHeight="1" x14ac:dyDescent="0.35">
      <c r="A928" s="52"/>
      <c r="B928" s="52"/>
      <c r="C928" s="19"/>
      <c r="D928" s="18"/>
      <c r="E928" s="20"/>
      <c r="F928" s="23"/>
      <c r="G928" s="23"/>
      <c r="H928" s="18"/>
      <c r="I928" s="18"/>
      <c r="J928" s="24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" customHeight="1" x14ac:dyDescent="0.35">
      <c r="A929" s="52"/>
      <c r="B929" s="52"/>
      <c r="C929" s="19"/>
      <c r="D929" s="18"/>
      <c r="E929" s="20"/>
      <c r="F929" s="23"/>
      <c r="G929" s="23"/>
      <c r="H929" s="18"/>
      <c r="I929" s="18"/>
      <c r="J929" s="24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" customHeight="1" x14ac:dyDescent="0.35">
      <c r="A930" s="52"/>
      <c r="B930" s="52"/>
      <c r="C930" s="19"/>
      <c r="D930" s="18"/>
      <c r="E930" s="20"/>
      <c r="F930" s="23"/>
      <c r="G930" s="23"/>
      <c r="H930" s="18"/>
      <c r="I930" s="18"/>
      <c r="J930" s="24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" customHeight="1" x14ac:dyDescent="0.35">
      <c r="A931" s="52"/>
      <c r="B931" s="52"/>
      <c r="C931" s="19"/>
      <c r="D931" s="18"/>
      <c r="E931" s="20"/>
      <c r="F931" s="23"/>
      <c r="G931" s="23"/>
      <c r="H931" s="18"/>
      <c r="I931" s="18"/>
      <c r="J931" s="24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" customHeight="1" x14ac:dyDescent="0.35">
      <c r="A932" s="52"/>
      <c r="B932" s="52"/>
      <c r="C932" s="19"/>
      <c r="D932" s="18"/>
      <c r="E932" s="20"/>
      <c r="F932" s="23"/>
      <c r="G932" s="23"/>
      <c r="H932" s="18"/>
      <c r="I932" s="18"/>
      <c r="J932" s="24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" customHeight="1" x14ac:dyDescent="0.35">
      <c r="A933" s="52"/>
      <c r="B933" s="52"/>
      <c r="C933" s="19"/>
      <c r="D933" s="18"/>
      <c r="E933" s="20"/>
      <c r="F933" s="23"/>
      <c r="G933" s="23"/>
      <c r="H933" s="18"/>
      <c r="I933" s="18"/>
      <c r="J933" s="24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" customHeight="1" x14ac:dyDescent="0.35">
      <c r="A934" s="52"/>
      <c r="B934" s="52"/>
      <c r="C934" s="19"/>
      <c r="D934" s="18"/>
      <c r="E934" s="20"/>
      <c r="F934" s="23"/>
      <c r="G934" s="23"/>
      <c r="H934" s="18"/>
      <c r="I934" s="18"/>
      <c r="J934" s="24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" customHeight="1" x14ac:dyDescent="0.35">
      <c r="A935" s="52"/>
      <c r="B935" s="52"/>
      <c r="C935" s="19"/>
      <c r="D935" s="18"/>
      <c r="E935" s="20"/>
      <c r="F935" s="23"/>
      <c r="G935" s="23"/>
      <c r="H935" s="18"/>
      <c r="I935" s="18"/>
      <c r="J935" s="24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" customHeight="1" x14ac:dyDescent="0.35">
      <c r="A936" s="52"/>
      <c r="B936" s="52"/>
      <c r="C936" s="19"/>
      <c r="D936" s="18"/>
      <c r="E936" s="20"/>
      <c r="F936" s="23"/>
      <c r="G936" s="23"/>
      <c r="H936" s="18"/>
      <c r="I936" s="18"/>
      <c r="J936" s="24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" customHeight="1" x14ac:dyDescent="0.35">
      <c r="A937" s="52"/>
      <c r="B937" s="52"/>
      <c r="C937" s="19"/>
      <c r="D937" s="18"/>
      <c r="E937" s="20"/>
      <c r="F937" s="23"/>
      <c r="G937" s="23"/>
      <c r="H937" s="18"/>
      <c r="I937" s="18"/>
      <c r="J937" s="24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" customHeight="1" x14ac:dyDescent="0.35">
      <c r="A938" s="52"/>
      <c r="B938" s="52"/>
      <c r="C938" s="19"/>
      <c r="D938" s="18"/>
      <c r="E938" s="20"/>
      <c r="F938" s="23"/>
      <c r="G938" s="23"/>
      <c r="H938" s="18"/>
      <c r="I938" s="18"/>
      <c r="J938" s="24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" customHeight="1" x14ac:dyDescent="0.35">
      <c r="A939" s="52"/>
      <c r="B939" s="52"/>
      <c r="C939" s="19"/>
      <c r="D939" s="18"/>
      <c r="E939" s="20"/>
      <c r="F939" s="23"/>
      <c r="G939" s="23"/>
      <c r="H939" s="18"/>
      <c r="I939" s="18"/>
      <c r="J939" s="24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" customHeight="1" x14ac:dyDescent="0.35">
      <c r="A940" s="52"/>
      <c r="B940" s="52"/>
      <c r="C940" s="19"/>
      <c r="D940" s="18"/>
      <c r="E940" s="20"/>
      <c r="F940" s="23"/>
      <c r="G940" s="23"/>
      <c r="H940" s="18"/>
      <c r="I940" s="18"/>
      <c r="J940" s="24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" customHeight="1" x14ac:dyDescent="0.35">
      <c r="A941" s="52"/>
      <c r="B941" s="52"/>
      <c r="C941" s="19"/>
      <c r="D941" s="18"/>
      <c r="E941" s="20"/>
      <c r="F941" s="23"/>
      <c r="G941" s="23"/>
      <c r="H941" s="18"/>
      <c r="I941" s="18"/>
      <c r="J941" s="24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" customHeight="1" x14ac:dyDescent="0.35">
      <c r="A942" s="52"/>
      <c r="B942" s="52"/>
      <c r="C942" s="19"/>
      <c r="D942" s="18"/>
      <c r="E942" s="20"/>
      <c r="F942" s="23"/>
      <c r="G942" s="23"/>
      <c r="H942" s="18"/>
      <c r="I942" s="18"/>
      <c r="J942" s="24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" customHeight="1" x14ac:dyDescent="0.35">
      <c r="A943" s="52"/>
      <c r="B943" s="52"/>
      <c r="C943" s="19"/>
      <c r="D943" s="18"/>
      <c r="E943" s="20"/>
      <c r="F943" s="23"/>
      <c r="G943" s="23"/>
      <c r="H943" s="18"/>
      <c r="I943" s="18"/>
      <c r="J943" s="24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" customHeight="1" x14ac:dyDescent="0.35">
      <c r="A944" s="52"/>
      <c r="B944" s="52"/>
      <c r="C944" s="19"/>
      <c r="D944" s="18"/>
      <c r="E944" s="20"/>
      <c r="F944" s="23"/>
      <c r="G944" s="23"/>
      <c r="H944" s="18"/>
      <c r="I944" s="18"/>
      <c r="J944" s="24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" customHeight="1" x14ac:dyDescent="0.35">
      <c r="A945" s="52"/>
      <c r="B945" s="52"/>
      <c r="C945" s="19"/>
      <c r="D945" s="18"/>
      <c r="E945" s="20"/>
      <c r="F945" s="23"/>
      <c r="G945" s="23"/>
      <c r="H945" s="18"/>
      <c r="I945" s="18"/>
      <c r="J945" s="24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" customHeight="1" x14ac:dyDescent="0.35">
      <c r="A946" s="52"/>
      <c r="B946" s="52"/>
      <c r="C946" s="19"/>
      <c r="D946" s="18"/>
      <c r="E946" s="20"/>
      <c r="F946" s="23"/>
      <c r="G946" s="23"/>
      <c r="H946" s="18"/>
      <c r="I946" s="18"/>
      <c r="J946" s="24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" customHeight="1" x14ac:dyDescent="0.35">
      <c r="A947" s="52"/>
      <c r="B947" s="52"/>
      <c r="C947" s="19"/>
      <c r="D947" s="18"/>
      <c r="E947" s="20"/>
      <c r="F947" s="23"/>
      <c r="G947" s="23"/>
      <c r="H947" s="18"/>
      <c r="I947" s="18"/>
      <c r="J947" s="24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" customHeight="1" x14ac:dyDescent="0.35">
      <c r="A948" s="52"/>
      <c r="B948" s="52"/>
      <c r="C948" s="19"/>
      <c r="D948" s="18"/>
      <c r="E948" s="20"/>
      <c r="F948" s="23"/>
      <c r="G948" s="23"/>
      <c r="H948" s="18"/>
      <c r="I948" s="18"/>
      <c r="J948" s="24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" customHeight="1" x14ac:dyDescent="0.35">
      <c r="A949" s="52"/>
      <c r="B949" s="52"/>
      <c r="C949" s="19"/>
      <c r="D949" s="18"/>
      <c r="E949" s="20"/>
      <c r="F949" s="23"/>
      <c r="G949" s="23"/>
      <c r="H949" s="18"/>
      <c r="I949" s="18"/>
      <c r="J949" s="24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" customHeight="1" x14ac:dyDescent="0.35">
      <c r="A950" s="52"/>
      <c r="B950" s="52"/>
      <c r="C950" s="19"/>
      <c r="D950" s="18"/>
      <c r="E950" s="20"/>
      <c r="F950" s="23"/>
      <c r="G950" s="23"/>
      <c r="H950" s="18"/>
      <c r="I950" s="18"/>
      <c r="J950" s="24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" customHeight="1" x14ac:dyDescent="0.35">
      <c r="A951" s="52"/>
      <c r="B951" s="52"/>
      <c r="C951" s="19"/>
      <c r="D951" s="18"/>
      <c r="E951" s="20"/>
      <c r="F951" s="23"/>
      <c r="G951" s="23"/>
      <c r="H951" s="18"/>
      <c r="I951" s="18"/>
      <c r="J951" s="24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" customHeight="1" x14ac:dyDescent="0.35">
      <c r="A952" s="52"/>
      <c r="B952" s="52"/>
      <c r="C952" s="19"/>
      <c r="D952" s="18"/>
      <c r="E952" s="20"/>
      <c r="F952" s="23"/>
      <c r="G952" s="23"/>
      <c r="H952" s="18"/>
      <c r="I952" s="18"/>
      <c r="J952" s="24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" customHeight="1" x14ac:dyDescent="0.35">
      <c r="A953" s="52"/>
      <c r="B953" s="52"/>
      <c r="C953" s="19"/>
      <c r="D953" s="18"/>
      <c r="E953" s="20"/>
      <c r="F953" s="23"/>
      <c r="G953" s="23"/>
      <c r="H953" s="18"/>
      <c r="I953" s="18"/>
      <c r="J953" s="24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" customHeight="1" x14ac:dyDescent="0.35">
      <c r="A954" s="52"/>
      <c r="B954" s="52"/>
      <c r="C954" s="19"/>
      <c r="D954" s="18"/>
      <c r="E954" s="20"/>
      <c r="F954" s="23"/>
      <c r="G954" s="23"/>
      <c r="H954" s="18"/>
      <c r="I954" s="18"/>
      <c r="J954" s="24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" customHeight="1" x14ac:dyDescent="0.35">
      <c r="A955" s="52"/>
      <c r="B955" s="52"/>
      <c r="C955" s="19"/>
      <c r="D955" s="18"/>
      <c r="E955" s="20"/>
      <c r="F955" s="23"/>
      <c r="G955" s="23"/>
      <c r="H955" s="18"/>
      <c r="I955" s="18"/>
      <c r="J955" s="24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" customHeight="1" x14ac:dyDescent="0.35">
      <c r="A956" s="52"/>
      <c r="B956" s="52"/>
      <c r="C956" s="19"/>
      <c r="D956" s="18"/>
      <c r="E956" s="20"/>
      <c r="F956" s="23"/>
      <c r="G956" s="23"/>
      <c r="H956" s="18"/>
      <c r="I956" s="18"/>
      <c r="J956" s="24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" customHeight="1" x14ac:dyDescent="0.35">
      <c r="A957" s="52"/>
      <c r="B957" s="52"/>
      <c r="C957" s="19"/>
      <c r="D957" s="18"/>
      <c r="E957" s="20"/>
      <c r="F957" s="23"/>
      <c r="G957" s="23"/>
      <c r="H957" s="18"/>
      <c r="I957" s="18"/>
      <c r="J957" s="24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" customHeight="1" x14ac:dyDescent="0.35">
      <c r="A958" s="52"/>
      <c r="B958" s="52"/>
      <c r="C958" s="19"/>
      <c r="D958" s="18"/>
      <c r="E958" s="20"/>
      <c r="F958" s="23"/>
      <c r="G958" s="23"/>
      <c r="H958" s="18"/>
      <c r="I958" s="18"/>
      <c r="J958" s="24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" customHeight="1" x14ac:dyDescent="0.35">
      <c r="A959" s="52"/>
      <c r="B959" s="52"/>
      <c r="C959" s="19"/>
      <c r="D959" s="18"/>
      <c r="E959" s="20"/>
      <c r="F959" s="23"/>
      <c r="G959" s="23"/>
      <c r="H959" s="18"/>
      <c r="I959" s="18"/>
      <c r="J959" s="24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" customHeight="1" x14ac:dyDescent="0.35">
      <c r="A960" s="52"/>
      <c r="B960" s="52"/>
      <c r="C960" s="19"/>
      <c r="D960" s="18"/>
      <c r="E960" s="20"/>
      <c r="F960" s="23"/>
      <c r="G960" s="23"/>
      <c r="H960" s="18"/>
      <c r="I960" s="18"/>
      <c r="J960" s="24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" customHeight="1" x14ac:dyDescent="0.35">
      <c r="A961" s="52"/>
      <c r="B961" s="52"/>
      <c r="C961" s="19"/>
      <c r="D961" s="18"/>
      <c r="E961" s="20"/>
      <c r="F961" s="23"/>
      <c r="G961" s="23"/>
      <c r="H961" s="18"/>
      <c r="I961" s="18"/>
      <c r="J961" s="24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" customHeight="1" x14ac:dyDescent="0.35">
      <c r="A962" s="52"/>
      <c r="B962" s="52"/>
      <c r="C962" s="19"/>
      <c r="D962" s="18"/>
      <c r="E962" s="20"/>
      <c r="F962" s="23"/>
      <c r="G962" s="23"/>
      <c r="H962" s="18"/>
      <c r="I962" s="18"/>
      <c r="J962" s="24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" customHeight="1" x14ac:dyDescent="0.35">
      <c r="A963" s="52"/>
      <c r="B963" s="52"/>
      <c r="C963" s="19"/>
      <c r="D963" s="18"/>
      <c r="E963" s="20"/>
      <c r="F963" s="23"/>
      <c r="G963" s="23"/>
      <c r="H963" s="18"/>
      <c r="I963" s="18"/>
      <c r="J963" s="24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" customHeight="1" x14ac:dyDescent="0.35">
      <c r="A964" s="52"/>
      <c r="B964" s="52"/>
      <c r="C964" s="19"/>
      <c r="D964" s="18"/>
      <c r="E964" s="20"/>
      <c r="F964" s="23"/>
      <c r="G964" s="23"/>
      <c r="H964" s="18"/>
      <c r="I964" s="18"/>
      <c r="J964" s="24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" customHeight="1" x14ac:dyDescent="0.35">
      <c r="A965" s="52"/>
      <c r="B965" s="52"/>
      <c r="C965" s="19"/>
      <c r="D965" s="18"/>
      <c r="E965" s="20"/>
      <c r="F965" s="23"/>
      <c r="G965" s="23"/>
      <c r="H965" s="18"/>
      <c r="I965" s="18"/>
      <c r="J965" s="24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" customHeight="1" x14ac:dyDescent="0.35">
      <c r="A966" s="52"/>
      <c r="B966" s="52"/>
      <c r="C966" s="19"/>
      <c r="D966" s="18"/>
      <c r="E966" s="20"/>
      <c r="F966" s="23"/>
      <c r="G966" s="23"/>
      <c r="H966" s="18"/>
      <c r="I966" s="18"/>
      <c r="J966" s="24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" customHeight="1" x14ac:dyDescent="0.35">
      <c r="A967" s="52"/>
      <c r="B967" s="52"/>
      <c r="C967" s="19"/>
      <c r="D967" s="18"/>
      <c r="E967" s="20"/>
      <c r="F967" s="23"/>
      <c r="G967" s="23"/>
      <c r="H967" s="18"/>
      <c r="I967" s="18"/>
      <c r="J967" s="24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" customHeight="1" x14ac:dyDescent="0.35">
      <c r="A968" s="52"/>
      <c r="B968" s="52"/>
      <c r="C968" s="19"/>
      <c r="D968" s="18"/>
      <c r="E968" s="20"/>
      <c r="F968" s="23"/>
      <c r="G968" s="23"/>
      <c r="H968" s="18"/>
      <c r="I968" s="18"/>
      <c r="J968" s="24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" customHeight="1" x14ac:dyDescent="0.35">
      <c r="A969" s="52"/>
      <c r="B969" s="52"/>
      <c r="C969" s="19"/>
      <c r="D969" s="18"/>
      <c r="E969" s="20"/>
      <c r="F969" s="23"/>
      <c r="G969" s="23"/>
      <c r="H969" s="18"/>
      <c r="I969" s="18"/>
      <c r="J969" s="24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" customHeight="1" x14ac:dyDescent="0.35">
      <c r="A970" s="52"/>
      <c r="B970" s="52"/>
      <c r="C970" s="19"/>
      <c r="D970" s="18"/>
      <c r="E970" s="20"/>
      <c r="F970" s="23"/>
      <c r="G970" s="23"/>
      <c r="H970" s="18"/>
      <c r="I970" s="18"/>
      <c r="J970" s="24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" customHeight="1" x14ac:dyDescent="0.35">
      <c r="A971" s="52"/>
      <c r="B971" s="52"/>
      <c r="C971" s="19"/>
      <c r="D971" s="18"/>
      <c r="E971" s="20"/>
      <c r="F971" s="23"/>
      <c r="G971" s="23"/>
      <c r="H971" s="18"/>
      <c r="I971" s="18"/>
      <c r="J971" s="24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" customHeight="1" x14ac:dyDescent="0.35">
      <c r="A972" s="52"/>
      <c r="B972" s="52"/>
      <c r="C972" s="19"/>
      <c r="D972" s="18"/>
      <c r="E972" s="20"/>
      <c r="F972" s="23"/>
      <c r="G972" s="23"/>
      <c r="H972" s="18"/>
      <c r="I972" s="18"/>
      <c r="J972" s="24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" customHeight="1" x14ac:dyDescent="0.35">
      <c r="A973" s="52"/>
      <c r="B973" s="52"/>
      <c r="C973" s="19"/>
      <c r="D973" s="18"/>
      <c r="E973" s="20"/>
      <c r="F973" s="23"/>
      <c r="G973" s="23"/>
      <c r="H973" s="18"/>
      <c r="I973" s="18"/>
      <c r="J973" s="24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" customHeight="1" x14ac:dyDescent="0.35">
      <c r="A974" s="52"/>
      <c r="B974" s="52"/>
      <c r="C974" s="19"/>
      <c r="D974" s="18"/>
      <c r="E974" s="20"/>
      <c r="F974" s="23"/>
      <c r="G974" s="23"/>
      <c r="H974" s="18"/>
      <c r="I974" s="18"/>
      <c r="J974" s="24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" customHeight="1" x14ac:dyDescent="0.35">
      <c r="A975" s="52"/>
      <c r="B975" s="52"/>
      <c r="C975" s="19"/>
      <c r="D975" s="18"/>
      <c r="E975" s="20"/>
      <c r="F975" s="23"/>
      <c r="G975" s="23"/>
      <c r="H975" s="18"/>
      <c r="I975" s="18"/>
      <c r="J975" s="24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" customHeight="1" x14ac:dyDescent="0.3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" customHeight="1" x14ac:dyDescent="0.3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" customHeight="1" x14ac:dyDescent="0.3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" customHeight="1" x14ac:dyDescent="0.3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" customHeight="1" x14ac:dyDescent="0.3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" customHeight="1" x14ac:dyDescent="0.3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" customHeight="1" x14ac:dyDescent="0.3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" customHeight="1" x14ac:dyDescent="0.3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" customHeight="1" x14ac:dyDescent="0.3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" customHeight="1" x14ac:dyDescent="0.3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" customHeight="1" x14ac:dyDescent="0.3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" customHeight="1" x14ac:dyDescent="0.3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" customHeight="1" x14ac:dyDescent="0.3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" customHeight="1" x14ac:dyDescent="0.3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" customHeight="1" x14ac:dyDescent="0.3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" customHeight="1" x14ac:dyDescent="0.3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" customHeight="1" x14ac:dyDescent="0.3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" customHeight="1" x14ac:dyDescent="0.3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" customHeight="1" x14ac:dyDescent="0.3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" customHeight="1" x14ac:dyDescent="0.3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" customHeight="1" x14ac:dyDescent="0.3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" customHeight="1" x14ac:dyDescent="0.3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" customHeight="1" x14ac:dyDescent="0.3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" customHeight="1" x14ac:dyDescent="0.3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" customHeight="1" x14ac:dyDescent="0.3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A2:J783" xr:uid="{00000000-0009-0000-0000-000005000000}">
    <sortState xmlns:xlrd2="http://schemas.microsoft.com/office/spreadsheetml/2017/richdata2" ref="A2:J783">
      <sortCondition ref="E2:E783"/>
    </sortState>
  </autoFilter>
  <conditionalFormatting sqref="J3:J76">
    <cfRule type="notContainsBlanks" dxfId="81" priority="1">
      <formula>LEN(TRIM(J3))&gt;0</formula>
    </cfRule>
  </conditionalFormatting>
  <conditionalFormatting sqref="J3:J76">
    <cfRule type="containsBlanks" dxfId="80" priority="2">
      <formula>LEN(TRIM(J3))=0</formula>
    </cfRule>
  </conditionalFormatting>
  <conditionalFormatting sqref="C22:C76">
    <cfRule type="cellIs" dxfId="79" priority="3" operator="greaterThan">
      <formula>$B$4+$B$5:$B$76</formula>
    </cfRule>
  </conditionalFormatting>
  <conditionalFormatting sqref="A22:F76 H22:I76">
    <cfRule type="containsBlanks" dxfId="78" priority="4">
      <formula>LEN(TRIM(A22))=0</formula>
    </cfRule>
  </conditionalFormatting>
  <conditionalFormatting sqref="I3:I76">
    <cfRule type="containsText" dxfId="77" priority="5" operator="containsText" text="BOLETO">
      <formula>NOT(ISERROR(SEARCH(("BOLETO"),(I3))))</formula>
    </cfRule>
  </conditionalFormatting>
  <conditionalFormatting sqref="I3:I76">
    <cfRule type="containsText" dxfId="76" priority="6" operator="containsText" text="CARTÃO ">
      <formula>NOT(ISERROR(SEARCH(("CARTÃO "),(I3))))</formula>
    </cfRule>
  </conditionalFormatting>
  <conditionalFormatting sqref="I3:I76">
    <cfRule type="containsText" dxfId="75" priority="7" operator="containsText" text="DEP C/C">
      <formula>NOT(ISERROR(SEARCH(("DEP C/C"),(I3))))</formula>
    </cfRule>
  </conditionalFormatting>
  <conditionalFormatting sqref="G3:I3 G4:G76 G78:G80 H4:I21">
    <cfRule type="containsBlanks" dxfId="74" priority="8">
      <formula>LEN(TRIM(G3))=0</formula>
    </cfRule>
  </conditionalFormatting>
  <conditionalFormatting sqref="C3:C21">
    <cfRule type="containsBlanks" dxfId="73" priority="9">
      <formula>LEN(TRIM(C3))=0</formula>
    </cfRule>
  </conditionalFormatting>
  <conditionalFormatting sqref="C3:C76">
    <cfRule type="containsText" dxfId="72" priority="10" operator="containsText" text="PENDENTE">
      <formula>NOT(ISERROR(SEARCH(("PENDENTE"),(C3))))</formula>
    </cfRule>
  </conditionalFormatting>
  <conditionalFormatting sqref="B3:B76">
    <cfRule type="timePeriod" dxfId="71" priority="11" timePeriod="yesterday">
      <formula>FLOOR(B3,1)=TODAY()-1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30"/>
  <sheetViews>
    <sheetView showGridLines="0" workbookViewId="0">
      <pane ySplit="2" topLeftCell="A3" activePane="bottomLeft" state="frozen"/>
      <selection activeCell="F19" sqref="F19"/>
      <selection pane="bottomLeft" activeCell="F19" sqref="F19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3.8164062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9" customHeight="1" x14ac:dyDescent="0.35">
      <c r="A1" s="32"/>
      <c r="B1" s="32"/>
      <c r="C1" s="32"/>
      <c r="D1" s="32"/>
      <c r="E1" s="1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11"/>
      <c r="B9" s="11"/>
      <c r="C9" s="11"/>
      <c r="D9" s="5"/>
      <c r="E9" s="8"/>
      <c r="F9" s="12"/>
      <c r="G9" s="12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11"/>
      <c r="B16" s="11"/>
      <c r="C16" s="11"/>
      <c r="D16" s="5"/>
      <c r="E16" s="8"/>
      <c r="F16" s="12"/>
      <c r="G16" s="12"/>
      <c r="H16" s="5"/>
      <c r="I16" s="5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11"/>
      <c r="B22" s="11"/>
      <c r="C22" s="11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35">
      <c r="A25" s="11"/>
      <c r="B25" s="11"/>
      <c r="C25" s="11"/>
      <c r="D25" s="13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 x14ac:dyDescent="0.35">
      <c r="A35" s="11"/>
      <c r="B35" s="11"/>
      <c r="C35" s="11"/>
      <c r="D35" s="13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 x14ac:dyDescent="0.35">
      <c r="A36" s="11"/>
      <c r="B36" s="11"/>
      <c r="C36" s="11"/>
      <c r="D36" s="13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" customHeight="1" x14ac:dyDescent="0.35">
      <c r="A38" s="11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" customHeight="1" x14ac:dyDescent="0.35">
      <c r="A40" s="11"/>
      <c r="B40" s="11"/>
      <c r="C40" s="11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" customHeight="1" x14ac:dyDescent="0.35">
      <c r="A41" s="11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" customHeight="1" x14ac:dyDescent="0.35">
      <c r="A42" s="11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customHeight="1" x14ac:dyDescent="0.35">
      <c r="A45" s="11"/>
      <c r="B45" s="11"/>
      <c r="C45" s="11"/>
      <c r="D45" s="5"/>
      <c r="E45" s="8"/>
      <c r="F45" s="12"/>
      <c r="G45" s="12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customHeight="1" x14ac:dyDescent="0.35">
      <c r="A51" s="11"/>
      <c r="B51" s="11"/>
      <c r="C51" s="11"/>
      <c r="D51" s="5"/>
      <c r="E51" s="8"/>
      <c r="F51" s="12"/>
      <c r="G51" s="12"/>
      <c r="H51" s="5"/>
      <c r="I51" s="5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customHeight="1" x14ac:dyDescent="0.35">
      <c r="A53" s="11"/>
      <c r="B53" s="11"/>
      <c r="C53" s="11"/>
      <c r="D53" s="5"/>
      <c r="E53" s="8"/>
      <c r="F53" s="12"/>
      <c r="G53" s="12">
        <f t="shared" ref="G3:G76" si="0">IF(OR(C53 = "",C53="PENDENTE"), 0, IF(OR(C53&lt;=B53,H53=1),F53,(F53*0.1966/100)*(C53-B53)+F53))</f>
        <v>0</v>
      </c>
      <c r="H53" s="5"/>
      <c r="I53" s="5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" customHeight="1" x14ac:dyDescent="0.35">
      <c r="A54" s="11"/>
      <c r="B54" s="11"/>
      <c r="C54" s="11"/>
      <c r="D54" s="5"/>
      <c r="E54" s="8"/>
      <c r="F54" s="12"/>
      <c r="G54" s="12">
        <f t="shared" si="0"/>
        <v>0</v>
      </c>
      <c r="H54" s="5"/>
      <c r="I54" s="5"/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customHeight="1" x14ac:dyDescent="0.35">
      <c r="A55" s="11"/>
      <c r="B55" s="11"/>
      <c r="C55" s="11"/>
      <c r="D55" s="5"/>
      <c r="E55" s="8"/>
      <c r="F55" s="12"/>
      <c r="G55" s="12">
        <f t="shared" si="0"/>
        <v>0</v>
      </c>
      <c r="H55" s="5"/>
      <c r="I55" s="5"/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" customHeight="1" x14ac:dyDescent="0.35">
      <c r="A56" s="11"/>
      <c r="B56" s="11"/>
      <c r="C56" s="11"/>
      <c r="D56" s="5"/>
      <c r="E56" s="8"/>
      <c r="F56" s="12"/>
      <c r="G56" s="12">
        <f t="shared" si="0"/>
        <v>0</v>
      </c>
      <c r="H56" s="5"/>
      <c r="I56" s="5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customHeight="1" x14ac:dyDescent="0.35">
      <c r="A57" s="11"/>
      <c r="B57" s="11"/>
      <c r="C57" s="11"/>
      <c r="D57" s="5"/>
      <c r="E57" s="8"/>
      <c r="F57" s="12"/>
      <c r="G57" s="12">
        <f t="shared" si="0"/>
        <v>0</v>
      </c>
      <c r="H57" s="5"/>
      <c r="I57" s="5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" customHeight="1" x14ac:dyDescent="0.35">
      <c r="A58" s="11"/>
      <c r="B58" s="11"/>
      <c r="C58" s="11"/>
      <c r="D58" s="5"/>
      <c r="E58" s="8"/>
      <c r="F58" s="12"/>
      <c r="G58" s="12">
        <f t="shared" si="0"/>
        <v>0</v>
      </c>
      <c r="H58" s="5"/>
      <c r="I58" s="5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customHeight="1" x14ac:dyDescent="0.35">
      <c r="A59" s="11"/>
      <c r="B59" s="11"/>
      <c r="C59" s="11"/>
      <c r="D59" s="5"/>
      <c r="E59" s="8"/>
      <c r="F59" s="12"/>
      <c r="G59" s="12">
        <f t="shared" si="0"/>
        <v>0</v>
      </c>
      <c r="H59" s="5"/>
      <c r="I59" s="5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" customHeight="1" x14ac:dyDescent="0.35">
      <c r="A60" s="11"/>
      <c r="B60" s="11"/>
      <c r="C60" s="11"/>
      <c r="D60" s="5"/>
      <c r="E60" s="8"/>
      <c r="F60" s="12"/>
      <c r="G60" s="12">
        <f t="shared" si="0"/>
        <v>0</v>
      </c>
      <c r="H60" s="5"/>
      <c r="I60" s="5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customHeight="1" x14ac:dyDescent="0.35">
      <c r="A61" s="11"/>
      <c r="B61" s="11"/>
      <c r="C61" s="11"/>
      <c r="D61" s="5"/>
      <c r="E61" s="8"/>
      <c r="F61" s="12"/>
      <c r="G61" s="12">
        <f t="shared" si="0"/>
        <v>0</v>
      </c>
      <c r="H61" s="5"/>
      <c r="I61" s="5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customHeight="1" x14ac:dyDescent="0.35">
      <c r="A62" s="11"/>
      <c r="B62" s="11"/>
      <c r="C62" s="11"/>
      <c r="D62" s="5"/>
      <c r="E62" s="8"/>
      <c r="F62" s="12"/>
      <c r="G62" s="12">
        <f t="shared" si="0"/>
        <v>0</v>
      </c>
      <c r="H62" s="5"/>
      <c r="I62" s="5"/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" customHeight="1" x14ac:dyDescent="0.35">
      <c r="A63" s="11"/>
      <c r="B63" s="11"/>
      <c r="C63" s="11"/>
      <c r="D63" s="5"/>
      <c r="E63" s="8"/>
      <c r="F63" s="12"/>
      <c r="G63" s="12">
        <f t="shared" si="0"/>
        <v>0</v>
      </c>
      <c r="H63" s="5"/>
      <c r="I63" s="5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customHeight="1" x14ac:dyDescent="0.35">
      <c r="A77" s="19"/>
      <c r="B77" s="19"/>
      <c r="C77" s="19"/>
      <c r="D77" s="18"/>
      <c r="E77" s="20"/>
      <c r="F77" s="21">
        <f t="shared" ref="F77:G77" si="1">SUM(F3:F76)</f>
        <v>0</v>
      </c>
      <c r="G77" s="21">
        <f t="shared" si="1"/>
        <v>0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" customHeight="1" x14ac:dyDescent="0.35">
      <c r="A78" s="19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customHeight="1" x14ac:dyDescent="0.35">
      <c r="A79" s="19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customHeight="1" x14ac:dyDescent="0.35">
      <c r="A80" s="19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52"/>
      <c r="B81" s="52"/>
      <c r="C81" s="19"/>
      <c r="D81" s="18"/>
      <c r="E81" s="20"/>
      <c r="F81" s="23"/>
      <c r="G81" s="23"/>
      <c r="H81" s="18"/>
      <c r="I81" s="18"/>
      <c r="J81" s="24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52"/>
      <c r="B82" s="52"/>
      <c r="C82" s="19"/>
      <c r="D82" s="18"/>
      <c r="E82" s="20"/>
      <c r="F82" s="23"/>
      <c r="G82" s="23"/>
      <c r="H82" s="18"/>
      <c r="I82" s="18"/>
      <c r="J82" s="24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52"/>
      <c r="B83" s="52"/>
      <c r="C83" s="19"/>
      <c r="D83" s="18"/>
      <c r="E83" s="20"/>
      <c r="F83" s="23"/>
      <c r="G83" s="23"/>
      <c r="H83" s="18"/>
      <c r="I83" s="18"/>
      <c r="J83" s="24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52"/>
      <c r="B84" s="52"/>
      <c r="C84" s="19"/>
      <c r="D84" s="18"/>
      <c r="E84" s="20"/>
      <c r="F84" s="23"/>
      <c r="G84" s="23"/>
      <c r="H84" s="18"/>
      <c r="I84" s="18"/>
      <c r="J84" s="24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52"/>
      <c r="B85" s="52"/>
      <c r="C85" s="19"/>
      <c r="D85" s="18"/>
      <c r="E85" s="20"/>
      <c r="F85" s="23"/>
      <c r="G85" s="23"/>
      <c r="H85" s="18"/>
      <c r="I85" s="18"/>
      <c r="J85" s="24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52"/>
      <c r="B86" s="52"/>
      <c r="C86" s="19"/>
      <c r="D86" s="18"/>
      <c r="E86" s="20"/>
      <c r="F86" s="23"/>
      <c r="G86" s="23"/>
      <c r="H86" s="18"/>
      <c r="I86" s="18"/>
      <c r="J86" s="24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52"/>
      <c r="B87" s="52"/>
      <c r="C87" s="19"/>
      <c r="D87" s="18"/>
      <c r="E87" s="20"/>
      <c r="F87" s="23"/>
      <c r="G87" s="23"/>
      <c r="H87" s="18"/>
      <c r="I87" s="18"/>
      <c r="J87" s="24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52"/>
      <c r="B88" s="52"/>
      <c r="C88" s="19"/>
      <c r="D88" s="18"/>
      <c r="E88" s="20"/>
      <c r="F88" s="23"/>
      <c r="G88" s="23"/>
      <c r="H88" s="18"/>
      <c r="I88" s="18"/>
      <c r="J88" s="24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52"/>
      <c r="B89" s="52"/>
      <c r="C89" s="19"/>
      <c r="D89" s="18"/>
      <c r="E89" s="20"/>
      <c r="F89" s="23"/>
      <c r="G89" s="23"/>
      <c r="H89" s="18"/>
      <c r="I89" s="18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52"/>
      <c r="B90" s="52"/>
      <c r="C90" s="19"/>
      <c r="D90" s="18"/>
      <c r="E90" s="20"/>
      <c r="F90" s="23"/>
      <c r="G90" s="23"/>
      <c r="H90" s="18"/>
      <c r="I90" s="18"/>
      <c r="J90" s="24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52"/>
      <c r="B91" s="52"/>
      <c r="C91" s="19"/>
      <c r="D91" s="18"/>
      <c r="E91" s="20"/>
      <c r="F91" s="23"/>
      <c r="G91" s="23"/>
      <c r="H91" s="18"/>
      <c r="I91" s="18"/>
      <c r="J91" s="24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52"/>
      <c r="B92" s="52"/>
      <c r="C92" s="19"/>
      <c r="D92" s="18"/>
      <c r="E92" s="20"/>
      <c r="F92" s="23"/>
      <c r="G92" s="23"/>
      <c r="H92" s="18"/>
      <c r="I92" s="18"/>
      <c r="J92" s="24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52"/>
      <c r="B93" s="52"/>
      <c r="C93" s="19"/>
      <c r="D93" s="18"/>
      <c r="E93" s="20"/>
      <c r="F93" s="23"/>
      <c r="G93" s="23"/>
      <c r="H93" s="18"/>
      <c r="I93" s="18"/>
      <c r="J93" s="24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52"/>
      <c r="B94" s="52"/>
      <c r="C94" s="19"/>
      <c r="D94" s="18"/>
      <c r="E94" s="20"/>
      <c r="F94" s="23"/>
      <c r="G94" s="23"/>
      <c r="H94" s="18"/>
      <c r="I94" s="18"/>
      <c r="J94" s="24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52"/>
      <c r="B95" s="52"/>
      <c r="C95" s="19"/>
      <c r="D95" s="18"/>
      <c r="E95" s="20"/>
      <c r="F95" s="23"/>
      <c r="G95" s="23"/>
      <c r="H95" s="18"/>
      <c r="I95" s="18"/>
      <c r="J95" s="24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52"/>
      <c r="B96" s="52"/>
      <c r="C96" s="19"/>
      <c r="D96" s="18"/>
      <c r="E96" s="20"/>
      <c r="F96" s="23"/>
      <c r="G96" s="23"/>
      <c r="H96" s="18"/>
      <c r="I96" s="18"/>
      <c r="J96" s="24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52"/>
      <c r="B97" s="52"/>
      <c r="C97" s="19"/>
      <c r="D97" s="18"/>
      <c r="E97" s="20"/>
      <c r="F97" s="23"/>
      <c r="G97" s="23"/>
      <c r="H97" s="18"/>
      <c r="I97" s="18"/>
      <c r="J97" s="24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52"/>
      <c r="B98" s="52"/>
      <c r="C98" s="19"/>
      <c r="D98" s="18"/>
      <c r="E98" s="20"/>
      <c r="F98" s="23"/>
      <c r="G98" s="23"/>
      <c r="H98" s="18"/>
      <c r="I98" s="18"/>
      <c r="J98" s="24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52"/>
      <c r="B99" s="52"/>
      <c r="C99" s="19"/>
      <c r="D99" s="18"/>
      <c r="E99" s="20"/>
      <c r="F99" s="23"/>
      <c r="G99" s="23"/>
      <c r="H99" s="18"/>
      <c r="I99" s="18"/>
      <c r="J99" s="24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52"/>
      <c r="B100" s="52"/>
      <c r="C100" s="19"/>
      <c r="D100" s="18"/>
      <c r="E100" s="20"/>
      <c r="F100" s="23"/>
      <c r="G100" s="23"/>
      <c r="H100" s="18"/>
      <c r="I100" s="18"/>
      <c r="J100" s="24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52"/>
      <c r="B101" s="52"/>
      <c r="C101" s="19"/>
      <c r="D101" s="18"/>
      <c r="E101" s="20"/>
      <c r="F101" s="23"/>
      <c r="G101" s="23"/>
      <c r="H101" s="18"/>
      <c r="I101" s="18"/>
      <c r="J101" s="24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52"/>
      <c r="B102" s="52"/>
      <c r="C102" s="19"/>
      <c r="D102" s="18"/>
      <c r="E102" s="20"/>
      <c r="F102" s="23"/>
      <c r="G102" s="23"/>
      <c r="H102" s="18"/>
      <c r="I102" s="18"/>
      <c r="J102" s="24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52"/>
      <c r="B103" s="52"/>
      <c r="C103" s="19"/>
      <c r="D103" s="18"/>
      <c r="E103" s="20"/>
      <c r="F103" s="23"/>
      <c r="G103" s="23"/>
      <c r="H103" s="18"/>
      <c r="I103" s="18"/>
      <c r="J103" s="24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52"/>
      <c r="B104" s="52"/>
      <c r="C104" s="19"/>
      <c r="D104" s="18"/>
      <c r="E104" s="20"/>
      <c r="F104" s="23"/>
      <c r="G104" s="23"/>
      <c r="H104" s="18"/>
      <c r="I104" s="18"/>
      <c r="J104" s="24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52"/>
      <c r="B105" s="52"/>
      <c r="C105" s="19"/>
      <c r="D105" s="18"/>
      <c r="E105" s="20"/>
      <c r="F105" s="23"/>
      <c r="G105" s="23"/>
      <c r="H105" s="18"/>
      <c r="I105" s="18"/>
      <c r="J105" s="24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</sheetData>
  <autoFilter ref="A2:J80" xr:uid="{00000000-0009-0000-0000-000006000000}">
    <sortState xmlns:xlrd2="http://schemas.microsoft.com/office/spreadsheetml/2017/richdata2" ref="A2:J80">
      <sortCondition ref="E2:E80"/>
    </sortState>
  </autoFilter>
  <conditionalFormatting sqref="J3:J76">
    <cfRule type="notContainsBlanks" dxfId="70" priority="1">
      <formula>LEN(TRIM(J3))&gt;0</formula>
    </cfRule>
  </conditionalFormatting>
  <conditionalFormatting sqref="J3:J76">
    <cfRule type="containsBlanks" dxfId="69" priority="2">
      <formula>LEN(TRIM(J3))=0</formula>
    </cfRule>
  </conditionalFormatting>
  <conditionalFormatting sqref="C22:C76">
    <cfRule type="cellIs" dxfId="68" priority="3" operator="greaterThan">
      <formula>$B$4+$B$5:$B$76</formula>
    </cfRule>
  </conditionalFormatting>
  <conditionalFormatting sqref="A22:F76 H22:I76">
    <cfRule type="containsBlanks" dxfId="67" priority="4">
      <formula>LEN(TRIM(A22))=0</formula>
    </cfRule>
  </conditionalFormatting>
  <conditionalFormatting sqref="I3:I76">
    <cfRule type="containsText" dxfId="66" priority="5" operator="containsText" text="BOLETO">
      <formula>NOT(ISERROR(SEARCH(("BOLETO"),(I3))))</formula>
    </cfRule>
  </conditionalFormatting>
  <conditionalFormatting sqref="I3:I76">
    <cfRule type="containsText" dxfId="65" priority="6" operator="containsText" text="CARTÃO ">
      <formula>NOT(ISERROR(SEARCH(("CARTÃO "),(I3))))</formula>
    </cfRule>
  </conditionalFormatting>
  <conditionalFormatting sqref="I3:I76">
    <cfRule type="containsText" dxfId="64" priority="7" operator="containsText" text="DEP C/C">
      <formula>NOT(ISERROR(SEARCH(("DEP C/C"),(I3))))</formula>
    </cfRule>
  </conditionalFormatting>
  <conditionalFormatting sqref="G3:I3 G4:G76 G78:G80 H4:I21">
    <cfRule type="containsBlanks" dxfId="63" priority="8">
      <formula>LEN(TRIM(G3))=0</formula>
    </cfRule>
  </conditionalFormatting>
  <conditionalFormatting sqref="C3:C21">
    <cfRule type="containsBlanks" dxfId="62" priority="9">
      <formula>LEN(TRIM(C3))=0</formula>
    </cfRule>
  </conditionalFormatting>
  <conditionalFormatting sqref="C3:C76">
    <cfRule type="containsText" dxfId="61" priority="10" operator="containsText" text="PENDENTE">
      <formula>NOT(ISERROR(SEARCH(("PENDENTE"),(C3))))</formula>
    </cfRule>
  </conditionalFormatting>
  <conditionalFormatting sqref="B3:B76">
    <cfRule type="timePeriod" dxfId="60" priority="11" timePeriod="yesterday">
      <formula>FLOOR(B3,1)=TODAY()-1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30"/>
  <sheetViews>
    <sheetView showGridLines="0" workbookViewId="0">
      <pane ySplit="2" topLeftCell="A3" activePane="bottomLeft" state="frozen"/>
      <selection activeCell="F19" sqref="F19"/>
      <selection pane="bottomLeft" activeCell="F19" sqref="F19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3.8164062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9" customHeight="1" x14ac:dyDescent="0.35">
      <c r="A1" s="32"/>
      <c r="B1" s="32"/>
      <c r="C1" s="32"/>
      <c r="D1" s="32"/>
      <c r="E1" s="1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11"/>
      <c r="B9" s="11"/>
      <c r="C9" s="11"/>
      <c r="D9" s="5"/>
      <c r="E9" s="8"/>
      <c r="F9" s="12"/>
      <c r="G9" s="12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11"/>
      <c r="B16" s="11"/>
      <c r="C16" s="11"/>
      <c r="D16" s="5"/>
      <c r="E16" s="8"/>
      <c r="F16" s="12"/>
      <c r="G16" s="12"/>
      <c r="H16" s="5"/>
      <c r="I16" s="5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11"/>
      <c r="B22" s="11"/>
      <c r="C22" s="11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35">
      <c r="A25" s="11"/>
      <c r="B25" s="11"/>
      <c r="C25" s="11"/>
      <c r="D25" s="13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 x14ac:dyDescent="0.35">
      <c r="A35" s="11"/>
      <c r="B35" s="11"/>
      <c r="C35" s="11"/>
      <c r="D35" s="13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 x14ac:dyDescent="0.35">
      <c r="A36" s="11"/>
      <c r="B36" s="11"/>
      <c r="C36" s="11"/>
      <c r="D36" s="13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" customHeight="1" x14ac:dyDescent="0.35">
      <c r="A38" s="11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" customHeight="1" x14ac:dyDescent="0.35">
      <c r="A40" s="11"/>
      <c r="B40" s="11"/>
      <c r="C40" s="11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" customHeight="1" x14ac:dyDescent="0.35">
      <c r="A41" s="11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" customHeight="1" x14ac:dyDescent="0.35">
      <c r="A42" s="11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customHeight="1" x14ac:dyDescent="0.35">
      <c r="A45" s="11"/>
      <c r="B45" s="11"/>
      <c r="C45" s="11"/>
      <c r="D45" s="5"/>
      <c r="E45" s="8"/>
      <c r="F45" s="12"/>
      <c r="G45" s="12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customHeight="1" x14ac:dyDescent="0.35">
      <c r="A51" s="11"/>
      <c r="B51" s="11"/>
      <c r="C51" s="11"/>
      <c r="D51" s="5"/>
      <c r="E51" s="8"/>
      <c r="F51" s="12"/>
      <c r="G51" s="12"/>
      <c r="H51" s="5"/>
      <c r="I51" s="5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customHeight="1" x14ac:dyDescent="0.35">
      <c r="A53" s="11"/>
      <c r="B53" s="11"/>
      <c r="C53" s="11"/>
      <c r="D53" s="5"/>
      <c r="E53" s="8"/>
      <c r="F53" s="12"/>
      <c r="G53" s="12">
        <f t="shared" ref="G3:G76" si="0">IF(OR(C53 = "",C53="PENDENTE"), 0, IF(OR(C53&lt;=B53,H53=1),F53,(F53*0.1966/100)*(C53-B53)+F53))</f>
        <v>0</v>
      </c>
      <c r="H53" s="5"/>
      <c r="I53" s="5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" customHeight="1" x14ac:dyDescent="0.35">
      <c r="A54" s="11"/>
      <c r="B54" s="11"/>
      <c r="C54" s="11"/>
      <c r="D54" s="5"/>
      <c r="E54" s="8"/>
      <c r="F54" s="12"/>
      <c r="G54" s="12">
        <f t="shared" si="0"/>
        <v>0</v>
      </c>
      <c r="H54" s="5"/>
      <c r="I54" s="5"/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customHeight="1" x14ac:dyDescent="0.35">
      <c r="A55" s="11"/>
      <c r="B55" s="11"/>
      <c r="C55" s="11"/>
      <c r="D55" s="5"/>
      <c r="E55" s="8"/>
      <c r="F55" s="12"/>
      <c r="G55" s="12">
        <f t="shared" si="0"/>
        <v>0</v>
      </c>
      <c r="H55" s="5"/>
      <c r="I55" s="5"/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" customHeight="1" x14ac:dyDescent="0.35">
      <c r="A56" s="11"/>
      <c r="B56" s="11"/>
      <c r="C56" s="11"/>
      <c r="D56" s="5"/>
      <c r="E56" s="8"/>
      <c r="F56" s="12"/>
      <c r="G56" s="12">
        <f t="shared" si="0"/>
        <v>0</v>
      </c>
      <c r="H56" s="5"/>
      <c r="I56" s="5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customHeight="1" x14ac:dyDescent="0.35">
      <c r="A57" s="11"/>
      <c r="B57" s="11"/>
      <c r="C57" s="11"/>
      <c r="D57" s="5"/>
      <c r="E57" s="8"/>
      <c r="F57" s="12"/>
      <c r="G57" s="12">
        <f t="shared" si="0"/>
        <v>0</v>
      </c>
      <c r="H57" s="5"/>
      <c r="I57" s="5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" customHeight="1" x14ac:dyDescent="0.35">
      <c r="A58" s="11"/>
      <c r="B58" s="11"/>
      <c r="C58" s="11"/>
      <c r="D58" s="5"/>
      <c r="E58" s="8"/>
      <c r="F58" s="12"/>
      <c r="G58" s="12">
        <f t="shared" si="0"/>
        <v>0</v>
      </c>
      <c r="H58" s="5"/>
      <c r="I58" s="5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customHeight="1" x14ac:dyDescent="0.35">
      <c r="A59" s="11"/>
      <c r="B59" s="11"/>
      <c r="C59" s="11"/>
      <c r="D59" s="5"/>
      <c r="E59" s="8"/>
      <c r="F59" s="12"/>
      <c r="G59" s="12">
        <f t="shared" si="0"/>
        <v>0</v>
      </c>
      <c r="H59" s="5"/>
      <c r="I59" s="5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" customHeight="1" x14ac:dyDescent="0.35">
      <c r="A60" s="11"/>
      <c r="B60" s="11"/>
      <c r="C60" s="11"/>
      <c r="D60" s="5"/>
      <c r="E60" s="8"/>
      <c r="F60" s="12"/>
      <c r="G60" s="12">
        <f t="shared" si="0"/>
        <v>0</v>
      </c>
      <c r="H60" s="5"/>
      <c r="I60" s="5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customHeight="1" x14ac:dyDescent="0.35">
      <c r="A61" s="11"/>
      <c r="B61" s="11"/>
      <c r="C61" s="11"/>
      <c r="D61" s="5"/>
      <c r="E61" s="8"/>
      <c r="F61" s="12"/>
      <c r="G61" s="12">
        <f t="shared" si="0"/>
        <v>0</v>
      </c>
      <c r="H61" s="5"/>
      <c r="I61" s="5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customHeight="1" x14ac:dyDescent="0.35">
      <c r="A62" s="11"/>
      <c r="B62" s="11"/>
      <c r="C62" s="11"/>
      <c r="D62" s="5"/>
      <c r="E62" s="8"/>
      <c r="F62" s="12"/>
      <c r="G62" s="12">
        <f t="shared" si="0"/>
        <v>0</v>
      </c>
      <c r="H62" s="5"/>
      <c r="I62" s="5"/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" customHeight="1" x14ac:dyDescent="0.35">
      <c r="A63" s="11"/>
      <c r="B63" s="11"/>
      <c r="C63" s="11"/>
      <c r="D63" s="5"/>
      <c r="E63" s="8"/>
      <c r="F63" s="12"/>
      <c r="G63" s="12">
        <f t="shared" si="0"/>
        <v>0</v>
      </c>
      <c r="H63" s="5"/>
      <c r="I63" s="5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customHeight="1" x14ac:dyDescent="0.35">
      <c r="A77" s="19"/>
      <c r="B77" s="19"/>
      <c r="C77" s="19"/>
      <c r="D77" s="18"/>
      <c r="E77" s="20"/>
      <c r="F77" s="21">
        <f t="shared" ref="F77:G77" si="1">SUM(F3:F76)</f>
        <v>0</v>
      </c>
      <c r="G77" s="21">
        <f t="shared" si="1"/>
        <v>0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" customHeight="1" x14ac:dyDescent="0.35">
      <c r="A78" s="19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customHeight="1" x14ac:dyDescent="0.35">
      <c r="A79" s="19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customHeight="1" x14ac:dyDescent="0.35">
      <c r="A80" s="19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52"/>
      <c r="B81" s="52"/>
      <c r="C81" s="19"/>
      <c r="D81" s="18"/>
      <c r="E81" s="20"/>
      <c r="F81" s="23"/>
      <c r="G81" s="23"/>
      <c r="H81" s="18"/>
      <c r="I81" s="18"/>
      <c r="J81" s="24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52"/>
      <c r="B82" s="52"/>
      <c r="C82" s="19"/>
      <c r="D82" s="18"/>
      <c r="E82" s="20"/>
      <c r="F82" s="23"/>
      <c r="G82" s="23"/>
      <c r="H82" s="18"/>
      <c r="I82" s="18"/>
      <c r="J82" s="24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52"/>
      <c r="B83" s="52"/>
      <c r="C83" s="19"/>
      <c r="D83" s="18"/>
      <c r="E83" s="20"/>
      <c r="F83" s="23"/>
      <c r="G83" s="23"/>
      <c r="H83" s="18"/>
      <c r="I83" s="18"/>
      <c r="J83" s="24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52"/>
      <c r="B84" s="52"/>
      <c r="C84" s="19"/>
      <c r="D84" s="18"/>
      <c r="E84" s="20"/>
      <c r="F84" s="23"/>
      <c r="G84" s="23"/>
      <c r="H84" s="18"/>
      <c r="I84" s="18"/>
      <c r="J84" s="24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52"/>
      <c r="B85" s="52"/>
      <c r="C85" s="19"/>
      <c r="D85" s="18"/>
      <c r="E85" s="20"/>
      <c r="F85" s="23"/>
      <c r="G85" s="23"/>
      <c r="H85" s="18"/>
      <c r="I85" s="18"/>
      <c r="J85" s="24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52"/>
      <c r="B86" s="52"/>
      <c r="C86" s="19"/>
      <c r="D86" s="18"/>
      <c r="E86" s="20"/>
      <c r="F86" s="23"/>
      <c r="G86" s="23"/>
      <c r="H86" s="18"/>
      <c r="I86" s="18"/>
      <c r="J86" s="24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52"/>
      <c r="B87" s="52"/>
      <c r="C87" s="19"/>
      <c r="D87" s="18"/>
      <c r="E87" s="20"/>
      <c r="F87" s="23"/>
      <c r="G87" s="23"/>
      <c r="H87" s="18"/>
      <c r="I87" s="18"/>
      <c r="J87" s="24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52"/>
      <c r="B88" s="52"/>
      <c r="C88" s="19"/>
      <c r="D88" s="18"/>
      <c r="E88" s="20"/>
      <c r="F88" s="23"/>
      <c r="G88" s="23"/>
      <c r="H88" s="18"/>
      <c r="I88" s="18"/>
      <c r="J88" s="24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52"/>
      <c r="B89" s="52"/>
      <c r="C89" s="19"/>
      <c r="D89" s="18"/>
      <c r="E89" s="20"/>
      <c r="F89" s="23"/>
      <c r="G89" s="23"/>
      <c r="H89" s="18"/>
      <c r="I89" s="18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52"/>
      <c r="B90" s="52"/>
      <c r="C90" s="19"/>
      <c r="D90" s="18"/>
      <c r="E90" s="20"/>
      <c r="F90" s="23"/>
      <c r="G90" s="23"/>
      <c r="H90" s="18"/>
      <c r="I90" s="18"/>
      <c r="J90" s="24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52"/>
      <c r="B91" s="52"/>
      <c r="C91" s="19"/>
      <c r="D91" s="18"/>
      <c r="E91" s="20"/>
      <c r="F91" s="23"/>
      <c r="G91" s="23"/>
      <c r="H91" s="18"/>
      <c r="I91" s="18"/>
      <c r="J91" s="24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52"/>
      <c r="B92" s="52"/>
      <c r="C92" s="19"/>
      <c r="D92" s="18"/>
      <c r="E92" s="20"/>
      <c r="F92" s="23"/>
      <c r="G92" s="23"/>
      <c r="H92" s="18"/>
      <c r="I92" s="18"/>
      <c r="J92" s="24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52"/>
      <c r="B93" s="52"/>
      <c r="C93" s="19"/>
      <c r="D93" s="18"/>
      <c r="E93" s="20"/>
      <c r="F93" s="23"/>
      <c r="G93" s="23"/>
      <c r="H93" s="18"/>
      <c r="I93" s="18"/>
      <c r="J93" s="24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52"/>
      <c r="B94" s="52"/>
      <c r="C94" s="19"/>
      <c r="D94" s="18"/>
      <c r="E94" s="20"/>
      <c r="F94" s="23"/>
      <c r="G94" s="23"/>
      <c r="H94" s="18"/>
      <c r="I94" s="18"/>
      <c r="J94" s="24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52"/>
      <c r="B95" s="52"/>
      <c r="C95" s="19"/>
      <c r="D95" s="18"/>
      <c r="E95" s="20"/>
      <c r="F95" s="23"/>
      <c r="G95" s="23"/>
      <c r="H95" s="18"/>
      <c r="I95" s="18"/>
      <c r="J95" s="24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52"/>
      <c r="B96" s="52"/>
      <c r="C96" s="19"/>
      <c r="D96" s="18"/>
      <c r="E96" s="20"/>
      <c r="F96" s="23"/>
      <c r="G96" s="23"/>
      <c r="H96" s="18"/>
      <c r="I96" s="18"/>
      <c r="J96" s="24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52"/>
      <c r="B97" s="52"/>
      <c r="C97" s="19"/>
      <c r="D97" s="18"/>
      <c r="E97" s="20"/>
      <c r="F97" s="23"/>
      <c r="G97" s="23"/>
      <c r="H97" s="18"/>
      <c r="I97" s="18"/>
      <c r="J97" s="24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52"/>
      <c r="B98" s="52"/>
      <c r="C98" s="19"/>
      <c r="D98" s="18"/>
      <c r="E98" s="20"/>
      <c r="F98" s="23"/>
      <c r="G98" s="23"/>
      <c r="H98" s="18"/>
      <c r="I98" s="18"/>
      <c r="J98" s="24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52"/>
      <c r="B99" s="52"/>
      <c r="C99" s="19"/>
      <c r="D99" s="18"/>
      <c r="E99" s="20"/>
      <c r="F99" s="23"/>
      <c r="G99" s="23"/>
      <c r="H99" s="18"/>
      <c r="I99" s="18"/>
      <c r="J99" s="24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52"/>
      <c r="B100" s="52"/>
      <c r="C100" s="19"/>
      <c r="D100" s="18"/>
      <c r="E100" s="20"/>
      <c r="F100" s="23"/>
      <c r="G100" s="23"/>
      <c r="H100" s="18"/>
      <c r="I100" s="18"/>
      <c r="J100" s="24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52"/>
      <c r="B101" s="52"/>
      <c r="C101" s="19"/>
      <c r="D101" s="18"/>
      <c r="E101" s="20"/>
      <c r="F101" s="23"/>
      <c r="G101" s="23"/>
      <c r="H101" s="18"/>
      <c r="I101" s="18"/>
      <c r="J101" s="24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52"/>
      <c r="B102" s="52"/>
      <c r="C102" s="19"/>
      <c r="D102" s="18"/>
      <c r="E102" s="20"/>
      <c r="F102" s="23"/>
      <c r="G102" s="23"/>
      <c r="H102" s="18"/>
      <c r="I102" s="18"/>
      <c r="J102" s="24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52"/>
      <c r="B103" s="52"/>
      <c r="C103" s="19"/>
      <c r="D103" s="18"/>
      <c r="E103" s="20"/>
      <c r="F103" s="23"/>
      <c r="G103" s="23"/>
      <c r="H103" s="18"/>
      <c r="I103" s="18"/>
      <c r="J103" s="24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52"/>
      <c r="B104" s="52"/>
      <c r="C104" s="19"/>
      <c r="D104" s="18"/>
      <c r="E104" s="20"/>
      <c r="F104" s="23"/>
      <c r="G104" s="23"/>
      <c r="H104" s="18"/>
      <c r="I104" s="18"/>
      <c r="J104" s="24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52"/>
      <c r="B105" s="52"/>
      <c r="C105" s="19"/>
      <c r="D105" s="18"/>
      <c r="E105" s="20"/>
      <c r="F105" s="23"/>
      <c r="G105" s="23"/>
      <c r="H105" s="18"/>
      <c r="I105" s="18"/>
      <c r="J105" s="24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</sheetData>
  <autoFilter ref="A2:J80" xr:uid="{00000000-0009-0000-0000-000007000000}">
    <sortState xmlns:xlrd2="http://schemas.microsoft.com/office/spreadsheetml/2017/richdata2" ref="A2:J80">
      <sortCondition ref="E2:E80"/>
    </sortState>
  </autoFilter>
  <conditionalFormatting sqref="J3:J76">
    <cfRule type="notContainsBlanks" dxfId="59" priority="1">
      <formula>LEN(TRIM(J3))&gt;0</formula>
    </cfRule>
  </conditionalFormatting>
  <conditionalFormatting sqref="J3:J76">
    <cfRule type="containsBlanks" dxfId="58" priority="2">
      <formula>LEN(TRIM(J3))=0</formula>
    </cfRule>
  </conditionalFormatting>
  <conditionalFormatting sqref="C22:C76">
    <cfRule type="cellIs" dxfId="57" priority="3" operator="greaterThan">
      <formula>$B$4+$B$5:$B$76</formula>
    </cfRule>
  </conditionalFormatting>
  <conditionalFormatting sqref="A22:F76 H22:I76">
    <cfRule type="containsBlanks" dxfId="56" priority="4">
      <formula>LEN(TRIM(A22))=0</formula>
    </cfRule>
  </conditionalFormatting>
  <conditionalFormatting sqref="I3:I76">
    <cfRule type="containsText" dxfId="55" priority="5" operator="containsText" text="BOLETO">
      <formula>NOT(ISERROR(SEARCH(("BOLETO"),(I3))))</formula>
    </cfRule>
  </conditionalFormatting>
  <conditionalFormatting sqref="I3:I76">
    <cfRule type="containsText" dxfId="54" priority="6" operator="containsText" text="CARTÃO ">
      <formula>NOT(ISERROR(SEARCH(("CARTÃO "),(I3))))</formula>
    </cfRule>
  </conditionalFormatting>
  <conditionalFormatting sqref="I3:I76">
    <cfRule type="containsText" dxfId="53" priority="7" operator="containsText" text="DEP C/C">
      <formula>NOT(ISERROR(SEARCH(("DEP C/C"),(I3))))</formula>
    </cfRule>
  </conditionalFormatting>
  <conditionalFormatting sqref="G3:I3 G4:G76 G78:G80 H4:I21">
    <cfRule type="containsBlanks" dxfId="52" priority="8">
      <formula>LEN(TRIM(G3))=0</formula>
    </cfRule>
  </conditionalFormatting>
  <conditionalFormatting sqref="C3:C21">
    <cfRule type="containsBlanks" dxfId="51" priority="9">
      <formula>LEN(TRIM(C3))=0</formula>
    </cfRule>
  </conditionalFormatting>
  <conditionalFormatting sqref="C3:C76">
    <cfRule type="containsText" dxfId="50" priority="10" operator="containsText" text="PENDENTE">
      <formula>NOT(ISERROR(SEARCH(("PENDENTE"),(C3))))</formula>
    </cfRule>
  </conditionalFormatting>
  <conditionalFormatting sqref="B3:B76">
    <cfRule type="timePeriod" dxfId="49" priority="11" timePeriod="yesterday">
      <formula>FLOOR(B3,1)=TODAY()-1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30"/>
  <sheetViews>
    <sheetView showGridLines="0" workbookViewId="0">
      <pane ySplit="2" topLeftCell="A3" activePane="bottomLeft" state="frozen"/>
      <selection activeCell="F19" sqref="F19"/>
      <selection pane="bottomLeft" activeCell="F19" sqref="F19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3.8164062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9" customHeight="1" x14ac:dyDescent="0.35">
      <c r="A1" s="32"/>
      <c r="B1" s="32"/>
      <c r="C1" s="32"/>
      <c r="D1" s="32"/>
      <c r="E1" s="1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11"/>
      <c r="B9" s="11"/>
      <c r="C9" s="11"/>
      <c r="D9" s="5"/>
      <c r="E9" s="8"/>
      <c r="F9" s="12"/>
      <c r="G9" s="12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11"/>
      <c r="B16" s="11"/>
      <c r="C16" s="11"/>
      <c r="D16" s="5"/>
      <c r="E16" s="8"/>
      <c r="F16" s="12"/>
      <c r="G16" s="12"/>
      <c r="H16" s="5"/>
      <c r="I16" s="5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11"/>
      <c r="B22" s="11"/>
      <c r="C22" s="11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35">
      <c r="A25" s="11"/>
      <c r="B25" s="11"/>
      <c r="C25" s="11"/>
      <c r="D25" s="13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 x14ac:dyDescent="0.35">
      <c r="A35" s="11"/>
      <c r="B35" s="11"/>
      <c r="C35" s="11"/>
      <c r="D35" s="13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 x14ac:dyDescent="0.35">
      <c r="A36" s="11"/>
      <c r="B36" s="11"/>
      <c r="C36" s="11"/>
      <c r="D36" s="13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" customHeight="1" x14ac:dyDescent="0.35">
      <c r="A38" s="11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" customHeight="1" x14ac:dyDescent="0.35">
      <c r="A40" s="11"/>
      <c r="B40" s="11"/>
      <c r="C40" s="11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" customHeight="1" x14ac:dyDescent="0.35">
      <c r="A41" s="11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" customHeight="1" x14ac:dyDescent="0.35">
      <c r="A42" s="11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customHeight="1" x14ac:dyDescent="0.35">
      <c r="A45" s="11"/>
      <c r="B45" s="11"/>
      <c r="C45" s="11"/>
      <c r="D45" s="5"/>
      <c r="E45" s="8"/>
      <c r="F45" s="12"/>
      <c r="G45" s="12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customHeight="1" x14ac:dyDescent="0.35">
      <c r="A51" s="11"/>
      <c r="B51" s="11"/>
      <c r="C51" s="11"/>
      <c r="D51" s="5"/>
      <c r="E51" s="8"/>
      <c r="F51" s="12"/>
      <c r="G51" s="12"/>
      <c r="H51" s="5"/>
      <c r="I51" s="5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customHeight="1" x14ac:dyDescent="0.35">
      <c r="A53" s="11"/>
      <c r="B53" s="11"/>
      <c r="C53" s="11"/>
      <c r="D53" s="5"/>
      <c r="E53" s="8"/>
      <c r="F53" s="12"/>
      <c r="G53" s="12">
        <f t="shared" ref="G3:G76" si="0">IF(OR(C53 = "",C53="PENDENTE"), 0, IF(OR(C53&lt;=B53,H53=1),F53,(F53*0.1966/100)*(C53-B53)+F53))</f>
        <v>0</v>
      </c>
      <c r="H53" s="5"/>
      <c r="I53" s="5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" customHeight="1" x14ac:dyDescent="0.35">
      <c r="A54" s="11"/>
      <c r="B54" s="11"/>
      <c r="C54" s="11"/>
      <c r="D54" s="5"/>
      <c r="E54" s="8"/>
      <c r="F54" s="12"/>
      <c r="G54" s="12">
        <f t="shared" si="0"/>
        <v>0</v>
      </c>
      <c r="H54" s="5"/>
      <c r="I54" s="5"/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customHeight="1" x14ac:dyDescent="0.35">
      <c r="A55" s="11"/>
      <c r="B55" s="11"/>
      <c r="C55" s="11"/>
      <c r="D55" s="5"/>
      <c r="E55" s="8"/>
      <c r="F55" s="12"/>
      <c r="G55" s="12">
        <f t="shared" si="0"/>
        <v>0</v>
      </c>
      <c r="H55" s="5"/>
      <c r="I55" s="5"/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" customHeight="1" x14ac:dyDescent="0.35">
      <c r="A56" s="11"/>
      <c r="B56" s="11"/>
      <c r="C56" s="11"/>
      <c r="D56" s="5"/>
      <c r="E56" s="8"/>
      <c r="F56" s="12"/>
      <c r="G56" s="12">
        <f t="shared" si="0"/>
        <v>0</v>
      </c>
      <c r="H56" s="5"/>
      <c r="I56" s="5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customHeight="1" x14ac:dyDescent="0.35">
      <c r="A57" s="11"/>
      <c r="B57" s="11"/>
      <c r="C57" s="11"/>
      <c r="D57" s="5"/>
      <c r="E57" s="8"/>
      <c r="F57" s="12"/>
      <c r="G57" s="12">
        <f t="shared" si="0"/>
        <v>0</v>
      </c>
      <c r="H57" s="5"/>
      <c r="I57" s="5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" customHeight="1" x14ac:dyDescent="0.35">
      <c r="A58" s="11"/>
      <c r="B58" s="11"/>
      <c r="C58" s="11"/>
      <c r="D58" s="5"/>
      <c r="E58" s="8"/>
      <c r="F58" s="12"/>
      <c r="G58" s="12">
        <f t="shared" si="0"/>
        <v>0</v>
      </c>
      <c r="H58" s="5"/>
      <c r="I58" s="5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customHeight="1" x14ac:dyDescent="0.35">
      <c r="A59" s="11"/>
      <c r="B59" s="11"/>
      <c r="C59" s="11"/>
      <c r="D59" s="5"/>
      <c r="E59" s="8"/>
      <c r="F59" s="12"/>
      <c r="G59" s="12">
        <f t="shared" si="0"/>
        <v>0</v>
      </c>
      <c r="H59" s="5"/>
      <c r="I59" s="5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" customHeight="1" x14ac:dyDescent="0.35">
      <c r="A60" s="11"/>
      <c r="B60" s="11"/>
      <c r="C60" s="11"/>
      <c r="D60" s="5"/>
      <c r="E60" s="8"/>
      <c r="F60" s="12"/>
      <c r="G60" s="12">
        <f t="shared" si="0"/>
        <v>0</v>
      </c>
      <c r="H60" s="5"/>
      <c r="I60" s="5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customHeight="1" x14ac:dyDescent="0.35">
      <c r="A61" s="11"/>
      <c r="B61" s="11"/>
      <c r="C61" s="11"/>
      <c r="D61" s="5"/>
      <c r="E61" s="8"/>
      <c r="F61" s="12"/>
      <c r="G61" s="12">
        <f t="shared" si="0"/>
        <v>0</v>
      </c>
      <c r="H61" s="5"/>
      <c r="I61" s="5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customHeight="1" x14ac:dyDescent="0.35">
      <c r="A62" s="11"/>
      <c r="B62" s="11"/>
      <c r="C62" s="11"/>
      <c r="D62" s="5"/>
      <c r="E62" s="8"/>
      <c r="F62" s="12"/>
      <c r="G62" s="12">
        <f t="shared" si="0"/>
        <v>0</v>
      </c>
      <c r="H62" s="5"/>
      <c r="I62" s="5"/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" customHeight="1" x14ac:dyDescent="0.35">
      <c r="A63" s="11"/>
      <c r="B63" s="11"/>
      <c r="C63" s="11"/>
      <c r="D63" s="5"/>
      <c r="E63" s="8"/>
      <c r="F63" s="12"/>
      <c r="G63" s="12">
        <f t="shared" si="0"/>
        <v>0</v>
      </c>
      <c r="H63" s="5"/>
      <c r="I63" s="5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customHeight="1" x14ac:dyDescent="0.35">
      <c r="A77" s="19"/>
      <c r="B77" s="19"/>
      <c r="C77" s="19"/>
      <c r="D77" s="18"/>
      <c r="E77" s="20"/>
      <c r="F77" s="21">
        <f t="shared" ref="F77:G77" si="1">SUM(F3:F76)</f>
        <v>0</v>
      </c>
      <c r="G77" s="21">
        <f t="shared" si="1"/>
        <v>0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" customHeight="1" x14ac:dyDescent="0.35">
      <c r="A78" s="19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customHeight="1" x14ac:dyDescent="0.35">
      <c r="A79" s="19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customHeight="1" x14ac:dyDescent="0.35">
      <c r="A80" s="19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52"/>
      <c r="B81" s="52"/>
      <c r="C81" s="19"/>
      <c r="D81" s="18"/>
      <c r="E81" s="20"/>
      <c r="F81" s="23"/>
      <c r="G81" s="23"/>
      <c r="H81" s="18"/>
      <c r="I81" s="18"/>
      <c r="J81" s="24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52"/>
      <c r="B82" s="52"/>
      <c r="C82" s="19"/>
      <c r="D82" s="18"/>
      <c r="E82" s="20"/>
      <c r="F82" s="23"/>
      <c r="G82" s="23"/>
      <c r="H82" s="18"/>
      <c r="I82" s="18"/>
      <c r="J82" s="24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52"/>
      <c r="B83" s="52"/>
      <c r="C83" s="19"/>
      <c r="D83" s="18"/>
      <c r="E83" s="20"/>
      <c r="F83" s="23"/>
      <c r="G83" s="23"/>
      <c r="H83" s="18"/>
      <c r="I83" s="18"/>
      <c r="J83" s="24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52"/>
      <c r="B84" s="52"/>
      <c r="C84" s="19"/>
      <c r="D84" s="18"/>
      <c r="E84" s="20"/>
      <c r="F84" s="23"/>
      <c r="G84" s="23"/>
      <c r="H84" s="18"/>
      <c r="I84" s="18"/>
      <c r="J84" s="24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52"/>
      <c r="B85" s="52"/>
      <c r="C85" s="19"/>
      <c r="D85" s="18"/>
      <c r="E85" s="20"/>
      <c r="F85" s="23"/>
      <c r="G85" s="23"/>
      <c r="H85" s="18"/>
      <c r="I85" s="18"/>
      <c r="J85" s="24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52"/>
      <c r="B86" s="52"/>
      <c r="C86" s="19"/>
      <c r="D86" s="18"/>
      <c r="E86" s="20"/>
      <c r="F86" s="23"/>
      <c r="G86" s="23"/>
      <c r="H86" s="18"/>
      <c r="I86" s="18"/>
      <c r="J86" s="24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52"/>
      <c r="B87" s="52"/>
      <c r="C87" s="19"/>
      <c r="D87" s="18"/>
      <c r="E87" s="20"/>
      <c r="F87" s="23"/>
      <c r="G87" s="23"/>
      <c r="H87" s="18"/>
      <c r="I87" s="18"/>
      <c r="J87" s="24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52"/>
      <c r="B88" s="52"/>
      <c r="C88" s="19"/>
      <c r="D88" s="18"/>
      <c r="E88" s="20"/>
      <c r="F88" s="23"/>
      <c r="G88" s="23"/>
      <c r="H88" s="18"/>
      <c r="I88" s="18"/>
      <c r="J88" s="24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52"/>
      <c r="B89" s="52"/>
      <c r="C89" s="19"/>
      <c r="D89" s="18"/>
      <c r="E89" s="20"/>
      <c r="F89" s="23"/>
      <c r="G89" s="23"/>
      <c r="H89" s="18"/>
      <c r="I89" s="18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52"/>
      <c r="B90" s="52"/>
      <c r="C90" s="19"/>
      <c r="D90" s="18"/>
      <c r="E90" s="20"/>
      <c r="F90" s="23"/>
      <c r="G90" s="23"/>
      <c r="H90" s="18"/>
      <c r="I90" s="18"/>
      <c r="J90" s="24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52"/>
      <c r="B91" s="52"/>
      <c r="C91" s="19"/>
      <c r="D91" s="18"/>
      <c r="E91" s="20"/>
      <c r="F91" s="23"/>
      <c r="G91" s="23"/>
      <c r="H91" s="18"/>
      <c r="I91" s="18"/>
      <c r="J91" s="24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52"/>
      <c r="B92" s="52"/>
      <c r="C92" s="19"/>
      <c r="D92" s="18"/>
      <c r="E92" s="20"/>
      <c r="F92" s="23"/>
      <c r="G92" s="23"/>
      <c r="H92" s="18"/>
      <c r="I92" s="18"/>
      <c r="J92" s="24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52"/>
      <c r="B93" s="52"/>
      <c r="C93" s="19"/>
      <c r="D93" s="18"/>
      <c r="E93" s="20"/>
      <c r="F93" s="23"/>
      <c r="G93" s="23"/>
      <c r="H93" s="18"/>
      <c r="I93" s="18"/>
      <c r="J93" s="24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52"/>
      <c r="B94" s="52"/>
      <c r="C94" s="19"/>
      <c r="D94" s="18"/>
      <c r="E94" s="20"/>
      <c r="F94" s="23"/>
      <c r="G94" s="23"/>
      <c r="H94" s="18"/>
      <c r="I94" s="18"/>
      <c r="J94" s="24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52"/>
      <c r="B95" s="52"/>
      <c r="C95" s="19"/>
      <c r="D95" s="18"/>
      <c r="E95" s="20"/>
      <c r="F95" s="23"/>
      <c r="G95" s="23"/>
      <c r="H95" s="18"/>
      <c r="I95" s="18"/>
      <c r="J95" s="24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52"/>
      <c r="B96" s="52"/>
      <c r="C96" s="19"/>
      <c r="D96" s="18"/>
      <c r="E96" s="20"/>
      <c r="F96" s="23"/>
      <c r="G96" s="23"/>
      <c r="H96" s="18"/>
      <c r="I96" s="18"/>
      <c r="J96" s="24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52"/>
      <c r="B97" s="52"/>
      <c r="C97" s="19"/>
      <c r="D97" s="18"/>
      <c r="E97" s="20"/>
      <c r="F97" s="23"/>
      <c r="G97" s="23"/>
      <c r="H97" s="18"/>
      <c r="I97" s="18"/>
      <c r="J97" s="24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52"/>
      <c r="B98" s="52"/>
      <c r="C98" s="19"/>
      <c r="D98" s="18"/>
      <c r="E98" s="20"/>
      <c r="F98" s="23"/>
      <c r="G98" s="23"/>
      <c r="H98" s="18"/>
      <c r="I98" s="18"/>
      <c r="J98" s="24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52"/>
      <c r="B99" s="52"/>
      <c r="C99" s="19"/>
      <c r="D99" s="18"/>
      <c r="E99" s="20"/>
      <c r="F99" s="23"/>
      <c r="G99" s="23"/>
      <c r="H99" s="18"/>
      <c r="I99" s="18"/>
      <c r="J99" s="24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52"/>
      <c r="B100" s="52"/>
      <c r="C100" s="19"/>
      <c r="D100" s="18"/>
      <c r="E100" s="20"/>
      <c r="F100" s="23"/>
      <c r="G100" s="23"/>
      <c r="H100" s="18"/>
      <c r="I100" s="18"/>
      <c r="J100" s="24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52"/>
      <c r="B101" s="52"/>
      <c r="C101" s="19"/>
      <c r="D101" s="18"/>
      <c r="E101" s="20"/>
      <c r="F101" s="23"/>
      <c r="G101" s="23"/>
      <c r="H101" s="18"/>
      <c r="I101" s="18"/>
      <c r="J101" s="24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52"/>
      <c r="B102" s="52"/>
      <c r="C102" s="19"/>
      <c r="D102" s="18"/>
      <c r="E102" s="20"/>
      <c r="F102" s="23"/>
      <c r="G102" s="23"/>
      <c r="H102" s="18"/>
      <c r="I102" s="18"/>
      <c r="J102" s="24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52"/>
      <c r="B103" s="52"/>
      <c r="C103" s="19"/>
      <c r="D103" s="18"/>
      <c r="E103" s="20"/>
      <c r="F103" s="23"/>
      <c r="G103" s="23"/>
      <c r="H103" s="18"/>
      <c r="I103" s="18"/>
      <c r="J103" s="24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52"/>
      <c r="B104" s="52"/>
      <c r="C104" s="19"/>
      <c r="D104" s="18"/>
      <c r="E104" s="20"/>
      <c r="F104" s="23"/>
      <c r="G104" s="23"/>
      <c r="H104" s="18"/>
      <c r="I104" s="18"/>
      <c r="J104" s="24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52"/>
      <c r="B105" s="52"/>
      <c r="C105" s="19"/>
      <c r="D105" s="18"/>
      <c r="E105" s="20"/>
      <c r="F105" s="23"/>
      <c r="G105" s="23"/>
      <c r="H105" s="18"/>
      <c r="I105" s="18"/>
      <c r="J105" s="24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</sheetData>
  <autoFilter ref="A2:J80" xr:uid="{00000000-0009-0000-0000-000008000000}">
    <sortState xmlns:xlrd2="http://schemas.microsoft.com/office/spreadsheetml/2017/richdata2" ref="A2:J80">
      <sortCondition ref="E2:E80"/>
    </sortState>
  </autoFilter>
  <conditionalFormatting sqref="J3:J76">
    <cfRule type="notContainsBlanks" dxfId="48" priority="1">
      <formula>LEN(TRIM(J3))&gt;0</formula>
    </cfRule>
  </conditionalFormatting>
  <conditionalFormatting sqref="J3:J76">
    <cfRule type="containsBlanks" dxfId="47" priority="2">
      <formula>LEN(TRIM(J3))=0</formula>
    </cfRule>
  </conditionalFormatting>
  <conditionalFormatting sqref="C22:C76">
    <cfRule type="cellIs" dxfId="46" priority="3" operator="greaterThan">
      <formula>$B$4+$B$5:$B$76</formula>
    </cfRule>
  </conditionalFormatting>
  <conditionalFormatting sqref="A22:F76 H22:I76">
    <cfRule type="containsBlanks" dxfId="45" priority="4">
      <formula>LEN(TRIM(A22))=0</formula>
    </cfRule>
  </conditionalFormatting>
  <conditionalFormatting sqref="I3:I76">
    <cfRule type="containsText" dxfId="44" priority="5" operator="containsText" text="BOLETO">
      <formula>NOT(ISERROR(SEARCH(("BOLETO"),(I3))))</formula>
    </cfRule>
  </conditionalFormatting>
  <conditionalFormatting sqref="I3:I76">
    <cfRule type="containsText" dxfId="43" priority="6" operator="containsText" text="CARTÃO ">
      <formula>NOT(ISERROR(SEARCH(("CARTÃO "),(I3))))</formula>
    </cfRule>
  </conditionalFormatting>
  <conditionalFormatting sqref="I3:I76">
    <cfRule type="containsText" dxfId="42" priority="7" operator="containsText" text="DEP C/C">
      <formula>NOT(ISERROR(SEARCH(("DEP C/C"),(I3))))</formula>
    </cfRule>
  </conditionalFormatting>
  <conditionalFormatting sqref="G3:I3 G4:G76 G78:G80 H4:I21">
    <cfRule type="containsBlanks" dxfId="41" priority="8">
      <formula>LEN(TRIM(G3))=0</formula>
    </cfRule>
  </conditionalFormatting>
  <conditionalFormatting sqref="C3:C21">
    <cfRule type="containsBlanks" dxfId="40" priority="9">
      <formula>LEN(TRIM(C3))=0</formula>
    </cfRule>
  </conditionalFormatting>
  <conditionalFormatting sqref="C3:C76">
    <cfRule type="containsText" dxfId="39" priority="10" operator="containsText" text="PENDENTE">
      <formula>NOT(ISERROR(SEARCH(("PENDENTE"),(C3))))</formula>
    </cfRule>
  </conditionalFormatting>
  <conditionalFormatting sqref="B3:B76">
    <cfRule type="timePeriod" dxfId="38" priority="11" timePeriod="yesterday">
      <formula>FLOOR(B3,1)=TODAY()-1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30"/>
  <sheetViews>
    <sheetView showGridLines="0" workbookViewId="0">
      <pane ySplit="2" topLeftCell="A3" activePane="bottomLeft" state="frozen"/>
      <selection activeCell="F19" sqref="F19"/>
      <selection pane="bottomLeft" activeCell="F19" sqref="F19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3.8164062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9" customHeight="1" x14ac:dyDescent="0.35">
      <c r="A1" s="32"/>
      <c r="B1" s="32"/>
      <c r="C1" s="32"/>
      <c r="D1" s="32"/>
      <c r="E1" s="1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11"/>
      <c r="B9" s="11"/>
      <c r="C9" s="11"/>
      <c r="D9" s="5"/>
      <c r="E9" s="8"/>
      <c r="F9" s="12"/>
      <c r="G9" s="12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11"/>
      <c r="B16" s="11"/>
      <c r="C16" s="11"/>
      <c r="D16" s="5"/>
      <c r="E16" s="8"/>
      <c r="F16" s="12"/>
      <c r="G16" s="12"/>
      <c r="H16" s="5"/>
      <c r="I16" s="5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11"/>
      <c r="B22" s="11"/>
      <c r="C22" s="11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35">
      <c r="A25" s="11"/>
      <c r="B25" s="11"/>
      <c r="C25" s="11"/>
      <c r="D25" s="13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 x14ac:dyDescent="0.35">
      <c r="A35" s="11"/>
      <c r="B35" s="11"/>
      <c r="C35" s="11"/>
      <c r="D35" s="13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 x14ac:dyDescent="0.35">
      <c r="A36" s="11"/>
      <c r="B36" s="11"/>
      <c r="C36" s="11"/>
      <c r="D36" s="13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" customHeight="1" x14ac:dyDescent="0.35">
      <c r="A38" s="11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" customHeight="1" x14ac:dyDescent="0.35">
      <c r="A40" s="11"/>
      <c r="B40" s="11"/>
      <c r="C40" s="11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" customHeight="1" x14ac:dyDescent="0.35">
      <c r="A41" s="11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" customHeight="1" x14ac:dyDescent="0.35">
      <c r="A42" s="11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customHeight="1" x14ac:dyDescent="0.35">
      <c r="A45" s="11"/>
      <c r="B45" s="11"/>
      <c r="C45" s="11"/>
      <c r="D45" s="5"/>
      <c r="E45" s="8"/>
      <c r="F45" s="12"/>
      <c r="G45" s="12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customHeight="1" x14ac:dyDescent="0.35">
      <c r="A51" s="11"/>
      <c r="B51" s="11"/>
      <c r="C51" s="11"/>
      <c r="D51" s="5"/>
      <c r="E51" s="8"/>
      <c r="F51" s="12"/>
      <c r="G51" s="12"/>
      <c r="H51" s="5"/>
      <c r="I51" s="5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customHeight="1" x14ac:dyDescent="0.35">
      <c r="A53" s="11"/>
      <c r="B53" s="11"/>
      <c r="C53" s="11"/>
      <c r="D53" s="5"/>
      <c r="E53" s="8"/>
      <c r="F53" s="12"/>
      <c r="G53" s="12">
        <f t="shared" ref="G3:G76" si="0">IF(OR(C53 = "",C53="PENDENTE"), 0, IF(OR(C53&lt;=B53,H53=1),F53,(F53*0.1966/100)*(C53-B53)+F53))</f>
        <v>0</v>
      </c>
      <c r="H53" s="5"/>
      <c r="I53" s="5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" customHeight="1" x14ac:dyDescent="0.35">
      <c r="A54" s="11"/>
      <c r="B54" s="11"/>
      <c r="C54" s="11"/>
      <c r="D54" s="5"/>
      <c r="E54" s="8"/>
      <c r="F54" s="12"/>
      <c r="G54" s="12">
        <f t="shared" si="0"/>
        <v>0</v>
      </c>
      <c r="H54" s="5"/>
      <c r="I54" s="5"/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customHeight="1" x14ac:dyDescent="0.35">
      <c r="A55" s="11"/>
      <c r="B55" s="11"/>
      <c r="C55" s="11"/>
      <c r="D55" s="5"/>
      <c r="E55" s="8"/>
      <c r="F55" s="12"/>
      <c r="G55" s="12">
        <f t="shared" si="0"/>
        <v>0</v>
      </c>
      <c r="H55" s="5"/>
      <c r="I55" s="5"/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" customHeight="1" x14ac:dyDescent="0.35">
      <c r="A56" s="11"/>
      <c r="B56" s="11"/>
      <c r="C56" s="11"/>
      <c r="D56" s="5"/>
      <c r="E56" s="8"/>
      <c r="F56" s="12"/>
      <c r="G56" s="12">
        <f t="shared" si="0"/>
        <v>0</v>
      </c>
      <c r="H56" s="5"/>
      <c r="I56" s="5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customHeight="1" x14ac:dyDescent="0.35">
      <c r="A57" s="11"/>
      <c r="B57" s="11"/>
      <c r="C57" s="11"/>
      <c r="D57" s="5"/>
      <c r="E57" s="8"/>
      <c r="F57" s="12"/>
      <c r="G57" s="12">
        <f t="shared" si="0"/>
        <v>0</v>
      </c>
      <c r="H57" s="5"/>
      <c r="I57" s="5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" customHeight="1" x14ac:dyDescent="0.35">
      <c r="A58" s="11"/>
      <c r="B58" s="11"/>
      <c r="C58" s="11"/>
      <c r="D58" s="5"/>
      <c r="E58" s="8"/>
      <c r="F58" s="12"/>
      <c r="G58" s="12">
        <f t="shared" si="0"/>
        <v>0</v>
      </c>
      <c r="H58" s="5"/>
      <c r="I58" s="5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customHeight="1" x14ac:dyDescent="0.35">
      <c r="A59" s="11"/>
      <c r="B59" s="11"/>
      <c r="C59" s="11"/>
      <c r="D59" s="5"/>
      <c r="E59" s="8"/>
      <c r="F59" s="12"/>
      <c r="G59" s="12">
        <f t="shared" si="0"/>
        <v>0</v>
      </c>
      <c r="H59" s="5"/>
      <c r="I59" s="5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" customHeight="1" x14ac:dyDescent="0.35">
      <c r="A60" s="11"/>
      <c r="B60" s="11"/>
      <c r="C60" s="11"/>
      <c r="D60" s="5"/>
      <c r="E60" s="8"/>
      <c r="F60" s="12"/>
      <c r="G60" s="12">
        <f t="shared" si="0"/>
        <v>0</v>
      </c>
      <c r="H60" s="5"/>
      <c r="I60" s="5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customHeight="1" x14ac:dyDescent="0.35">
      <c r="A61" s="11"/>
      <c r="B61" s="11"/>
      <c r="C61" s="11"/>
      <c r="D61" s="5"/>
      <c r="E61" s="8"/>
      <c r="F61" s="12"/>
      <c r="G61" s="12">
        <f t="shared" si="0"/>
        <v>0</v>
      </c>
      <c r="H61" s="5"/>
      <c r="I61" s="5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customHeight="1" x14ac:dyDescent="0.35">
      <c r="A62" s="11"/>
      <c r="B62" s="11"/>
      <c r="C62" s="11"/>
      <c r="D62" s="5"/>
      <c r="E62" s="8"/>
      <c r="F62" s="12"/>
      <c r="G62" s="12">
        <f t="shared" si="0"/>
        <v>0</v>
      </c>
      <c r="H62" s="5"/>
      <c r="I62" s="5"/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" customHeight="1" x14ac:dyDescent="0.35">
      <c r="A63" s="11"/>
      <c r="B63" s="11"/>
      <c r="C63" s="11"/>
      <c r="D63" s="5"/>
      <c r="E63" s="8"/>
      <c r="F63" s="12"/>
      <c r="G63" s="12">
        <f t="shared" si="0"/>
        <v>0</v>
      </c>
      <c r="H63" s="5"/>
      <c r="I63" s="5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customHeight="1" x14ac:dyDescent="0.35">
      <c r="A77" s="19"/>
      <c r="B77" s="19"/>
      <c r="C77" s="19"/>
      <c r="D77" s="18"/>
      <c r="E77" s="20"/>
      <c r="F77" s="21">
        <f t="shared" ref="F77:G77" si="1">SUM(F3:F76)</f>
        <v>0</v>
      </c>
      <c r="G77" s="21">
        <f t="shared" si="1"/>
        <v>0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" customHeight="1" x14ac:dyDescent="0.35">
      <c r="A78" s="19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customHeight="1" x14ac:dyDescent="0.35">
      <c r="A79" s="19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customHeight="1" x14ac:dyDescent="0.35">
      <c r="A80" s="19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52"/>
      <c r="B81" s="52"/>
      <c r="C81" s="19"/>
      <c r="D81" s="18"/>
      <c r="E81" s="20"/>
      <c r="F81" s="23"/>
      <c r="G81" s="23"/>
      <c r="H81" s="18"/>
      <c r="I81" s="18"/>
      <c r="J81" s="24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52"/>
      <c r="B82" s="52"/>
      <c r="C82" s="19"/>
      <c r="D82" s="18"/>
      <c r="E82" s="20"/>
      <c r="F82" s="23"/>
      <c r="G82" s="23"/>
      <c r="H82" s="18"/>
      <c r="I82" s="18"/>
      <c r="J82" s="24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52"/>
      <c r="B83" s="52"/>
      <c r="C83" s="19"/>
      <c r="D83" s="18"/>
      <c r="E83" s="20"/>
      <c r="F83" s="23"/>
      <c r="G83" s="23"/>
      <c r="H83" s="18"/>
      <c r="I83" s="18"/>
      <c r="J83" s="24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52"/>
      <c r="B84" s="52"/>
      <c r="C84" s="19"/>
      <c r="D84" s="18"/>
      <c r="E84" s="20"/>
      <c r="F84" s="23"/>
      <c r="G84" s="23"/>
      <c r="H84" s="18"/>
      <c r="I84" s="18"/>
      <c r="J84" s="24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52"/>
      <c r="B85" s="52"/>
      <c r="C85" s="19"/>
      <c r="D85" s="18"/>
      <c r="E85" s="20"/>
      <c r="F85" s="23"/>
      <c r="G85" s="23"/>
      <c r="H85" s="18"/>
      <c r="I85" s="18"/>
      <c r="J85" s="24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52"/>
      <c r="B86" s="52"/>
      <c r="C86" s="19"/>
      <c r="D86" s="18"/>
      <c r="E86" s="20"/>
      <c r="F86" s="23"/>
      <c r="G86" s="23"/>
      <c r="H86" s="18"/>
      <c r="I86" s="18"/>
      <c r="J86" s="24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52"/>
      <c r="B87" s="52"/>
      <c r="C87" s="19"/>
      <c r="D87" s="18"/>
      <c r="E87" s="20"/>
      <c r="F87" s="23"/>
      <c r="G87" s="23"/>
      <c r="H87" s="18"/>
      <c r="I87" s="18"/>
      <c r="J87" s="24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52"/>
      <c r="B88" s="52"/>
      <c r="C88" s="19"/>
      <c r="D88" s="18"/>
      <c r="E88" s="20"/>
      <c r="F88" s="23"/>
      <c r="G88" s="23"/>
      <c r="H88" s="18"/>
      <c r="I88" s="18"/>
      <c r="J88" s="24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52"/>
      <c r="B89" s="52"/>
      <c r="C89" s="19"/>
      <c r="D89" s="18"/>
      <c r="E89" s="20"/>
      <c r="F89" s="23"/>
      <c r="G89" s="23"/>
      <c r="H89" s="18"/>
      <c r="I89" s="18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52"/>
      <c r="B90" s="52"/>
      <c r="C90" s="19"/>
      <c r="D90" s="18"/>
      <c r="E90" s="20"/>
      <c r="F90" s="23"/>
      <c r="G90" s="23"/>
      <c r="H90" s="18"/>
      <c r="I90" s="18"/>
      <c r="J90" s="24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52"/>
      <c r="B91" s="52"/>
      <c r="C91" s="19"/>
      <c r="D91" s="18"/>
      <c r="E91" s="20"/>
      <c r="F91" s="23"/>
      <c r="G91" s="23"/>
      <c r="H91" s="18"/>
      <c r="I91" s="18"/>
      <c r="J91" s="24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52"/>
      <c r="B92" s="52"/>
      <c r="C92" s="19"/>
      <c r="D92" s="18"/>
      <c r="E92" s="20"/>
      <c r="F92" s="23"/>
      <c r="G92" s="23"/>
      <c r="H92" s="18"/>
      <c r="I92" s="18"/>
      <c r="J92" s="24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52"/>
      <c r="B93" s="52"/>
      <c r="C93" s="19"/>
      <c r="D93" s="18"/>
      <c r="E93" s="20"/>
      <c r="F93" s="23"/>
      <c r="G93" s="23"/>
      <c r="H93" s="18"/>
      <c r="I93" s="18"/>
      <c r="J93" s="24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52"/>
      <c r="B94" s="52"/>
      <c r="C94" s="19"/>
      <c r="D94" s="18"/>
      <c r="E94" s="20"/>
      <c r="F94" s="23"/>
      <c r="G94" s="23"/>
      <c r="H94" s="18"/>
      <c r="I94" s="18"/>
      <c r="J94" s="24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52"/>
      <c r="B95" s="52"/>
      <c r="C95" s="19"/>
      <c r="D95" s="18"/>
      <c r="E95" s="20"/>
      <c r="F95" s="23"/>
      <c r="G95" s="23"/>
      <c r="H95" s="18"/>
      <c r="I95" s="18"/>
      <c r="J95" s="24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52"/>
      <c r="B96" s="52"/>
      <c r="C96" s="19"/>
      <c r="D96" s="18"/>
      <c r="E96" s="20"/>
      <c r="F96" s="23"/>
      <c r="G96" s="23"/>
      <c r="H96" s="18"/>
      <c r="I96" s="18"/>
      <c r="J96" s="24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52"/>
      <c r="B97" s="52"/>
      <c r="C97" s="19"/>
      <c r="D97" s="18"/>
      <c r="E97" s="20"/>
      <c r="F97" s="23"/>
      <c r="G97" s="23"/>
      <c r="H97" s="18"/>
      <c r="I97" s="18"/>
      <c r="J97" s="24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52"/>
      <c r="B98" s="52"/>
      <c r="C98" s="19"/>
      <c r="D98" s="18"/>
      <c r="E98" s="20"/>
      <c r="F98" s="23"/>
      <c r="G98" s="23"/>
      <c r="H98" s="18"/>
      <c r="I98" s="18"/>
      <c r="J98" s="24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52"/>
      <c r="B99" s="52"/>
      <c r="C99" s="19"/>
      <c r="D99" s="18"/>
      <c r="E99" s="20"/>
      <c r="F99" s="23"/>
      <c r="G99" s="23"/>
      <c r="H99" s="18"/>
      <c r="I99" s="18"/>
      <c r="J99" s="24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52"/>
      <c r="B100" s="52"/>
      <c r="C100" s="19"/>
      <c r="D100" s="18"/>
      <c r="E100" s="20"/>
      <c r="F100" s="23"/>
      <c r="G100" s="23"/>
      <c r="H100" s="18"/>
      <c r="I100" s="18"/>
      <c r="J100" s="24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52"/>
      <c r="B101" s="52"/>
      <c r="C101" s="19"/>
      <c r="D101" s="18"/>
      <c r="E101" s="20"/>
      <c r="F101" s="23"/>
      <c r="G101" s="23"/>
      <c r="H101" s="18"/>
      <c r="I101" s="18"/>
      <c r="J101" s="24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52"/>
      <c r="B102" s="52"/>
      <c r="C102" s="19"/>
      <c r="D102" s="18"/>
      <c r="E102" s="20"/>
      <c r="F102" s="23"/>
      <c r="G102" s="23"/>
      <c r="H102" s="18"/>
      <c r="I102" s="18"/>
      <c r="J102" s="24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52"/>
      <c r="B103" s="52"/>
      <c r="C103" s="19"/>
      <c r="D103" s="18"/>
      <c r="E103" s="20"/>
      <c r="F103" s="23"/>
      <c r="G103" s="23"/>
      <c r="H103" s="18"/>
      <c r="I103" s="18"/>
      <c r="J103" s="24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52"/>
      <c r="B104" s="52"/>
      <c r="C104" s="19"/>
      <c r="D104" s="18"/>
      <c r="E104" s="20"/>
      <c r="F104" s="23"/>
      <c r="G104" s="23"/>
      <c r="H104" s="18"/>
      <c r="I104" s="18"/>
      <c r="J104" s="24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52"/>
      <c r="B105" s="52"/>
      <c r="C105" s="19"/>
      <c r="D105" s="18"/>
      <c r="E105" s="20"/>
      <c r="F105" s="23"/>
      <c r="G105" s="23"/>
      <c r="H105" s="18"/>
      <c r="I105" s="18"/>
      <c r="J105" s="24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</sheetData>
  <autoFilter ref="A2:J80" xr:uid="{00000000-0009-0000-0000-000009000000}">
    <sortState xmlns:xlrd2="http://schemas.microsoft.com/office/spreadsheetml/2017/richdata2" ref="A2:J80">
      <sortCondition ref="E2:E80"/>
    </sortState>
  </autoFilter>
  <conditionalFormatting sqref="J3:J76">
    <cfRule type="notContainsBlanks" dxfId="37" priority="1">
      <formula>LEN(TRIM(J3))&gt;0</formula>
    </cfRule>
  </conditionalFormatting>
  <conditionalFormatting sqref="J3:J76">
    <cfRule type="containsBlanks" dxfId="36" priority="2">
      <formula>LEN(TRIM(J3))=0</formula>
    </cfRule>
  </conditionalFormatting>
  <conditionalFormatting sqref="C22:C76">
    <cfRule type="cellIs" dxfId="35" priority="3" operator="greaterThan">
      <formula>$B$4+$B$5:$B$76</formula>
    </cfRule>
  </conditionalFormatting>
  <conditionalFormatting sqref="A22:F76 H22:I76">
    <cfRule type="containsBlanks" dxfId="34" priority="4">
      <formula>LEN(TRIM(A22))=0</formula>
    </cfRule>
  </conditionalFormatting>
  <conditionalFormatting sqref="I3:I76">
    <cfRule type="containsText" dxfId="33" priority="5" operator="containsText" text="BOLETO">
      <formula>NOT(ISERROR(SEARCH(("BOLETO"),(I3))))</formula>
    </cfRule>
  </conditionalFormatting>
  <conditionalFormatting sqref="I3:I76">
    <cfRule type="containsText" dxfId="32" priority="6" operator="containsText" text="CARTÃO ">
      <formula>NOT(ISERROR(SEARCH(("CARTÃO "),(I3))))</formula>
    </cfRule>
  </conditionalFormatting>
  <conditionalFormatting sqref="I3:I76">
    <cfRule type="containsText" dxfId="31" priority="7" operator="containsText" text="DEP C/C">
      <formula>NOT(ISERROR(SEARCH(("DEP C/C"),(I3))))</formula>
    </cfRule>
  </conditionalFormatting>
  <conditionalFormatting sqref="G3:I3 G4:G76 G78:G80 H4:I21">
    <cfRule type="containsBlanks" dxfId="30" priority="8">
      <formula>LEN(TRIM(G3))=0</formula>
    </cfRule>
  </conditionalFormatting>
  <conditionalFormatting sqref="C3:C21">
    <cfRule type="containsBlanks" dxfId="29" priority="9">
      <formula>LEN(TRIM(C3))=0</formula>
    </cfRule>
  </conditionalFormatting>
  <conditionalFormatting sqref="C3:C76">
    <cfRule type="containsText" dxfId="28" priority="10" operator="containsText" text="PENDENTE">
      <formula>NOT(ISERROR(SEARCH(("PENDENTE"),(C3))))</formula>
    </cfRule>
  </conditionalFormatting>
  <conditionalFormatting sqref="B3:B76">
    <cfRule type="timePeriod" dxfId="27" priority="11" timePeriod="yesterday">
      <formula>FLOOR(B3,1)=TODAY()-1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30"/>
  <sheetViews>
    <sheetView showGridLines="0" workbookViewId="0">
      <pane ySplit="2" topLeftCell="A3" activePane="bottomLeft" state="frozen"/>
      <selection activeCell="F19" sqref="F19"/>
      <selection pane="bottomLeft" activeCell="F19" sqref="F19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3.8164062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9" customHeight="1" x14ac:dyDescent="0.35">
      <c r="A1" s="32"/>
      <c r="B1" s="32"/>
      <c r="C1" s="32"/>
      <c r="D1" s="32"/>
      <c r="E1" s="1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11"/>
      <c r="B9" s="11"/>
      <c r="C9" s="11"/>
      <c r="D9" s="5"/>
      <c r="E9" s="8"/>
      <c r="F9" s="12"/>
      <c r="G9" s="12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11"/>
      <c r="B16" s="11"/>
      <c r="C16" s="11"/>
      <c r="D16" s="5"/>
      <c r="E16" s="8"/>
      <c r="F16" s="12"/>
      <c r="G16" s="12"/>
      <c r="H16" s="5"/>
      <c r="I16" s="5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11"/>
      <c r="B22" s="11"/>
      <c r="C22" s="11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35">
      <c r="A25" s="11"/>
      <c r="B25" s="11"/>
      <c r="C25" s="11"/>
      <c r="D25" s="13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customHeight="1" x14ac:dyDescent="0.35">
      <c r="A35" s="11"/>
      <c r="B35" s="11"/>
      <c r="C35" s="11"/>
      <c r="D35" s="13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 x14ac:dyDescent="0.35">
      <c r="A36" s="11"/>
      <c r="B36" s="11"/>
      <c r="C36" s="11"/>
      <c r="D36" s="13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" customHeight="1" x14ac:dyDescent="0.35">
      <c r="A38" s="11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" customHeight="1" x14ac:dyDescent="0.35">
      <c r="A40" s="11"/>
      <c r="B40" s="11"/>
      <c r="C40" s="11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" customHeight="1" x14ac:dyDescent="0.35">
      <c r="A41" s="11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" customHeight="1" x14ac:dyDescent="0.35">
      <c r="A42" s="11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customHeight="1" x14ac:dyDescent="0.35">
      <c r="A45" s="11"/>
      <c r="B45" s="11"/>
      <c r="C45" s="11"/>
      <c r="D45" s="5"/>
      <c r="E45" s="8"/>
      <c r="F45" s="12"/>
      <c r="G45" s="12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customHeight="1" x14ac:dyDescent="0.35">
      <c r="A51" s="11"/>
      <c r="B51" s="11"/>
      <c r="C51" s="11"/>
      <c r="D51" s="5"/>
      <c r="E51" s="8"/>
      <c r="F51" s="12"/>
      <c r="G51" s="12"/>
      <c r="H51" s="5"/>
      <c r="I51" s="5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customHeight="1" x14ac:dyDescent="0.35">
      <c r="A53" s="11"/>
      <c r="B53" s="11"/>
      <c r="C53" s="11"/>
      <c r="D53" s="5"/>
      <c r="E53" s="8"/>
      <c r="F53" s="12"/>
      <c r="G53" s="12">
        <f t="shared" ref="G3:G76" si="0">IF(OR(C53 = "",C53="PENDENTE"), 0, IF(OR(C53&lt;=B53,H53=1),F53,(F53*0.1966/100)*(C53-B53)+F53))</f>
        <v>0</v>
      </c>
      <c r="H53" s="5"/>
      <c r="I53" s="5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" customHeight="1" x14ac:dyDescent="0.35">
      <c r="A54" s="11"/>
      <c r="B54" s="11"/>
      <c r="C54" s="11"/>
      <c r="D54" s="5"/>
      <c r="E54" s="8"/>
      <c r="F54" s="12"/>
      <c r="G54" s="12">
        <f t="shared" si="0"/>
        <v>0</v>
      </c>
      <c r="H54" s="5"/>
      <c r="I54" s="5"/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customHeight="1" x14ac:dyDescent="0.35">
      <c r="A55" s="11"/>
      <c r="B55" s="11"/>
      <c r="C55" s="11"/>
      <c r="D55" s="5"/>
      <c r="E55" s="8"/>
      <c r="F55" s="12"/>
      <c r="G55" s="12">
        <f t="shared" si="0"/>
        <v>0</v>
      </c>
      <c r="H55" s="5"/>
      <c r="I55" s="5"/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" customHeight="1" x14ac:dyDescent="0.35">
      <c r="A56" s="11"/>
      <c r="B56" s="11"/>
      <c r="C56" s="11"/>
      <c r="D56" s="5"/>
      <c r="E56" s="8"/>
      <c r="F56" s="12"/>
      <c r="G56" s="12">
        <f t="shared" si="0"/>
        <v>0</v>
      </c>
      <c r="H56" s="5"/>
      <c r="I56" s="5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customHeight="1" x14ac:dyDescent="0.35">
      <c r="A57" s="11"/>
      <c r="B57" s="11"/>
      <c r="C57" s="11"/>
      <c r="D57" s="5"/>
      <c r="E57" s="8"/>
      <c r="F57" s="12"/>
      <c r="G57" s="12">
        <f t="shared" si="0"/>
        <v>0</v>
      </c>
      <c r="H57" s="5"/>
      <c r="I57" s="5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" customHeight="1" x14ac:dyDescent="0.35">
      <c r="A58" s="11"/>
      <c r="B58" s="11"/>
      <c r="C58" s="11"/>
      <c r="D58" s="5"/>
      <c r="E58" s="8"/>
      <c r="F58" s="12"/>
      <c r="G58" s="12">
        <f t="shared" si="0"/>
        <v>0</v>
      </c>
      <c r="H58" s="5"/>
      <c r="I58" s="5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customHeight="1" x14ac:dyDescent="0.35">
      <c r="A59" s="11"/>
      <c r="B59" s="11"/>
      <c r="C59" s="11"/>
      <c r="D59" s="5"/>
      <c r="E59" s="8"/>
      <c r="F59" s="12"/>
      <c r="G59" s="12">
        <f t="shared" si="0"/>
        <v>0</v>
      </c>
      <c r="H59" s="5"/>
      <c r="I59" s="5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" customHeight="1" x14ac:dyDescent="0.35">
      <c r="A60" s="11"/>
      <c r="B60" s="11"/>
      <c r="C60" s="11"/>
      <c r="D60" s="5"/>
      <c r="E60" s="8"/>
      <c r="F60" s="12"/>
      <c r="G60" s="12">
        <f t="shared" si="0"/>
        <v>0</v>
      </c>
      <c r="H60" s="5"/>
      <c r="I60" s="5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customHeight="1" x14ac:dyDescent="0.35">
      <c r="A61" s="11"/>
      <c r="B61" s="11"/>
      <c r="C61" s="11"/>
      <c r="D61" s="5"/>
      <c r="E61" s="8"/>
      <c r="F61" s="12"/>
      <c r="G61" s="12">
        <f t="shared" si="0"/>
        <v>0</v>
      </c>
      <c r="H61" s="5"/>
      <c r="I61" s="5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customHeight="1" x14ac:dyDescent="0.35">
      <c r="A62" s="11"/>
      <c r="B62" s="11"/>
      <c r="C62" s="11"/>
      <c r="D62" s="5"/>
      <c r="E62" s="8"/>
      <c r="F62" s="12"/>
      <c r="G62" s="12">
        <f t="shared" si="0"/>
        <v>0</v>
      </c>
      <c r="H62" s="5"/>
      <c r="I62" s="5"/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" customHeight="1" x14ac:dyDescent="0.35">
      <c r="A63" s="11"/>
      <c r="B63" s="11"/>
      <c r="C63" s="11"/>
      <c r="D63" s="5"/>
      <c r="E63" s="8"/>
      <c r="F63" s="12"/>
      <c r="G63" s="12">
        <f t="shared" si="0"/>
        <v>0</v>
      </c>
      <c r="H63" s="5"/>
      <c r="I63" s="5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customHeight="1" x14ac:dyDescent="0.35">
      <c r="A77" s="19"/>
      <c r="B77" s="19"/>
      <c r="C77" s="19"/>
      <c r="D77" s="18"/>
      <c r="E77" s="20"/>
      <c r="F77" s="21">
        <f t="shared" ref="F77:G77" si="1">SUM(F3:F76)</f>
        <v>0</v>
      </c>
      <c r="G77" s="21">
        <f t="shared" si="1"/>
        <v>0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" customHeight="1" x14ac:dyDescent="0.35">
      <c r="A78" s="19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customHeight="1" x14ac:dyDescent="0.35">
      <c r="A79" s="19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customHeight="1" x14ac:dyDescent="0.35">
      <c r="A80" s="19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52"/>
      <c r="B81" s="52"/>
      <c r="C81" s="19"/>
      <c r="D81" s="18"/>
      <c r="E81" s="20"/>
      <c r="F81" s="23"/>
      <c r="G81" s="23"/>
      <c r="H81" s="18"/>
      <c r="I81" s="18"/>
      <c r="J81" s="24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52"/>
      <c r="B82" s="52"/>
      <c r="C82" s="19"/>
      <c r="D82" s="18"/>
      <c r="E82" s="20"/>
      <c r="F82" s="23"/>
      <c r="G82" s="23"/>
      <c r="H82" s="18"/>
      <c r="I82" s="18"/>
      <c r="J82" s="24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52"/>
      <c r="B83" s="52"/>
      <c r="C83" s="19"/>
      <c r="D83" s="18"/>
      <c r="E83" s="20"/>
      <c r="F83" s="23"/>
      <c r="G83" s="23"/>
      <c r="H83" s="18"/>
      <c r="I83" s="18"/>
      <c r="J83" s="24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52"/>
      <c r="B84" s="52"/>
      <c r="C84" s="19"/>
      <c r="D84" s="18"/>
      <c r="E84" s="20"/>
      <c r="F84" s="23"/>
      <c r="G84" s="23"/>
      <c r="H84" s="18"/>
      <c r="I84" s="18"/>
      <c r="J84" s="24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52"/>
      <c r="B85" s="52"/>
      <c r="C85" s="19"/>
      <c r="D85" s="18"/>
      <c r="E85" s="20"/>
      <c r="F85" s="23"/>
      <c r="G85" s="23"/>
      <c r="H85" s="18"/>
      <c r="I85" s="18"/>
      <c r="J85" s="24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52"/>
      <c r="B86" s="52"/>
      <c r="C86" s="19"/>
      <c r="D86" s="18"/>
      <c r="E86" s="20"/>
      <c r="F86" s="23"/>
      <c r="G86" s="23"/>
      <c r="H86" s="18"/>
      <c r="I86" s="18"/>
      <c r="J86" s="24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52"/>
      <c r="B87" s="52"/>
      <c r="C87" s="19"/>
      <c r="D87" s="18"/>
      <c r="E87" s="20"/>
      <c r="F87" s="23"/>
      <c r="G87" s="23"/>
      <c r="H87" s="18"/>
      <c r="I87" s="18"/>
      <c r="J87" s="24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52"/>
      <c r="B88" s="52"/>
      <c r="C88" s="19"/>
      <c r="D88" s="18"/>
      <c r="E88" s="20"/>
      <c r="F88" s="23"/>
      <c r="G88" s="23"/>
      <c r="H88" s="18"/>
      <c r="I88" s="18"/>
      <c r="J88" s="24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52"/>
      <c r="B89" s="52"/>
      <c r="C89" s="19"/>
      <c r="D89" s="18"/>
      <c r="E89" s="20"/>
      <c r="F89" s="23"/>
      <c r="G89" s="23"/>
      <c r="H89" s="18"/>
      <c r="I89" s="18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52"/>
      <c r="B90" s="52"/>
      <c r="C90" s="19"/>
      <c r="D90" s="18"/>
      <c r="E90" s="20"/>
      <c r="F90" s="23"/>
      <c r="G90" s="23"/>
      <c r="H90" s="18"/>
      <c r="I90" s="18"/>
      <c r="J90" s="24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52"/>
      <c r="B91" s="52"/>
      <c r="C91" s="19"/>
      <c r="D91" s="18"/>
      <c r="E91" s="20"/>
      <c r="F91" s="23"/>
      <c r="G91" s="23"/>
      <c r="H91" s="18"/>
      <c r="I91" s="18"/>
      <c r="J91" s="24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52"/>
      <c r="B92" s="52"/>
      <c r="C92" s="19"/>
      <c r="D92" s="18"/>
      <c r="E92" s="20"/>
      <c r="F92" s="23"/>
      <c r="G92" s="23"/>
      <c r="H92" s="18"/>
      <c r="I92" s="18"/>
      <c r="J92" s="24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52"/>
      <c r="B93" s="52"/>
      <c r="C93" s="19"/>
      <c r="D93" s="18"/>
      <c r="E93" s="20"/>
      <c r="F93" s="23"/>
      <c r="G93" s="23"/>
      <c r="H93" s="18"/>
      <c r="I93" s="18"/>
      <c r="J93" s="24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52"/>
      <c r="B94" s="52"/>
      <c r="C94" s="19"/>
      <c r="D94" s="18"/>
      <c r="E94" s="20"/>
      <c r="F94" s="23"/>
      <c r="G94" s="23"/>
      <c r="H94" s="18"/>
      <c r="I94" s="18"/>
      <c r="J94" s="24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52"/>
      <c r="B95" s="52"/>
      <c r="C95" s="19"/>
      <c r="D95" s="18"/>
      <c r="E95" s="20"/>
      <c r="F95" s="23"/>
      <c r="G95" s="23"/>
      <c r="H95" s="18"/>
      <c r="I95" s="18"/>
      <c r="J95" s="24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52"/>
      <c r="B96" s="52"/>
      <c r="C96" s="19"/>
      <c r="D96" s="18"/>
      <c r="E96" s="20"/>
      <c r="F96" s="23"/>
      <c r="G96" s="23"/>
      <c r="H96" s="18"/>
      <c r="I96" s="18"/>
      <c r="J96" s="24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52"/>
      <c r="B97" s="52"/>
      <c r="C97" s="19"/>
      <c r="D97" s="18"/>
      <c r="E97" s="20"/>
      <c r="F97" s="23"/>
      <c r="G97" s="23"/>
      <c r="H97" s="18"/>
      <c r="I97" s="18"/>
      <c r="J97" s="24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52"/>
      <c r="B98" s="52"/>
      <c r="C98" s="19"/>
      <c r="D98" s="18"/>
      <c r="E98" s="20"/>
      <c r="F98" s="23"/>
      <c r="G98" s="23"/>
      <c r="H98" s="18"/>
      <c r="I98" s="18"/>
      <c r="J98" s="24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52"/>
      <c r="B99" s="52"/>
      <c r="C99" s="19"/>
      <c r="D99" s="18"/>
      <c r="E99" s="20"/>
      <c r="F99" s="23"/>
      <c r="G99" s="23"/>
      <c r="H99" s="18"/>
      <c r="I99" s="18"/>
      <c r="J99" s="24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52"/>
      <c r="B100" s="52"/>
      <c r="C100" s="19"/>
      <c r="D100" s="18"/>
      <c r="E100" s="20"/>
      <c r="F100" s="23"/>
      <c r="G100" s="23"/>
      <c r="H100" s="18"/>
      <c r="I100" s="18"/>
      <c r="J100" s="24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52"/>
      <c r="B101" s="52"/>
      <c r="C101" s="19"/>
      <c r="D101" s="18"/>
      <c r="E101" s="20"/>
      <c r="F101" s="23"/>
      <c r="G101" s="23"/>
      <c r="H101" s="18"/>
      <c r="I101" s="18"/>
      <c r="J101" s="24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52"/>
      <c r="B102" s="52"/>
      <c r="C102" s="19"/>
      <c r="D102" s="18"/>
      <c r="E102" s="20"/>
      <c r="F102" s="23"/>
      <c r="G102" s="23"/>
      <c r="H102" s="18"/>
      <c r="I102" s="18"/>
      <c r="J102" s="24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52"/>
      <c r="B103" s="52"/>
      <c r="C103" s="19"/>
      <c r="D103" s="18"/>
      <c r="E103" s="20"/>
      <c r="F103" s="23"/>
      <c r="G103" s="23"/>
      <c r="H103" s="18"/>
      <c r="I103" s="18"/>
      <c r="J103" s="24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52"/>
      <c r="B104" s="52"/>
      <c r="C104" s="19"/>
      <c r="D104" s="18"/>
      <c r="E104" s="20"/>
      <c r="F104" s="23"/>
      <c r="G104" s="23"/>
      <c r="H104" s="18"/>
      <c r="I104" s="18"/>
      <c r="J104" s="24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52"/>
      <c r="B105" s="52"/>
      <c r="C105" s="19"/>
      <c r="D105" s="18"/>
      <c r="E105" s="20"/>
      <c r="F105" s="23"/>
      <c r="G105" s="23"/>
      <c r="H105" s="18"/>
      <c r="I105" s="18"/>
      <c r="J105" s="24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</sheetData>
  <autoFilter ref="A2:J80" xr:uid="{00000000-0009-0000-0000-00000A000000}">
    <sortState xmlns:xlrd2="http://schemas.microsoft.com/office/spreadsheetml/2017/richdata2" ref="A2:J80">
      <sortCondition ref="E2:E80"/>
    </sortState>
  </autoFilter>
  <conditionalFormatting sqref="J3:J76">
    <cfRule type="notContainsBlanks" dxfId="26" priority="1">
      <formula>LEN(TRIM(J3))&gt;0</formula>
    </cfRule>
  </conditionalFormatting>
  <conditionalFormatting sqref="J3:J76">
    <cfRule type="containsBlanks" dxfId="25" priority="2">
      <formula>LEN(TRIM(J3))=0</formula>
    </cfRule>
  </conditionalFormatting>
  <conditionalFormatting sqref="C22:C76">
    <cfRule type="cellIs" dxfId="24" priority="3" operator="greaterThan">
      <formula>$B$4+$B$5:$B$76</formula>
    </cfRule>
  </conditionalFormatting>
  <conditionalFormatting sqref="A22:F76 H22:I76">
    <cfRule type="containsBlanks" dxfId="23" priority="4">
      <formula>LEN(TRIM(A22))=0</formula>
    </cfRule>
  </conditionalFormatting>
  <conditionalFormatting sqref="I3:I76">
    <cfRule type="containsText" dxfId="22" priority="5" operator="containsText" text="BOLETO">
      <formula>NOT(ISERROR(SEARCH(("BOLETO"),(I3))))</formula>
    </cfRule>
  </conditionalFormatting>
  <conditionalFormatting sqref="I3:I76">
    <cfRule type="containsText" dxfId="21" priority="6" operator="containsText" text="CARTÃO ">
      <formula>NOT(ISERROR(SEARCH(("CARTÃO "),(I3))))</formula>
    </cfRule>
  </conditionalFormatting>
  <conditionalFormatting sqref="I3:I76">
    <cfRule type="containsText" dxfId="20" priority="7" operator="containsText" text="DEP C/C">
      <formula>NOT(ISERROR(SEARCH(("DEP C/C"),(I3))))</formula>
    </cfRule>
  </conditionalFormatting>
  <conditionalFormatting sqref="G3:I3 G4:G76 G78:G80 H4:I21">
    <cfRule type="containsBlanks" dxfId="19" priority="8">
      <formula>LEN(TRIM(G3))=0</formula>
    </cfRule>
  </conditionalFormatting>
  <conditionalFormatting sqref="C3:C21">
    <cfRule type="containsBlanks" dxfId="18" priority="9">
      <formula>LEN(TRIM(C3))=0</formula>
    </cfRule>
  </conditionalFormatting>
  <conditionalFormatting sqref="C3:C76">
    <cfRule type="containsText" dxfId="17" priority="10" operator="containsText" text="PENDENTE">
      <formula>NOT(ISERROR(SEARCH(("PENDENTE"),(C3))))</formula>
    </cfRule>
  </conditionalFormatting>
  <conditionalFormatting sqref="B3:B76">
    <cfRule type="timePeriod" dxfId="16" priority="11" timePeriod="yesterday">
      <formula>FLOOR(B3,1)=TODAY()-1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>
      <pane ySplit="2" topLeftCell="A3" activePane="bottomLeft" state="frozen"/>
      <selection activeCell="E42" sqref="E42"/>
      <selection pane="bottomLeft" activeCell="F19" sqref="F19"/>
    </sheetView>
  </sheetViews>
  <sheetFormatPr defaultColWidth="14.453125" defaultRowHeight="15" customHeight="1" x14ac:dyDescent="0.35"/>
  <cols>
    <col min="1" max="1" width="11.81640625" customWidth="1"/>
    <col min="2" max="2" width="14.7265625" customWidth="1"/>
    <col min="3" max="3" width="14.08984375" customWidth="1"/>
    <col min="4" max="4" width="12.08984375" customWidth="1"/>
    <col min="5" max="5" width="56.54296875" customWidth="1"/>
    <col min="6" max="6" width="16.7265625" customWidth="1"/>
    <col min="7" max="7" width="16.453125" customWidth="1"/>
    <col min="8" max="8" width="4.54296875" customWidth="1"/>
    <col min="9" max="9" width="14.54296875" customWidth="1"/>
    <col min="10" max="10" width="70.81640625" customWidth="1"/>
    <col min="11" max="26" width="8.7265625" customWidth="1"/>
  </cols>
  <sheetData>
    <row r="1" spans="1:26" ht="14.25" customHeight="1" x14ac:dyDescent="0.35">
      <c r="A1" s="32"/>
      <c r="B1" s="32"/>
      <c r="C1" s="32"/>
      <c r="D1" s="32"/>
      <c r="E1" s="1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4.25" customHeight="1" x14ac:dyDescent="0.35">
      <c r="A2" s="3" t="s">
        <v>0</v>
      </c>
      <c r="B2" s="4" t="s">
        <v>1</v>
      </c>
      <c r="C2" s="3" t="s">
        <v>2</v>
      </c>
      <c r="D2" s="5" t="s">
        <v>3</v>
      </c>
      <c r="E2" s="5" t="s">
        <v>4</v>
      </c>
      <c r="F2" s="6" t="s">
        <v>5</v>
      </c>
      <c r="G2" s="7" t="s">
        <v>6</v>
      </c>
      <c r="H2" s="7"/>
      <c r="I2" s="8" t="s">
        <v>7</v>
      </c>
      <c r="J2" s="9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25" customHeight="1" x14ac:dyDescent="0.35">
      <c r="A3" s="11"/>
      <c r="B3" s="11"/>
      <c r="C3" s="11"/>
      <c r="D3" s="5"/>
      <c r="E3" s="8"/>
      <c r="F3" s="12"/>
      <c r="G3" s="12"/>
      <c r="H3" s="5"/>
      <c r="I3" s="5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25" customHeight="1" x14ac:dyDescent="0.35">
      <c r="A4" s="11"/>
      <c r="B4" s="11"/>
      <c r="C4" s="11"/>
      <c r="D4" s="5"/>
      <c r="E4" s="8"/>
      <c r="F4" s="12"/>
      <c r="G4" s="12"/>
      <c r="H4" s="5"/>
      <c r="I4" s="5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25" customHeight="1" x14ac:dyDescent="0.35">
      <c r="A5" s="11"/>
      <c r="B5" s="11"/>
      <c r="C5" s="11"/>
      <c r="D5" s="5"/>
      <c r="E5" s="8"/>
      <c r="F5" s="12"/>
      <c r="G5" s="12"/>
      <c r="H5" s="5"/>
      <c r="I5" s="5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25" customHeight="1" x14ac:dyDescent="0.35">
      <c r="A6" s="11"/>
      <c r="B6" s="11"/>
      <c r="C6" s="11"/>
      <c r="D6" s="5"/>
      <c r="E6" s="8"/>
      <c r="F6" s="12"/>
      <c r="G6" s="12"/>
      <c r="H6" s="5"/>
      <c r="I6" s="5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4.25" customHeight="1" x14ac:dyDescent="0.35">
      <c r="A7" s="11"/>
      <c r="B7" s="11"/>
      <c r="C7" s="11"/>
      <c r="D7" s="5"/>
      <c r="E7" s="8"/>
      <c r="F7" s="12"/>
      <c r="G7" s="12"/>
      <c r="H7" s="5"/>
      <c r="I7" s="5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25" customHeight="1" x14ac:dyDescent="0.35">
      <c r="A8" s="11"/>
      <c r="B8" s="11"/>
      <c r="C8" s="11"/>
      <c r="D8" s="5"/>
      <c r="E8" s="8"/>
      <c r="F8" s="12"/>
      <c r="G8" s="12"/>
      <c r="H8" s="5"/>
      <c r="I8" s="5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25" customHeight="1" x14ac:dyDescent="0.35">
      <c r="A9" s="11"/>
      <c r="B9" s="11"/>
      <c r="C9" s="11"/>
      <c r="D9" s="5"/>
      <c r="E9" s="8"/>
      <c r="F9" s="12"/>
      <c r="G9" s="12"/>
      <c r="H9" s="5"/>
      <c r="I9" s="5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25" customHeight="1" x14ac:dyDescent="0.35">
      <c r="A10" s="11"/>
      <c r="B10" s="11"/>
      <c r="C10" s="11"/>
      <c r="D10" s="5"/>
      <c r="E10" s="8"/>
      <c r="F10" s="12"/>
      <c r="G10" s="12"/>
      <c r="H10" s="5"/>
      <c r="I10" s="5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25" customHeight="1" x14ac:dyDescent="0.35">
      <c r="A11" s="11"/>
      <c r="B11" s="11"/>
      <c r="C11" s="11"/>
      <c r="D11" s="5"/>
      <c r="E11" s="8"/>
      <c r="F11" s="12"/>
      <c r="G11" s="12"/>
      <c r="H11" s="5"/>
      <c r="I11" s="5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25" customHeight="1" x14ac:dyDescent="0.35">
      <c r="A12" s="11"/>
      <c r="B12" s="11"/>
      <c r="C12" s="11"/>
      <c r="D12" s="5"/>
      <c r="E12" s="8"/>
      <c r="F12" s="12"/>
      <c r="G12" s="12"/>
      <c r="H12" s="5"/>
      <c r="I12" s="5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25" customHeight="1" x14ac:dyDescent="0.35">
      <c r="A13" s="11"/>
      <c r="B13" s="11"/>
      <c r="C13" s="11"/>
      <c r="D13" s="5"/>
      <c r="E13" s="8"/>
      <c r="F13" s="12"/>
      <c r="G13" s="12"/>
      <c r="H13" s="5"/>
      <c r="I13" s="5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25" customHeight="1" x14ac:dyDescent="0.35">
      <c r="A14" s="11"/>
      <c r="B14" s="11"/>
      <c r="C14" s="11"/>
      <c r="D14" s="5"/>
      <c r="E14" s="8"/>
      <c r="F14" s="12"/>
      <c r="G14" s="12"/>
      <c r="H14" s="5"/>
      <c r="I14" s="5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25" customHeight="1" x14ac:dyDescent="0.35">
      <c r="A15" s="11"/>
      <c r="B15" s="11"/>
      <c r="C15" s="11"/>
      <c r="D15" s="5"/>
      <c r="E15" s="8"/>
      <c r="F15" s="12"/>
      <c r="G15" s="12"/>
      <c r="H15" s="5"/>
      <c r="I15" s="5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25" customHeight="1" x14ac:dyDescent="0.35">
      <c r="A16" s="11"/>
      <c r="B16" s="11"/>
      <c r="C16" s="11"/>
      <c r="D16" s="5"/>
      <c r="E16" s="8"/>
      <c r="F16" s="12"/>
      <c r="G16" s="12"/>
      <c r="H16" s="5"/>
      <c r="I16" s="5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25" customHeight="1" x14ac:dyDescent="0.35">
      <c r="A17" s="11"/>
      <c r="B17" s="11"/>
      <c r="C17" s="11"/>
      <c r="D17" s="5"/>
      <c r="E17" s="8"/>
      <c r="F17" s="12"/>
      <c r="G17" s="12"/>
      <c r="H17" s="5"/>
      <c r="I17" s="5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25" customHeight="1" x14ac:dyDescent="0.35">
      <c r="A18" s="11"/>
      <c r="B18" s="11"/>
      <c r="C18" s="11"/>
      <c r="D18" s="5"/>
      <c r="E18" s="8"/>
      <c r="F18" s="12"/>
      <c r="G18" s="12"/>
      <c r="H18" s="5"/>
      <c r="I18" s="5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25" customHeight="1" x14ac:dyDescent="0.35">
      <c r="A19" s="11"/>
      <c r="B19" s="11"/>
      <c r="C19" s="11"/>
      <c r="D19" s="5"/>
      <c r="E19" s="8"/>
      <c r="F19" s="12"/>
      <c r="G19" s="12"/>
      <c r="H19" s="5"/>
      <c r="I19" s="5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25" customHeight="1" x14ac:dyDescent="0.35">
      <c r="A20" s="11"/>
      <c r="B20" s="11"/>
      <c r="C20" s="11"/>
      <c r="D20" s="5"/>
      <c r="E20" s="8"/>
      <c r="F20" s="12"/>
      <c r="G20" s="12"/>
      <c r="H20" s="5"/>
      <c r="I20" s="5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 x14ac:dyDescent="0.35">
      <c r="A21" s="11"/>
      <c r="B21" s="11"/>
      <c r="C21" s="11"/>
      <c r="D21" s="5"/>
      <c r="E21" s="8"/>
      <c r="F21" s="12"/>
      <c r="G21" s="12"/>
      <c r="H21" s="5"/>
      <c r="I21" s="5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 x14ac:dyDescent="0.35">
      <c r="A22" s="11"/>
      <c r="B22" s="11"/>
      <c r="C22" s="11"/>
      <c r="D22" s="5"/>
      <c r="E22" s="8"/>
      <c r="F22" s="12"/>
      <c r="G22" s="12"/>
      <c r="H22" s="5"/>
      <c r="I22" s="5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 x14ac:dyDescent="0.35">
      <c r="A23" s="11"/>
      <c r="B23" s="11"/>
      <c r="C23" s="11"/>
      <c r="D23" s="5"/>
      <c r="E23" s="8"/>
      <c r="F23" s="12"/>
      <c r="G23" s="12"/>
      <c r="H23" s="5"/>
      <c r="I23" s="5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 x14ac:dyDescent="0.35">
      <c r="A24" s="11"/>
      <c r="B24" s="11"/>
      <c r="C24" s="11"/>
      <c r="D24" s="5"/>
      <c r="E24" s="8"/>
      <c r="F24" s="12"/>
      <c r="G24" s="12"/>
      <c r="H24" s="5"/>
      <c r="I24" s="5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 x14ac:dyDescent="0.35">
      <c r="A25" s="11"/>
      <c r="B25" s="11"/>
      <c r="C25" s="11"/>
      <c r="D25" s="13"/>
      <c r="E25" s="8"/>
      <c r="F25" s="12"/>
      <c r="G25" s="12"/>
      <c r="H25" s="5"/>
      <c r="I25" s="5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 x14ac:dyDescent="0.35">
      <c r="A26" s="11"/>
      <c r="B26" s="11"/>
      <c r="C26" s="11"/>
      <c r="D26" s="5"/>
      <c r="E26" s="8"/>
      <c r="F26" s="12"/>
      <c r="G26" s="12"/>
      <c r="H26" s="5"/>
      <c r="I26" s="5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 x14ac:dyDescent="0.35">
      <c r="A27" s="11"/>
      <c r="B27" s="11"/>
      <c r="C27" s="11"/>
      <c r="D27" s="5"/>
      <c r="E27" s="8"/>
      <c r="F27" s="12"/>
      <c r="G27" s="12"/>
      <c r="H27" s="5"/>
      <c r="I27" s="5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25" customHeight="1" x14ac:dyDescent="0.35">
      <c r="A28" s="11"/>
      <c r="B28" s="11"/>
      <c r="C28" s="11"/>
      <c r="D28" s="5"/>
      <c r="E28" s="8"/>
      <c r="F28" s="12"/>
      <c r="G28" s="12"/>
      <c r="H28" s="5"/>
      <c r="I28" s="5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 x14ac:dyDescent="0.35">
      <c r="A29" s="11"/>
      <c r="B29" s="11"/>
      <c r="C29" s="11"/>
      <c r="D29" s="5"/>
      <c r="E29" s="8"/>
      <c r="F29" s="12"/>
      <c r="G29" s="12"/>
      <c r="H29" s="5"/>
      <c r="I29" s="5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 x14ac:dyDescent="0.35">
      <c r="A30" s="11"/>
      <c r="B30" s="11"/>
      <c r="C30" s="11"/>
      <c r="D30" s="5"/>
      <c r="E30" s="8"/>
      <c r="F30" s="12"/>
      <c r="G30" s="12"/>
      <c r="H30" s="5"/>
      <c r="I30" s="5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 x14ac:dyDescent="0.35">
      <c r="A31" s="11"/>
      <c r="B31" s="11"/>
      <c r="C31" s="11"/>
      <c r="D31" s="5"/>
      <c r="E31" s="8"/>
      <c r="F31" s="12"/>
      <c r="G31" s="12"/>
      <c r="H31" s="5"/>
      <c r="I31" s="5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 x14ac:dyDescent="0.35">
      <c r="A32" s="11"/>
      <c r="B32" s="11"/>
      <c r="C32" s="11"/>
      <c r="D32" s="5"/>
      <c r="E32" s="8"/>
      <c r="F32" s="12"/>
      <c r="G32" s="12"/>
      <c r="H32" s="5"/>
      <c r="I32" s="5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35">
      <c r="A33" s="11"/>
      <c r="B33" s="11"/>
      <c r="C33" s="11"/>
      <c r="D33" s="5"/>
      <c r="E33" s="8"/>
      <c r="F33" s="12"/>
      <c r="G33" s="12"/>
      <c r="H33" s="5"/>
      <c r="I33" s="5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 x14ac:dyDescent="0.35">
      <c r="A34" s="11"/>
      <c r="B34" s="11"/>
      <c r="C34" s="11"/>
      <c r="D34" s="5"/>
      <c r="E34" s="8"/>
      <c r="F34" s="12"/>
      <c r="G34" s="12"/>
      <c r="H34" s="5"/>
      <c r="I34" s="5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 x14ac:dyDescent="0.35">
      <c r="A35" s="11"/>
      <c r="B35" s="11"/>
      <c r="C35" s="11"/>
      <c r="D35" s="13"/>
      <c r="E35" s="8"/>
      <c r="F35" s="12"/>
      <c r="G35" s="12"/>
      <c r="H35" s="5"/>
      <c r="I35" s="5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 x14ac:dyDescent="0.35">
      <c r="A36" s="11"/>
      <c r="B36" s="11"/>
      <c r="C36" s="11"/>
      <c r="D36" s="13"/>
      <c r="E36" s="8"/>
      <c r="F36" s="12"/>
      <c r="G36" s="12"/>
      <c r="H36" s="5"/>
      <c r="I36" s="5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 x14ac:dyDescent="0.35">
      <c r="A37" s="11"/>
      <c r="B37" s="11"/>
      <c r="C37" s="11"/>
      <c r="D37" s="5"/>
      <c r="E37" s="8"/>
      <c r="F37" s="12"/>
      <c r="G37" s="12"/>
      <c r="H37" s="5"/>
      <c r="I37" s="5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 x14ac:dyDescent="0.35">
      <c r="A38" s="11"/>
      <c r="B38" s="11"/>
      <c r="C38" s="11"/>
      <c r="D38" s="5"/>
      <c r="E38" s="8"/>
      <c r="F38" s="12"/>
      <c r="G38" s="12"/>
      <c r="H38" s="5"/>
      <c r="I38" s="5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 x14ac:dyDescent="0.35">
      <c r="A39" s="11"/>
      <c r="B39" s="11"/>
      <c r="C39" s="11"/>
      <c r="D39" s="5"/>
      <c r="E39" s="8"/>
      <c r="F39" s="12"/>
      <c r="G39" s="12"/>
      <c r="H39" s="5"/>
      <c r="I39" s="5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35">
      <c r="A40" s="11"/>
      <c r="B40" s="11"/>
      <c r="C40" s="11"/>
      <c r="D40" s="5"/>
      <c r="E40" s="8"/>
      <c r="F40" s="12"/>
      <c r="G40" s="12"/>
      <c r="H40" s="5"/>
      <c r="I40" s="5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35">
      <c r="A41" s="11"/>
      <c r="B41" s="11"/>
      <c r="C41" s="11"/>
      <c r="D41" s="5"/>
      <c r="E41" s="8"/>
      <c r="F41" s="12"/>
      <c r="G41" s="12"/>
      <c r="H41" s="5"/>
      <c r="I41" s="5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35">
      <c r="A42" s="11"/>
      <c r="B42" s="11"/>
      <c r="C42" s="11"/>
      <c r="D42" s="5"/>
      <c r="E42" s="8"/>
      <c r="F42" s="12"/>
      <c r="G42" s="12"/>
      <c r="H42" s="5"/>
      <c r="I42" s="5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 x14ac:dyDescent="0.35">
      <c r="A43" s="11"/>
      <c r="B43" s="11"/>
      <c r="C43" s="11"/>
      <c r="D43" s="5"/>
      <c r="E43" s="8"/>
      <c r="F43" s="12"/>
      <c r="G43" s="12"/>
      <c r="H43" s="5"/>
      <c r="I43" s="5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 x14ac:dyDescent="0.35">
      <c r="A44" s="11"/>
      <c r="B44" s="11"/>
      <c r="C44" s="11"/>
      <c r="D44" s="5"/>
      <c r="E44" s="8"/>
      <c r="F44" s="12"/>
      <c r="G44" s="12"/>
      <c r="H44" s="5"/>
      <c r="I44" s="5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 x14ac:dyDescent="0.35">
      <c r="A45" s="11"/>
      <c r="B45" s="11"/>
      <c r="C45" s="11"/>
      <c r="D45" s="5"/>
      <c r="E45" s="8"/>
      <c r="F45" s="12"/>
      <c r="G45" s="12"/>
      <c r="H45" s="5"/>
      <c r="I45" s="5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 x14ac:dyDescent="0.35">
      <c r="A46" s="11"/>
      <c r="B46" s="11"/>
      <c r="C46" s="11"/>
      <c r="D46" s="5"/>
      <c r="E46" s="8"/>
      <c r="F46" s="12"/>
      <c r="G46" s="12"/>
      <c r="H46" s="5"/>
      <c r="I46" s="5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 x14ac:dyDescent="0.35">
      <c r="A47" s="11"/>
      <c r="B47" s="11"/>
      <c r="C47" s="11"/>
      <c r="D47" s="5"/>
      <c r="E47" s="8"/>
      <c r="F47" s="12"/>
      <c r="G47" s="12"/>
      <c r="H47" s="5"/>
      <c r="I47" s="5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 x14ac:dyDescent="0.35">
      <c r="A48" s="11"/>
      <c r="B48" s="11"/>
      <c r="C48" s="11"/>
      <c r="D48" s="5"/>
      <c r="E48" s="8"/>
      <c r="F48" s="12"/>
      <c r="G48" s="12"/>
      <c r="H48" s="5"/>
      <c r="I48" s="5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customHeight="1" x14ac:dyDescent="0.35">
      <c r="A49" s="11"/>
      <c r="B49" s="11"/>
      <c r="C49" s="11"/>
      <c r="D49" s="5"/>
      <c r="E49" s="8"/>
      <c r="F49" s="12"/>
      <c r="G49" s="12"/>
      <c r="H49" s="5"/>
      <c r="I49" s="5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25" customHeight="1" x14ac:dyDescent="0.35">
      <c r="A50" s="11"/>
      <c r="B50" s="11"/>
      <c r="C50" s="11"/>
      <c r="D50" s="5"/>
      <c r="E50" s="8"/>
      <c r="F50" s="12"/>
      <c r="G50" s="12"/>
      <c r="H50" s="5"/>
      <c r="I50" s="5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25" customHeight="1" x14ac:dyDescent="0.35">
      <c r="A51" s="11"/>
      <c r="B51" s="11"/>
      <c r="C51" s="11"/>
      <c r="D51" s="5"/>
      <c r="E51" s="8"/>
      <c r="F51" s="12"/>
      <c r="G51" s="12"/>
      <c r="H51" s="5"/>
      <c r="I51" s="5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25" customHeight="1" x14ac:dyDescent="0.35">
      <c r="A52" s="11"/>
      <c r="B52" s="11"/>
      <c r="C52" s="11"/>
      <c r="D52" s="5"/>
      <c r="E52" s="8"/>
      <c r="F52" s="12"/>
      <c r="G52" s="12"/>
      <c r="H52" s="5"/>
      <c r="I52" s="5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25" customHeight="1" x14ac:dyDescent="0.35">
      <c r="A53" s="11"/>
      <c r="B53" s="11"/>
      <c r="C53" s="11"/>
      <c r="D53" s="5"/>
      <c r="E53" s="8"/>
      <c r="F53" s="12"/>
      <c r="G53" s="12">
        <f t="shared" ref="G3:G76" si="0">IF(OR(C53 = "",C53="PENDENTE"), 0, IF(OR(C53&lt;=B53,H53=1),F53,(F53*0.1966/100)*(C53-B53)+F53))</f>
        <v>0</v>
      </c>
      <c r="H53" s="5"/>
      <c r="I53" s="5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25" customHeight="1" x14ac:dyDescent="0.35">
      <c r="A54" s="11"/>
      <c r="B54" s="11"/>
      <c r="C54" s="11"/>
      <c r="D54" s="5"/>
      <c r="E54" s="8"/>
      <c r="F54" s="12"/>
      <c r="G54" s="12">
        <f t="shared" si="0"/>
        <v>0</v>
      </c>
      <c r="H54" s="5"/>
      <c r="I54" s="5"/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customHeight="1" x14ac:dyDescent="0.35">
      <c r="A55" s="11"/>
      <c r="B55" s="11"/>
      <c r="C55" s="11"/>
      <c r="D55" s="5"/>
      <c r="E55" s="8"/>
      <c r="F55" s="12"/>
      <c r="G55" s="12">
        <f t="shared" si="0"/>
        <v>0</v>
      </c>
      <c r="H55" s="5"/>
      <c r="I55" s="5"/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25" customHeight="1" x14ac:dyDescent="0.35">
      <c r="A56" s="11"/>
      <c r="B56" s="11"/>
      <c r="C56" s="11"/>
      <c r="D56" s="5"/>
      <c r="E56" s="8"/>
      <c r="F56" s="12"/>
      <c r="G56" s="12">
        <f t="shared" si="0"/>
        <v>0</v>
      </c>
      <c r="H56" s="5"/>
      <c r="I56" s="5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customHeight="1" x14ac:dyDescent="0.35">
      <c r="A57" s="11"/>
      <c r="B57" s="11"/>
      <c r="C57" s="11"/>
      <c r="D57" s="5"/>
      <c r="E57" s="8"/>
      <c r="F57" s="12"/>
      <c r="G57" s="12">
        <f t="shared" si="0"/>
        <v>0</v>
      </c>
      <c r="H57" s="5"/>
      <c r="I57" s="5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25" customHeight="1" x14ac:dyDescent="0.35">
      <c r="A58" s="11"/>
      <c r="B58" s="11"/>
      <c r="C58" s="11"/>
      <c r="D58" s="5"/>
      <c r="E58" s="8"/>
      <c r="F58" s="12"/>
      <c r="G58" s="12">
        <f t="shared" si="0"/>
        <v>0</v>
      </c>
      <c r="H58" s="5"/>
      <c r="I58" s="5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25" customHeight="1" x14ac:dyDescent="0.35">
      <c r="A59" s="11"/>
      <c r="B59" s="11"/>
      <c r="C59" s="11"/>
      <c r="D59" s="5"/>
      <c r="E59" s="8"/>
      <c r="F59" s="12"/>
      <c r="G59" s="12">
        <f t="shared" si="0"/>
        <v>0</v>
      </c>
      <c r="H59" s="5"/>
      <c r="I59" s="5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customHeight="1" x14ac:dyDescent="0.35">
      <c r="A60" s="11"/>
      <c r="B60" s="11"/>
      <c r="C60" s="11"/>
      <c r="D60" s="5"/>
      <c r="E60" s="8"/>
      <c r="F60" s="12"/>
      <c r="G60" s="12">
        <f t="shared" si="0"/>
        <v>0</v>
      </c>
      <c r="H60" s="5"/>
      <c r="I60" s="5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25" customHeight="1" x14ac:dyDescent="0.35">
      <c r="A61" s="11"/>
      <c r="B61" s="11"/>
      <c r="C61" s="11"/>
      <c r="D61" s="5"/>
      <c r="E61" s="8"/>
      <c r="F61" s="12"/>
      <c r="G61" s="12">
        <f t="shared" si="0"/>
        <v>0</v>
      </c>
      <c r="H61" s="5"/>
      <c r="I61" s="5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25" customHeight="1" x14ac:dyDescent="0.35">
      <c r="A62" s="11"/>
      <c r="B62" s="11"/>
      <c r="C62" s="11"/>
      <c r="D62" s="5"/>
      <c r="E62" s="8"/>
      <c r="F62" s="12"/>
      <c r="G62" s="12">
        <f t="shared" si="0"/>
        <v>0</v>
      </c>
      <c r="H62" s="5"/>
      <c r="I62" s="5"/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25" customHeight="1" x14ac:dyDescent="0.35">
      <c r="A63" s="11"/>
      <c r="B63" s="11"/>
      <c r="C63" s="11"/>
      <c r="D63" s="5"/>
      <c r="E63" s="8"/>
      <c r="F63" s="12"/>
      <c r="G63" s="12">
        <f t="shared" si="0"/>
        <v>0</v>
      </c>
      <c r="H63" s="5"/>
      <c r="I63" s="5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25" customHeight="1" x14ac:dyDescent="0.35">
      <c r="A64" s="11"/>
      <c r="B64" s="11"/>
      <c r="C64" s="11"/>
      <c r="D64" s="5"/>
      <c r="E64" s="8"/>
      <c r="F64" s="12"/>
      <c r="G64" s="12">
        <f t="shared" si="0"/>
        <v>0</v>
      </c>
      <c r="H64" s="5"/>
      <c r="I64" s="5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25" customHeight="1" x14ac:dyDescent="0.35">
      <c r="A65" s="11"/>
      <c r="B65" s="11"/>
      <c r="C65" s="11"/>
      <c r="D65" s="5"/>
      <c r="E65" s="8"/>
      <c r="F65" s="12"/>
      <c r="G65" s="12">
        <f t="shared" si="0"/>
        <v>0</v>
      </c>
      <c r="H65" s="5"/>
      <c r="I65" s="5"/>
      <c r="J65" s="9"/>
      <c r="K65" s="1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25" customHeight="1" x14ac:dyDescent="0.35">
      <c r="A66" s="11"/>
      <c r="B66" s="11"/>
      <c r="C66" s="11"/>
      <c r="D66" s="5"/>
      <c r="E66" s="8"/>
      <c r="F66" s="12"/>
      <c r="G66" s="12">
        <f t="shared" si="0"/>
        <v>0</v>
      </c>
      <c r="H66" s="5"/>
      <c r="I66" s="5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25" customHeight="1" x14ac:dyDescent="0.35">
      <c r="A67" s="11"/>
      <c r="B67" s="11"/>
      <c r="C67" s="11"/>
      <c r="D67" s="5"/>
      <c r="E67" s="8"/>
      <c r="F67" s="12"/>
      <c r="G67" s="12">
        <f t="shared" si="0"/>
        <v>0</v>
      </c>
      <c r="H67" s="5"/>
      <c r="I67" s="5"/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25" customHeight="1" x14ac:dyDescent="0.35">
      <c r="A68" s="11"/>
      <c r="B68" s="11"/>
      <c r="C68" s="11"/>
      <c r="D68" s="5"/>
      <c r="E68" s="8"/>
      <c r="F68" s="12"/>
      <c r="G68" s="12">
        <f t="shared" si="0"/>
        <v>0</v>
      </c>
      <c r="H68" s="5"/>
      <c r="I68" s="5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 x14ac:dyDescent="0.35">
      <c r="A69" s="11"/>
      <c r="B69" s="11"/>
      <c r="C69" s="11"/>
      <c r="D69" s="5"/>
      <c r="E69" s="8"/>
      <c r="F69" s="12"/>
      <c r="G69" s="12">
        <f t="shared" si="0"/>
        <v>0</v>
      </c>
      <c r="H69" s="5"/>
      <c r="I69" s="5"/>
      <c r="J69" s="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 x14ac:dyDescent="0.35">
      <c r="A70" s="11"/>
      <c r="B70" s="11"/>
      <c r="C70" s="11"/>
      <c r="D70" s="5"/>
      <c r="E70" s="8"/>
      <c r="F70" s="12"/>
      <c r="G70" s="12">
        <f t="shared" si="0"/>
        <v>0</v>
      </c>
      <c r="H70" s="5"/>
      <c r="I70" s="5"/>
      <c r="J70" s="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 x14ac:dyDescent="0.35">
      <c r="A71" s="11"/>
      <c r="B71" s="11"/>
      <c r="C71" s="11"/>
      <c r="D71" s="5"/>
      <c r="E71" s="8"/>
      <c r="F71" s="12"/>
      <c r="G71" s="12">
        <f t="shared" si="0"/>
        <v>0</v>
      </c>
      <c r="H71" s="5"/>
      <c r="I71" s="5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 x14ac:dyDescent="0.35">
      <c r="A72" s="11"/>
      <c r="B72" s="11"/>
      <c r="C72" s="11"/>
      <c r="D72" s="5"/>
      <c r="E72" s="8"/>
      <c r="F72" s="12"/>
      <c r="G72" s="12">
        <f t="shared" si="0"/>
        <v>0</v>
      </c>
      <c r="H72" s="5"/>
      <c r="I72" s="5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 x14ac:dyDescent="0.35">
      <c r="A73" s="11"/>
      <c r="B73" s="11"/>
      <c r="C73" s="11"/>
      <c r="D73" s="5"/>
      <c r="E73" s="8"/>
      <c r="F73" s="12"/>
      <c r="G73" s="12">
        <f t="shared" si="0"/>
        <v>0</v>
      </c>
      <c r="H73" s="5"/>
      <c r="I73" s="5"/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 x14ac:dyDescent="0.35">
      <c r="A74" s="11"/>
      <c r="B74" s="11"/>
      <c r="C74" s="11"/>
      <c r="D74" s="5"/>
      <c r="E74" s="8"/>
      <c r="F74" s="12"/>
      <c r="G74" s="12">
        <f t="shared" si="0"/>
        <v>0</v>
      </c>
      <c r="H74" s="5"/>
      <c r="I74" s="5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 x14ac:dyDescent="0.35">
      <c r="A75" s="11"/>
      <c r="B75" s="11"/>
      <c r="C75" s="11"/>
      <c r="D75" s="5"/>
      <c r="E75" s="8"/>
      <c r="F75" s="12"/>
      <c r="G75" s="12">
        <f t="shared" si="0"/>
        <v>0</v>
      </c>
      <c r="H75" s="5"/>
      <c r="I75" s="5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 x14ac:dyDescent="0.35">
      <c r="A76" s="11"/>
      <c r="B76" s="11"/>
      <c r="C76" s="11"/>
      <c r="D76" s="5"/>
      <c r="E76" s="8"/>
      <c r="F76" s="12"/>
      <c r="G76" s="12">
        <f t="shared" si="0"/>
        <v>0</v>
      </c>
      <c r="H76" s="5"/>
      <c r="I76" s="5"/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 x14ac:dyDescent="0.35">
      <c r="A77" s="19"/>
      <c r="B77" s="19"/>
      <c r="C77" s="19"/>
      <c r="D77" s="18"/>
      <c r="E77" s="20"/>
      <c r="F77" s="21">
        <f t="shared" ref="F77:G77" si="1">SUM(F3:F76)</f>
        <v>0</v>
      </c>
      <c r="G77" s="21">
        <f t="shared" si="1"/>
        <v>0</v>
      </c>
      <c r="H77" s="22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 x14ac:dyDescent="0.35">
      <c r="A78" s="19"/>
      <c r="B78" s="19"/>
      <c r="C78" s="19"/>
      <c r="D78" s="18"/>
      <c r="E78" s="20"/>
      <c r="F78" s="23"/>
      <c r="G78" s="23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 x14ac:dyDescent="0.35">
      <c r="A79" s="19"/>
      <c r="B79" s="19"/>
      <c r="C79" s="19"/>
      <c r="D79" s="18"/>
      <c r="E79" s="20"/>
      <c r="F79" s="23"/>
      <c r="G79" s="23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 x14ac:dyDescent="0.35">
      <c r="A80" s="19"/>
      <c r="B80" s="19"/>
      <c r="C80" s="19"/>
      <c r="D80" s="18"/>
      <c r="E80" s="20"/>
      <c r="F80" s="23"/>
      <c r="G80" s="23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2:J80" xr:uid="{00000000-0009-0000-0000-00000B000000}">
    <sortState xmlns:xlrd2="http://schemas.microsoft.com/office/spreadsheetml/2017/richdata2" ref="A2:J80">
      <sortCondition ref="E2:E80"/>
    </sortState>
  </autoFilter>
  <conditionalFormatting sqref="J3:J76">
    <cfRule type="notContainsBlanks" dxfId="15" priority="1">
      <formula>LEN(TRIM(J3))&gt;0</formula>
    </cfRule>
  </conditionalFormatting>
  <conditionalFormatting sqref="J3:J76">
    <cfRule type="containsBlanks" dxfId="14" priority="2">
      <formula>LEN(TRIM(J3))=0</formula>
    </cfRule>
  </conditionalFormatting>
  <conditionalFormatting sqref="C22:C76">
    <cfRule type="cellIs" dxfId="13" priority="3" operator="greaterThan">
      <formula>$B$4+$B$5:$B$76</formula>
    </cfRule>
  </conditionalFormatting>
  <conditionalFormatting sqref="A22:F76 H22:I76">
    <cfRule type="containsBlanks" dxfId="12" priority="4">
      <formula>LEN(TRIM(A22))=0</formula>
    </cfRule>
  </conditionalFormatting>
  <conditionalFormatting sqref="I3:I76">
    <cfRule type="containsText" dxfId="11" priority="5" operator="containsText" text="BOLETO">
      <formula>NOT(ISERROR(SEARCH(("BOLETO"),(I3))))</formula>
    </cfRule>
  </conditionalFormatting>
  <conditionalFormatting sqref="I3:I76">
    <cfRule type="containsText" dxfId="10" priority="6" operator="containsText" text="CARTÃO ">
      <formula>NOT(ISERROR(SEARCH(("CARTÃO "),(I3))))</formula>
    </cfRule>
  </conditionalFormatting>
  <conditionalFormatting sqref="I3:I76">
    <cfRule type="containsText" dxfId="9" priority="7" operator="containsText" text="DEP C/C">
      <formula>NOT(ISERROR(SEARCH(("DEP C/C"),(I3))))</formula>
    </cfRule>
  </conditionalFormatting>
  <conditionalFormatting sqref="G3:I3 G4:G76 G78:G80 H4:I21">
    <cfRule type="containsBlanks" dxfId="8" priority="8">
      <formula>LEN(TRIM(G3))=0</formula>
    </cfRule>
  </conditionalFormatting>
  <conditionalFormatting sqref="C3:C21">
    <cfRule type="containsBlanks" dxfId="7" priority="9">
      <formula>LEN(TRIM(C3))=0</formula>
    </cfRule>
  </conditionalFormatting>
  <conditionalFormatting sqref="C3:C76">
    <cfRule type="containsText" dxfId="6" priority="10" operator="containsText" text="PENDENTE">
      <formula>NOT(ISERROR(SEARCH(("PENDENTE"),(C3))))</formula>
    </cfRule>
  </conditionalFormatting>
  <conditionalFormatting sqref="B3:B76">
    <cfRule type="timePeriod" dxfId="5" priority="11" timePeriod="yesterday">
      <formula>FLOOR(B3,1)=TODAY()-1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2060"/>
    <pageSetUpPr fitToPage="1"/>
  </sheetPr>
  <dimension ref="A1:Z1000"/>
  <sheetViews>
    <sheetView showGridLines="0" workbookViewId="0">
      <pane ySplit="1" topLeftCell="A3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2" customWidth="1"/>
    <col min="2" max="2" width="13.08984375" customWidth="1"/>
    <col min="3" max="3" width="14.7265625" customWidth="1"/>
    <col min="4" max="4" width="14.81640625" customWidth="1"/>
    <col min="5" max="5" width="12.81640625" customWidth="1"/>
    <col min="6" max="6" width="50.08984375" customWidth="1"/>
    <col min="7" max="7" width="17.54296875" customWidth="1"/>
    <col min="8" max="8" width="16.7265625" customWidth="1"/>
    <col min="9" max="10" width="9.81640625" customWidth="1"/>
    <col min="11" max="11" width="13.81640625" customWidth="1"/>
    <col min="12" max="12" width="12" customWidth="1"/>
    <col min="13" max="13" width="8.7265625" customWidth="1"/>
    <col min="14" max="14" width="12.81640625" customWidth="1"/>
    <col min="15" max="15" width="15.54296875" customWidth="1"/>
    <col min="16" max="16" width="16.453125" customWidth="1"/>
    <col min="17" max="17" width="11.54296875" customWidth="1"/>
    <col min="18" max="18" width="29.453125" customWidth="1"/>
    <col min="19" max="19" width="14.81640625" customWidth="1"/>
    <col min="20" max="20" width="11.81640625" customWidth="1"/>
    <col min="21" max="26" width="8.7265625" customWidth="1"/>
  </cols>
  <sheetData>
    <row r="1" spans="1:20" ht="14.25" customHeight="1" x14ac:dyDescent="0.35">
      <c r="A1" s="32"/>
      <c r="B1" s="82" t="s">
        <v>0</v>
      </c>
      <c r="C1" s="82" t="s">
        <v>1</v>
      </c>
      <c r="D1" s="82" t="s">
        <v>2</v>
      </c>
      <c r="E1" s="83" t="s">
        <v>3</v>
      </c>
      <c r="F1" s="84" t="s">
        <v>4</v>
      </c>
      <c r="G1" s="85" t="s">
        <v>82</v>
      </c>
      <c r="H1" s="85" t="s">
        <v>83</v>
      </c>
      <c r="I1" s="83" t="s">
        <v>84</v>
      </c>
      <c r="J1" s="86" t="s">
        <v>85</v>
      </c>
      <c r="K1" s="87" t="s">
        <v>86</v>
      </c>
      <c r="L1" s="83" t="s">
        <v>87</v>
      </c>
      <c r="M1" s="83" t="s">
        <v>88</v>
      </c>
      <c r="N1" s="88" t="s">
        <v>89</v>
      </c>
      <c r="O1" s="89" t="s">
        <v>90</v>
      </c>
      <c r="P1" s="89" t="s">
        <v>91</v>
      </c>
      <c r="Q1" s="90" t="s">
        <v>92</v>
      </c>
      <c r="R1" s="90" t="s">
        <v>4</v>
      </c>
      <c r="S1" s="91" t="s">
        <v>93</v>
      </c>
      <c r="T1" s="83" t="s">
        <v>94</v>
      </c>
    </row>
    <row r="2" spans="1:20" ht="14.25" customHeight="1" x14ac:dyDescent="0.35">
      <c r="A2" s="32"/>
      <c r="B2" s="82">
        <f>'JAN-26'!A3</f>
        <v>0</v>
      </c>
      <c r="C2" s="82">
        <f>'JAN-26'!B3</f>
        <v>0</v>
      </c>
      <c r="D2" s="82">
        <f>'JAN-26'!C3</f>
        <v>0</v>
      </c>
      <c r="E2" s="83">
        <f>'JAN-26'!D3</f>
        <v>0</v>
      </c>
      <c r="F2" s="84">
        <f>'JAN-26'!E3</f>
        <v>0</v>
      </c>
      <c r="G2" s="85">
        <f>'JAN-26'!F3</f>
        <v>0</v>
      </c>
      <c r="H2" s="85">
        <f t="shared" ref="H2:H889" si="0">IF(OR(D2 = "",D2="PENDENTE"), 0, IF(OR(D2&lt;=C2,M2=1),G2,(G2*0.1966/100)*(D2-C2)+G2))</f>
        <v>0</v>
      </c>
      <c r="I2" s="83" t="s">
        <v>95</v>
      </c>
      <c r="J2" s="83" t="str">
        <f t="shared" ref="J2:J889" si="1">IF(OR(D2="PENDENTE", D2=0, D2=""), "", UPPER(TEXT(D2, "mmm")))</f>
        <v/>
      </c>
      <c r="K2" s="85">
        <f t="shared" ref="K2:K889" si="2">IF(OR(D2="PENDENTE", D2="", D2=0, D2=DATE(1900,1,0)), G2, 0)</f>
        <v>0</v>
      </c>
      <c r="L2" s="83" t="str">
        <f t="shared" ref="L2:L889" si="3">IF(K2&gt;0, UPPER(TEXT(C2, "mmm")), "")</f>
        <v/>
      </c>
      <c r="M2" s="83">
        <f>'JAN-26'!H3</f>
        <v>0</v>
      </c>
      <c r="N2" s="92" t="str">
        <f ca="1">IF(BD!$C2="","",IF(AND(TODAY()&gt;BD!$C2,OR(BD!$D2="PENDENTE",BD!$D2="")),"VENCIDO",""))</f>
        <v/>
      </c>
      <c r="O2" s="82" t="str">
        <f ca="1">IF(N2 = "VENCIDO",BD!$B2,"")</f>
        <v/>
      </c>
      <c r="P2" s="82" t="str">
        <f ca="1">IF(N2 = "VENCIDO",BD!$C2,"")</f>
        <v/>
      </c>
      <c r="Q2" s="83" t="str">
        <f ca="1">IF(N2 = "VENCIDO",BD!$E2,"")</f>
        <v/>
      </c>
      <c r="R2" s="83" t="str">
        <f ca="1">IF(N2 = "VENCIDO",BD!$F2,"")</f>
        <v/>
      </c>
      <c r="S2" s="85" t="str">
        <f ca="1">IF(N2 = "VENCIDO",BD!$G2,"")</f>
        <v/>
      </c>
      <c r="T2" s="83" t="str">
        <f ca="1">IF(AND(TODAY()&gt;BD!$C2, OR(BD!$D2="PENDENTE", BD!$D2="")), TODAY()-BD!$C2, "")</f>
        <v/>
      </c>
    </row>
    <row r="3" spans="1:20" ht="14.25" customHeight="1" x14ac:dyDescent="0.35">
      <c r="A3" s="32"/>
      <c r="B3" s="82">
        <f>'JAN-26'!A4</f>
        <v>0</v>
      </c>
      <c r="C3" s="82">
        <f>'JAN-26'!B4</f>
        <v>0</v>
      </c>
      <c r="D3" s="82">
        <f>'JAN-26'!C4</f>
        <v>0</v>
      </c>
      <c r="E3" s="83">
        <f>'JAN-26'!D4</f>
        <v>0</v>
      </c>
      <c r="F3" s="84">
        <f>'JAN-26'!E4</f>
        <v>0</v>
      </c>
      <c r="G3" s="85">
        <f>'JAN-26'!F4</f>
        <v>0</v>
      </c>
      <c r="H3" s="85">
        <f t="shared" si="0"/>
        <v>0</v>
      </c>
      <c r="I3" s="83" t="s">
        <v>95</v>
      </c>
      <c r="J3" s="83" t="str">
        <f t="shared" si="1"/>
        <v/>
      </c>
      <c r="K3" s="85">
        <f t="shared" si="2"/>
        <v>0</v>
      </c>
      <c r="L3" s="83" t="str">
        <f t="shared" si="3"/>
        <v/>
      </c>
      <c r="M3" s="83">
        <f>'JAN-26'!H4</f>
        <v>0</v>
      </c>
      <c r="N3" s="92" t="str">
        <f ca="1">IF(BD!$C3="","",IF(AND(TODAY()&gt;BD!$C3,OR(BD!$D3="PENDENTE",BD!$D3="")),"VENCIDO",""))</f>
        <v/>
      </c>
      <c r="O3" s="82" t="str">
        <f ca="1">IF(N3 = "VENCIDO",BD!$B3,"")</f>
        <v/>
      </c>
      <c r="P3" s="82" t="str">
        <f ca="1">IF(N3 = "VENCIDO",BD!$C3,"")</f>
        <v/>
      </c>
      <c r="Q3" s="83" t="str">
        <f ca="1">IF(N3 = "VENCIDO",BD!$E3,"")</f>
        <v/>
      </c>
      <c r="R3" s="83" t="str">
        <f ca="1">IF(N3 = "VENCIDO",BD!$F3,"")</f>
        <v/>
      </c>
      <c r="S3" s="85" t="str">
        <f ca="1">IF(N3 = "VENCIDO",BD!$G3,"")</f>
        <v/>
      </c>
      <c r="T3" s="83" t="str">
        <f ca="1">IF(AND(TODAY()&gt;BD!$C3, OR(BD!$D3="PENDENTE", BD!$D3="")), TODAY()-BD!$C3, "")</f>
        <v/>
      </c>
    </row>
    <row r="4" spans="1:20" ht="14.25" customHeight="1" x14ac:dyDescent="0.35">
      <c r="A4" s="32"/>
      <c r="B4" s="82">
        <f>'JAN-26'!A5</f>
        <v>0</v>
      </c>
      <c r="C4" s="82">
        <f>'JAN-26'!B5</f>
        <v>0</v>
      </c>
      <c r="D4" s="82">
        <f>'JAN-26'!C5</f>
        <v>0</v>
      </c>
      <c r="E4" s="83">
        <f>'JAN-26'!D5</f>
        <v>0</v>
      </c>
      <c r="F4" s="84">
        <f>'JAN-26'!E5</f>
        <v>0</v>
      </c>
      <c r="G4" s="85">
        <f>'JAN-26'!F5</f>
        <v>0</v>
      </c>
      <c r="H4" s="85">
        <f t="shared" si="0"/>
        <v>0</v>
      </c>
      <c r="I4" s="83" t="s">
        <v>95</v>
      </c>
      <c r="J4" s="83" t="str">
        <f t="shared" si="1"/>
        <v/>
      </c>
      <c r="K4" s="85">
        <f t="shared" si="2"/>
        <v>0</v>
      </c>
      <c r="L4" s="83" t="str">
        <f t="shared" si="3"/>
        <v/>
      </c>
      <c r="M4" s="83">
        <f>'JAN-26'!H5</f>
        <v>0</v>
      </c>
      <c r="N4" s="92" t="str">
        <f ca="1">IF(BD!$C4="","",IF(AND(TODAY()&gt;BD!$C4,OR(BD!$D4="PENDENTE",BD!$D4="")),"VENCIDO",""))</f>
        <v/>
      </c>
      <c r="O4" s="82" t="str">
        <f ca="1">IF(N4 = "VENCIDO",BD!$B4,"")</f>
        <v/>
      </c>
      <c r="P4" s="82" t="str">
        <f ca="1">IF(N4 = "VENCIDO",BD!$C4,"")</f>
        <v/>
      </c>
      <c r="Q4" s="83" t="str">
        <f ca="1">IF(N4 = "VENCIDO",BD!$E4,"")</f>
        <v/>
      </c>
      <c r="R4" s="83" t="str">
        <f ca="1">IF(N4 = "VENCIDO",BD!$F4,"")</f>
        <v/>
      </c>
      <c r="S4" s="85" t="str">
        <f ca="1">IF(N4 = "VENCIDO",BD!$G4,"")</f>
        <v/>
      </c>
      <c r="T4" s="83" t="str">
        <f ca="1">IF(AND(TODAY()&gt;BD!$C4, OR(BD!$D4="PENDENTE", BD!$D4="")), TODAY()-BD!$C4, "")</f>
        <v/>
      </c>
    </row>
    <row r="5" spans="1:20" ht="14.25" customHeight="1" x14ac:dyDescent="0.35">
      <c r="A5" s="32"/>
      <c r="B5" s="82">
        <f>'JAN-26'!A6</f>
        <v>0</v>
      </c>
      <c r="C5" s="82">
        <f>'JAN-26'!B6</f>
        <v>0</v>
      </c>
      <c r="D5" s="82">
        <f>'JAN-26'!C6</f>
        <v>0</v>
      </c>
      <c r="E5" s="83">
        <f>'JAN-26'!D6</f>
        <v>0</v>
      </c>
      <c r="F5" s="84">
        <f>'JAN-26'!E6</f>
        <v>0</v>
      </c>
      <c r="G5" s="85">
        <f>'JAN-26'!F6</f>
        <v>0</v>
      </c>
      <c r="H5" s="85">
        <f t="shared" si="0"/>
        <v>0</v>
      </c>
      <c r="I5" s="83" t="s">
        <v>95</v>
      </c>
      <c r="J5" s="83" t="str">
        <f t="shared" si="1"/>
        <v/>
      </c>
      <c r="K5" s="85">
        <f t="shared" si="2"/>
        <v>0</v>
      </c>
      <c r="L5" s="83" t="str">
        <f t="shared" si="3"/>
        <v/>
      </c>
      <c r="M5" s="83">
        <f>'JAN-26'!H6</f>
        <v>0</v>
      </c>
      <c r="N5" s="92" t="str">
        <f ca="1">IF(BD!$C5="","",IF(AND(TODAY()&gt;BD!$C5,OR(BD!$D5="PENDENTE",BD!$D5="")),"VENCIDO",""))</f>
        <v/>
      </c>
      <c r="O5" s="82" t="str">
        <f ca="1">IF(N5 = "VENCIDO",BD!$B5,"")</f>
        <v/>
      </c>
      <c r="P5" s="82" t="str">
        <f ca="1">IF(N5 = "VENCIDO",BD!$C5,"")</f>
        <v/>
      </c>
      <c r="Q5" s="83" t="str">
        <f ca="1">IF(N5 = "VENCIDO",BD!$E5,"")</f>
        <v/>
      </c>
      <c r="R5" s="83" t="str">
        <f ca="1">IF(N5 = "VENCIDO",BD!$F5,"")</f>
        <v/>
      </c>
      <c r="S5" s="85" t="str">
        <f ca="1">IF(N5 = "VENCIDO",BD!$G5,"")</f>
        <v/>
      </c>
      <c r="T5" s="83" t="str">
        <f ca="1">IF(AND(TODAY()&gt;BD!$C5, OR(BD!$D5="PENDENTE", BD!$D5="")), TODAY()-BD!$C5, "")</f>
        <v/>
      </c>
    </row>
    <row r="6" spans="1:20" ht="14.25" customHeight="1" x14ac:dyDescent="0.35">
      <c r="A6" s="32"/>
      <c r="B6" s="82">
        <f>'JAN-26'!A7</f>
        <v>0</v>
      </c>
      <c r="C6" s="82">
        <f>'JAN-26'!B7</f>
        <v>0</v>
      </c>
      <c r="D6" s="82">
        <f>'JAN-26'!C7</f>
        <v>0</v>
      </c>
      <c r="E6" s="83">
        <f>'JAN-26'!D7</f>
        <v>0</v>
      </c>
      <c r="F6" s="84">
        <f>'JAN-26'!E7</f>
        <v>0</v>
      </c>
      <c r="G6" s="85">
        <f>'JAN-26'!F7</f>
        <v>0</v>
      </c>
      <c r="H6" s="85">
        <f t="shared" si="0"/>
        <v>0</v>
      </c>
      <c r="I6" s="83" t="s">
        <v>95</v>
      </c>
      <c r="J6" s="83" t="str">
        <f t="shared" si="1"/>
        <v/>
      </c>
      <c r="K6" s="85">
        <f t="shared" si="2"/>
        <v>0</v>
      </c>
      <c r="L6" s="83" t="str">
        <f t="shared" si="3"/>
        <v/>
      </c>
      <c r="M6" s="83">
        <f>'JAN-26'!H7</f>
        <v>0</v>
      </c>
      <c r="N6" s="92" t="str">
        <f ca="1">IF(BD!$C6="","",IF(AND(TODAY()&gt;BD!$C6,OR(BD!$D6="PENDENTE",BD!$D6="")),"VENCIDO",""))</f>
        <v/>
      </c>
      <c r="O6" s="82" t="str">
        <f ca="1">IF(N6 = "VENCIDO",BD!$B6,"")</f>
        <v/>
      </c>
      <c r="P6" s="82" t="str">
        <f ca="1">IF(N6 = "VENCIDO",BD!$C6,"")</f>
        <v/>
      </c>
      <c r="Q6" s="83" t="str">
        <f ca="1">IF(N6 = "VENCIDO",BD!$E6,"")</f>
        <v/>
      </c>
      <c r="R6" s="83" t="str">
        <f ca="1">IF(N6 = "VENCIDO",BD!$F6,"")</f>
        <v/>
      </c>
      <c r="S6" s="85" t="str">
        <f ca="1">IF(N6 = "VENCIDO",BD!$G6,"")</f>
        <v/>
      </c>
      <c r="T6" s="83" t="str">
        <f ca="1">IF(AND(TODAY()&gt;BD!$C6, OR(BD!$D6="PENDENTE", BD!$D6="")), TODAY()-BD!$C6, "")</f>
        <v/>
      </c>
    </row>
    <row r="7" spans="1:20" ht="14.25" customHeight="1" x14ac:dyDescent="0.35">
      <c r="A7" s="32"/>
      <c r="B7" s="82">
        <f>'JAN-26'!A8</f>
        <v>0</v>
      </c>
      <c r="C7" s="82">
        <f>'JAN-26'!B8</f>
        <v>0</v>
      </c>
      <c r="D7" s="82">
        <f>'JAN-26'!C8</f>
        <v>0</v>
      </c>
      <c r="E7" s="83">
        <f>'JAN-26'!D8</f>
        <v>0</v>
      </c>
      <c r="F7" s="84">
        <f>'JAN-26'!E8</f>
        <v>0</v>
      </c>
      <c r="G7" s="85">
        <f>'JAN-26'!F8</f>
        <v>0</v>
      </c>
      <c r="H7" s="85">
        <f t="shared" si="0"/>
        <v>0</v>
      </c>
      <c r="I7" s="83" t="s">
        <v>95</v>
      </c>
      <c r="J7" s="83" t="str">
        <f t="shared" si="1"/>
        <v/>
      </c>
      <c r="K7" s="85">
        <f t="shared" si="2"/>
        <v>0</v>
      </c>
      <c r="L7" s="83" t="str">
        <f t="shared" si="3"/>
        <v/>
      </c>
      <c r="M7" s="83">
        <f>'JAN-26'!H8</f>
        <v>0</v>
      </c>
      <c r="N7" s="92" t="str">
        <f ca="1">IF(BD!$C7="","",IF(AND(TODAY()&gt;BD!$C7,OR(BD!$D7="PENDENTE",BD!$D7="")),"VENCIDO",""))</f>
        <v/>
      </c>
      <c r="O7" s="82" t="str">
        <f ca="1">IF(N7 = "VENCIDO",BD!$B7,"")</f>
        <v/>
      </c>
      <c r="P7" s="82" t="str">
        <f ca="1">IF(N7 = "VENCIDO",BD!$C7,"")</f>
        <v/>
      </c>
      <c r="Q7" s="83" t="str">
        <f ca="1">IF(N7 = "VENCIDO",BD!$E7,"")</f>
        <v/>
      </c>
      <c r="R7" s="83" t="str">
        <f ca="1">IF(N7 = "VENCIDO",BD!$F7,"")</f>
        <v/>
      </c>
      <c r="S7" s="85" t="str">
        <f ca="1">IF(N7 = "VENCIDO",BD!$G7,"")</f>
        <v/>
      </c>
      <c r="T7" s="83" t="str">
        <f ca="1">IF(AND(TODAY()&gt;BD!$C7, OR(BD!$D7="PENDENTE", BD!$D7="")), TODAY()-BD!$C7, "")</f>
        <v/>
      </c>
    </row>
    <row r="8" spans="1:20" ht="14.25" customHeight="1" x14ac:dyDescent="0.35">
      <c r="A8" s="32"/>
      <c r="B8" s="82">
        <f>'JAN-26'!A9</f>
        <v>0</v>
      </c>
      <c r="C8" s="82">
        <f>'JAN-26'!B9</f>
        <v>0</v>
      </c>
      <c r="D8" s="82">
        <f>'JAN-26'!C9</f>
        <v>0</v>
      </c>
      <c r="E8" s="83">
        <f>'JAN-26'!D9</f>
        <v>0</v>
      </c>
      <c r="F8" s="84">
        <f>'JAN-26'!E9</f>
        <v>0</v>
      </c>
      <c r="G8" s="85">
        <f>'JAN-26'!F9</f>
        <v>0</v>
      </c>
      <c r="H8" s="85">
        <f t="shared" si="0"/>
        <v>0</v>
      </c>
      <c r="I8" s="83" t="s">
        <v>95</v>
      </c>
      <c r="J8" s="83" t="str">
        <f t="shared" si="1"/>
        <v/>
      </c>
      <c r="K8" s="85">
        <f t="shared" si="2"/>
        <v>0</v>
      </c>
      <c r="L8" s="83" t="str">
        <f t="shared" si="3"/>
        <v/>
      </c>
      <c r="M8" s="83">
        <f>'JAN-26'!H9</f>
        <v>0</v>
      </c>
      <c r="N8" s="92" t="str">
        <f ca="1">IF(BD!$C8="","",IF(AND(TODAY()&gt;BD!$C8,OR(BD!$D8="PENDENTE",BD!$D8="")),"VENCIDO",""))</f>
        <v/>
      </c>
      <c r="O8" s="82" t="str">
        <f ca="1">IF(N8 = "VENCIDO",BD!$B8,"")</f>
        <v/>
      </c>
      <c r="P8" s="82" t="str">
        <f ca="1">IF(N8 = "VENCIDO",BD!$C8,"")</f>
        <v/>
      </c>
      <c r="Q8" s="83" t="str">
        <f ca="1">IF(N8 = "VENCIDO",BD!$E8,"")</f>
        <v/>
      </c>
      <c r="R8" s="83" t="str">
        <f ca="1">IF(N8 = "VENCIDO",BD!$F8,"")</f>
        <v/>
      </c>
      <c r="S8" s="85" t="str">
        <f ca="1">IF(N8 = "VENCIDO",BD!$G8,"")</f>
        <v/>
      </c>
      <c r="T8" s="83" t="str">
        <f ca="1">IF(AND(TODAY()&gt;BD!$C8, OR(BD!$D8="PENDENTE", BD!$D8="")), TODAY()-BD!$C8, "")</f>
        <v/>
      </c>
    </row>
    <row r="9" spans="1:20" ht="14.25" customHeight="1" x14ac:dyDescent="0.35">
      <c r="A9" s="32"/>
      <c r="B9" s="82">
        <f>'JAN-26'!A10</f>
        <v>0</v>
      </c>
      <c r="C9" s="82">
        <f>'JAN-26'!B10</f>
        <v>0</v>
      </c>
      <c r="D9" s="82">
        <f>'JAN-26'!C10</f>
        <v>0</v>
      </c>
      <c r="E9" s="83">
        <f>'JAN-26'!D10</f>
        <v>0</v>
      </c>
      <c r="F9" s="84">
        <f>'JAN-26'!E10</f>
        <v>0</v>
      </c>
      <c r="G9" s="85">
        <f>'JAN-26'!F10</f>
        <v>0</v>
      </c>
      <c r="H9" s="85">
        <f t="shared" si="0"/>
        <v>0</v>
      </c>
      <c r="I9" s="83" t="s">
        <v>95</v>
      </c>
      <c r="J9" s="83" t="str">
        <f t="shared" si="1"/>
        <v/>
      </c>
      <c r="K9" s="85">
        <f t="shared" si="2"/>
        <v>0</v>
      </c>
      <c r="L9" s="83" t="str">
        <f t="shared" si="3"/>
        <v/>
      </c>
      <c r="M9" s="83">
        <f>'JAN-26'!H10</f>
        <v>0</v>
      </c>
      <c r="N9" s="92" t="str">
        <f ca="1">IF(BD!$C9="","",IF(AND(TODAY()&gt;BD!$C9,OR(BD!$D9="PENDENTE",BD!$D9="")),"VENCIDO",""))</f>
        <v/>
      </c>
      <c r="O9" s="82" t="str">
        <f ca="1">IF(N9 = "VENCIDO",BD!$B9,"")</f>
        <v/>
      </c>
      <c r="P9" s="82" t="str">
        <f ca="1">IF(N9 = "VENCIDO",BD!$C9,"")</f>
        <v/>
      </c>
      <c r="Q9" s="83" t="str">
        <f ca="1">IF(N9 = "VENCIDO",BD!$E9,"")</f>
        <v/>
      </c>
      <c r="R9" s="83" t="str">
        <f ca="1">IF(N9 = "VENCIDO",BD!$F9,"")</f>
        <v/>
      </c>
      <c r="S9" s="85" t="str">
        <f ca="1">IF(N9 = "VENCIDO",BD!$G9,"")</f>
        <v/>
      </c>
      <c r="T9" s="83" t="str">
        <f ca="1">IF(AND(TODAY()&gt;BD!$C9, OR(BD!$D9="PENDENTE", BD!$D9="")), TODAY()-BD!$C9, "")</f>
        <v/>
      </c>
    </row>
    <row r="10" spans="1:20" ht="14.25" customHeight="1" x14ac:dyDescent="0.35">
      <c r="A10" s="32"/>
      <c r="B10" s="82">
        <f>'JAN-26'!A11</f>
        <v>0</v>
      </c>
      <c r="C10" s="82">
        <f>'JAN-26'!B11</f>
        <v>0</v>
      </c>
      <c r="D10" s="82">
        <f>'JAN-26'!C11</f>
        <v>0</v>
      </c>
      <c r="E10" s="83">
        <f>'JAN-26'!D11</f>
        <v>0</v>
      </c>
      <c r="F10" s="84">
        <f>'JAN-26'!E11</f>
        <v>0</v>
      </c>
      <c r="G10" s="85">
        <f>'JAN-26'!F11</f>
        <v>0</v>
      </c>
      <c r="H10" s="85">
        <f t="shared" si="0"/>
        <v>0</v>
      </c>
      <c r="I10" s="83" t="s">
        <v>95</v>
      </c>
      <c r="J10" s="83" t="str">
        <f t="shared" si="1"/>
        <v/>
      </c>
      <c r="K10" s="85">
        <f t="shared" si="2"/>
        <v>0</v>
      </c>
      <c r="L10" s="83" t="str">
        <f t="shared" si="3"/>
        <v/>
      </c>
      <c r="M10" s="83">
        <f>'JAN-26'!H11</f>
        <v>0</v>
      </c>
      <c r="N10" s="92" t="str">
        <f ca="1">IF(BD!$C10="","",IF(AND(TODAY()&gt;BD!$C10,OR(BD!$D10="PENDENTE",BD!$D10="")),"VENCIDO",""))</f>
        <v/>
      </c>
      <c r="O10" s="82" t="str">
        <f ca="1">IF(N10 = "VENCIDO",BD!$B10,"")</f>
        <v/>
      </c>
      <c r="P10" s="82" t="str">
        <f ca="1">IF(N10 = "VENCIDO",BD!$C10,"")</f>
        <v/>
      </c>
      <c r="Q10" s="83" t="str">
        <f ca="1">IF(N10 = "VENCIDO",BD!$E10,"")</f>
        <v/>
      </c>
      <c r="R10" s="83" t="str">
        <f ca="1">IF(N10 = "VENCIDO",BD!$F10,"")</f>
        <v/>
      </c>
      <c r="S10" s="85" t="str">
        <f ca="1">IF(N10 = "VENCIDO",BD!$G10,"")</f>
        <v/>
      </c>
      <c r="T10" s="83" t="str">
        <f ca="1">IF(AND(TODAY()&gt;BD!$C10, OR(BD!$D10="PENDENTE", BD!$D10="")), TODAY()-BD!$C10, "")</f>
        <v/>
      </c>
    </row>
    <row r="11" spans="1:20" ht="14.25" customHeight="1" x14ac:dyDescent="0.35">
      <c r="A11" s="32"/>
      <c r="B11" s="82">
        <f>'JAN-26'!A12</f>
        <v>0</v>
      </c>
      <c r="C11" s="82">
        <f>'JAN-26'!B12</f>
        <v>0</v>
      </c>
      <c r="D11" s="82">
        <f>'JAN-26'!C12</f>
        <v>0</v>
      </c>
      <c r="E11" s="83">
        <f>'JAN-26'!D12</f>
        <v>0</v>
      </c>
      <c r="F11" s="84">
        <f>'JAN-26'!E12</f>
        <v>0</v>
      </c>
      <c r="G11" s="85">
        <f>'JAN-26'!F12</f>
        <v>0</v>
      </c>
      <c r="H11" s="85">
        <f t="shared" si="0"/>
        <v>0</v>
      </c>
      <c r="I11" s="83" t="s">
        <v>95</v>
      </c>
      <c r="J11" s="83" t="str">
        <f t="shared" si="1"/>
        <v/>
      </c>
      <c r="K11" s="85">
        <f t="shared" si="2"/>
        <v>0</v>
      </c>
      <c r="L11" s="83" t="str">
        <f t="shared" si="3"/>
        <v/>
      </c>
      <c r="M11" s="83">
        <f>'JAN-26'!H12</f>
        <v>0</v>
      </c>
      <c r="N11" s="92" t="str">
        <f ca="1">IF(BD!$C11="","",IF(AND(TODAY()&gt;BD!$C11,OR(BD!$D11="PENDENTE",BD!$D11="")),"VENCIDO",""))</f>
        <v/>
      </c>
      <c r="O11" s="82" t="str">
        <f ca="1">IF(N11 = "VENCIDO",BD!$B11,"")</f>
        <v/>
      </c>
      <c r="P11" s="82" t="str">
        <f ca="1">IF(N11 = "VENCIDO",BD!$C11,"")</f>
        <v/>
      </c>
      <c r="Q11" s="83" t="str">
        <f ca="1">IF(N11 = "VENCIDO",BD!$E11,"")</f>
        <v/>
      </c>
      <c r="R11" s="83" t="str">
        <f ca="1">IF(N11 = "VENCIDO",BD!$F11,"")</f>
        <v/>
      </c>
      <c r="S11" s="85" t="str">
        <f ca="1">IF(N11 = "VENCIDO",BD!$G11,"")</f>
        <v/>
      </c>
      <c r="T11" s="83" t="str">
        <f ca="1">IF(AND(TODAY()&gt;BD!$C11, OR(BD!$D11="PENDENTE", BD!$D11="")), TODAY()-BD!$C11, "")</f>
        <v/>
      </c>
    </row>
    <row r="12" spans="1:20" ht="14.25" customHeight="1" x14ac:dyDescent="0.35">
      <c r="A12" s="32"/>
      <c r="B12" s="82">
        <f>'JAN-26'!A13</f>
        <v>0</v>
      </c>
      <c r="C12" s="82">
        <f>'JAN-26'!B13</f>
        <v>0</v>
      </c>
      <c r="D12" s="82">
        <f>'JAN-26'!C13</f>
        <v>0</v>
      </c>
      <c r="E12" s="83">
        <f>'JAN-26'!D13</f>
        <v>0</v>
      </c>
      <c r="F12" s="84">
        <f>'JAN-26'!E13</f>
        <v>0</v>
      </c>
      <c r="G12" s="85">
        <f>'JAN-26'!F13</f>
        <v>0</v>
      </c>
      <c r="H12" s="85">
        <f t="shared" si="0"/>
        <v>0</v>
      </c>
      <c r="I12" s="83" t="s">
        <v>95</v>
      </c>
      <c r="J12" s="83" t="str">
        <f t="shared" si="1"/>
        <v/>
      </c>
      <c r="K12" s="85">
        <f t="shared" si="2"/>
        <v>0</v>
      </c>
      <c r="L12" s="83" t="str">
        <f t="shared" si="3"/>
        <v/>
      </c>
      <c r="M12" s="83">
        <f>'JAN-26'!H13</f>
        <v>0</v>
      </c>
      <c r="N12" s="92" t="str">
        <f ca="1">IF(BD!$C12="","",IF(AND(TODAY()&gt;BD!$C12,OR(BD!$D12="PENDENTE",BD!$D12="")),"VENCIDO",""))</f>
        <v/>
      </c>
      <c r="O12" s="82" t="str">
        <f ca="1">IF(N12 = "VENCIDO",BD!$B12,"")</f>
        <v/>
      </c>
      <c r="P12" s="82" t="str">
        <f ca="1">IF(N12 = "VENCIDO",BD!$C12,"")</f>
        <v/>
      </c>
      <c r="Q12" s="83" t="str">
        <f ca="1">IF(N12 = "VENCIDO",BD!$E12,"")</f>
        <v/>
      </c>
      <c r="R12" s="83" t="str">
        <f ca="1">IF(N12 = "VENCIDO",BD!$F12,"")</f>
        <v/>
      </c>
      <c r="S12" s="85" t="str">
        <f ca="1">IF(N12 = "VENCIDO",BD!$G12,"")</f>
        <v/>
      </c>
      <c r="T12" s="83" t="str">
        <f ca="1">IF(AND(TODAY()&gt;BD!$C12, OR(BD!$D12="PENDENTE", BD!$D12="")), TODAY()-BD!$C12, "")</f>
        <v/>
      </c>
    </row>
    <row r="13" spans="1:20" ht="14.25" customHeight="1" x14ac:dyDescent="0.35">
      <c r="A13" s="32"/>
      <c r="B13" s="82">
        <f>'JAN-26'!A14</f>
        <v>0</v>
      </c>
      <c r="C13" s="82">
        <f>'JAN-26'!B14</f>
        <v>0</v>
      </c>
      <c r="D13" s="82">
        <f>'JAN-26'!C14</f>
        <v>0</v>
      </c>
      <c r="E13" s="83">
        <f>'JAN-26'!D14</f>
        <v>0</v>
      </c>
      <c r="F13" s="84">
        <f>'JAN-26'!E14</f>
        <v>0</v>
      </c>
      <c r="G13" s="85">
        <f>'JAN-26'!F14</f>
        <v>0</v>
      </c>
      <c r="H13" s="85">
        <f t="shared" si="0"/>
        <v>0</v>
      </c>
      <c r="I13" s="83" t="s">
        <v>95</v>
      </c>
      <c r="J13" s="83" t="str">
        <f t="shared" si="1"/>
        <v/>
      </c>
      <c r="K13" s="85">
        <f t="shared" si="2"/>
        <v>0</v>
      </c>
      <c r="L13" s="83" t="str">
        <f t="shared" si="3"/>
        <v/>
      </c>
      <c r="M13" s="83">
        <f>'JAN-26'!H14</f>
        <v>0</v>
      </c>
      <c r="N13" s="92" t="str">
        <f ca="1">IF(BD!$C13="","",IF(AND(TODAY()&gt;BD!$C13,OR(BD!$D13="PENDENTE",BD!$D13="")),"VENCIDO",""))</f>
        <v/>
      </c>
      <c r="O13" s="82" t="str">
        <f ca="1">IF(N13 = "VENCIDO",BD!$B13,"")</f>
        <v/>
      </c>
      <c r="P13" s="82" t="str">
        <f ca="1">IF(N13 = "VENCIDO",BD!$C13,"")</f>
        <v/>
      </c>
      <c r="Q13" s="83" t="str">
        <f ca="1">IF(N13 = "VENCIDO",BD!$E13,"")</f>
        <v/>
      </c>
      <c r="R13" s="83" t="str">
        <f ca="1">IF(N13 = "VENCIDO",BD!$F13,"")</f>
        <v/>
      </c>
      <c r="S13" s="85" t="str">
        <f ca="1">IF(N13 = "VENCIDO",BD!$G13,"")</f>
        <v/>
      </c>
      <c r="T13" s="83" t="str">
        <f ca="1">IF(AND(TODAY()&gt;BD!$C13, OR(BD!$D13="PENDENTE", BD!$D13="")), TODAY()-BD!$C13, "")</f>
        <v/>
      </c>
    </row>
    <row r="14" spans="1:20" ht="14.25" customHeight="1" x14ac:dyDescent="0.35">
      <c r="A14" s="32"/>
      <c r="B14" s="82">
        <f>'JAN-26'!A15</f>
        <v>0</v>
      </c>
      <c r="C14" s="82">
        <f>'JAN-26'!B15</f>
        <v>0</v>
      </c>
      <c r="D14" s="82">
        <f>'JAN-26'!C15</f>
        <v>0</v>
      </c>
      <c r="E14" s="83">
        <f>'JAN-26'!D15</f>
        <v>0</v>
      </c>
      <c r="F14" s="84">
        <f>'JAN-26'!E15</f>
        <v>0</v>
      </c>
      <c r="G14" s="85">
        <f>'JAN-26'!F15</f>
        <v>0</v>
      </c>
      <c r="H14" s="85">
        <f t="shared" si="0"/>
        <v>0</v>
      </c>
      <c r="I14" s="83" t="s">
        <v>95</v>
      </c>
      <c r="J14" s="83" t="str">
        <f t="shared" si="1"/>
        <v/>
      </c>
      <c r="K14" s="85">
        <f t="shared" si="2"/>
        <v>0</v>
      </c>
      <c r="L14" s="83" t="str">
        <f t="shared" si="3"/>
        <v/>
      </c>
      <c r="M14" s="83">
        <f>'JAN-26'!H15</f>
        <v>0</v>
      </c>
      <c r="N14" s="92" t="str">
        <f ca="1">IF(BD!$C14="","",IF(AND(TODAY()&gt;BD!$C14,OR(BD!$D14="PENDENTE",BD!$D14="")),"VENCIDO",""))</f>
        <v/>
      </c>
      <c r="O14" s="82" t="str">
        <f ca="1">IF(N14 = "VENCIDO",BD!$B14,"")</f>
        <v/>
      </c>
      <c r="P14" s="82" t="str">
        <f ca="1">IF(N14 = "VENCIDO",BD!$C14,"")</f>
        <v/>
      </c>
      <c r="Q14" s="83" t="str">
        <f ca="1">IF(N14 = "VENCIDO",BD!$E14,"")</f>
        <v/>
      </c>
      <c r="R14" s="83" t="str">
        <f ca="1">IF(N14 = "VENCIDO",BD!$F14,"")</f>
        <v/>
      </c>
      <c r="S14" s="85" t="str">
        <f ca="1">IF(N14 = "VENCIDO",BD!$G14,"")</f>
        <v/>
      </c>
      <c r="T14" s="83" t="str">
        <f ca="1">IF(AND(TODAY()&gt;BD!$C14, OR(BD!$D14="PENDENTE", BD!$D14="")), TODAY()-BD!$C14, "")</f>
        <v/>
      </c>
    </row>
    <row r="15" spans="1:20" ht="14.25" customHeight="1" x14ac:dyDescent="0.35">
      <c r="A15" s="32"/>
      <c r="B15" s="82">
        <f>'JAN-26'!A16</f>
        <v>0</v>
      </c>
      <c r="C15" s="82">
        <f>'JAN-26'!B16</f>
        <v>0</v>
      </c>
      <c r="D15" s="82">
        <f>'JAN-26'!C16</f>
        <v>0</v>
      </c>
      <c r="E15" s="83">
        <f>'JAN-26'!D16</f>
        <v>0</v>
      </c>
      <c r="F15" s="84">
        <f>'JAN-26'!E16</f>
        <v>0</v>
      </c>
      <c r="G15" s="85">
        <f>'JAN-26'!F16</f>
        <v>0</v>
      </c>
      <c r="H15" s="85">
        <f t="shared" si="0"/>
        <v>0</v>
      </c>
      <c r="I15" s="83" t="s">
        <v>95</v>
      </c>
      <c r="J15" s="83" t="str">
        <f t="shared" si="1"/>
        <v/>
      </c>
      <c r="K15" s="85">
        <f t="shared" si="2"/>
        <v>0</v>
      </c>
      <c r="L15" s="83" t="str">
        <f t="shared" si="3"/>
        <v/>
      </c>
      <c r="M15" s="83">
        <f>'JAN-26'!H16</f>
        <v>0</v>
      </c>
      <c r="N15" s="92" t="str">
        <f ca="1">IF(BD!$C15="","",IF(AND(TODAY()&gt;BD!$C15,OR(BD!$D15="PENDENTE",BD!$D15="")),"VENCIDO",""))</f>
        <v/>
      </c>
      <c r="O15" s="82" t="str">
        <f ca="1">IF(N15 = "VENCIDO",BD!$B15,"")</f>
        <v/>
      </c>
      <c r="P15" s="82" t="str">
        <f ca="1">IF(N15 = "VENCIDO",BD!$C15,"")</f>
        <v/>
      </c>
      <c r="Q15" s="83" t="str">
        <f ca="1">IF(N15 = "VENCIDO",BD!$E15,"")</f>
        <v/>
      </c>
      <c r="R15" s="83" t="str">
        <f ca="1">IF(N15 = "VENCIDO",BD!$F15,"")</f>
        <v/>
      </c>
      <c r="S15" s="85" t="str">
        <f ca="1">IF(N15 = "VENCIDO",BD!$G15,"")</f>
        <v/>
      </c>
      <c r="T15" s="83" t="str">
        <f ca="1">IF(AND(TODAY()&gt;BD!$C15, OR(BD!$D15="PENDENTE", BD!$D15="")), TODAY()-BD!$C15, "")</f>
        <v/>
      </c>
    </row>
    <row r="16" spans="1:20" ht="14.25" customHeight="1" x14ac:dyDescent="0.35">
      <c r="A16" s="32"/>
      <c r="B16" s="82">
        <f>'JAN-26'!A17</f>
        <v>0</v>
      </c>
      <c r="C16" s="82">
        <f>'JAN-26'!B17</f>
        <v>0</v>
      </c>
      <c r="D16" s="82">
        <f>'JAN-26'!C17</f>
        <v>0</v>
      </c>
      <c r="E16" s="83">
        <f>'JAN-26'!D17</f>
        <v>0</v>
      </c>
      <c r="F16" s="84">
        <f>'JAN-26'!E17</f>
        <v>0</v>
      </c>
      <c r="G16" s="85">
        <f>'JAN-26'!F17</f>
        <v>0</v>
      </c>
      <c r="H16" s="85">
        <f t="shared" si="0"/>
        <v>0</v>
      </c>
      <c r="I16" s="83" t="s">
        <v>95</v>
      </c>
      <c r="J16" s="83" t="str">
        <f t="shared" si="1"/>
        <v/>
      </c>
      <c r="K16" s="85">
        <f t="shared" si="2"/>
        <v>0</v>
      </c>
      <c r="L16" s="83" t="str">
        <f t="shared" si="3"/>
        <v/>
      </c>
      <c r="M16" s="83">
        <f>'JAN-26'!H17</f>
        <v>0</v>
      </c>
      <c r="N16" s="92" t="str">
        <f ca="1">IF(BD!$C16="","",IF(AND(TODAY()&gt;BD!$C16,OR(BD!$D16="PENDENTE",BD!$D16="")),"VENCIDO",""))</f>
        <v/>
      </c>
      <c r="O16" s="82" t="str">
        <f ca="1">IF(N16 = "VENCIDO",BD!$B16,"")</f>
        <v/>
      </c>
      <c r="P16" s="82" t="str">
        <f ca="1">IF(N16 = "VENCIDO",BD!$C16,"")</f>
        <v/>
      </c>
      <c r="Q16" s="83" t="str">
        <f ca="1">IF(N16 = "VENCIDO",BD!$E16,"")</f>
        <v/>
      </c>
      <c r="R16" s="83" t="str">
        <f ca="1">IF(N16 = "VENCIDO",BD!$F16,"")</f>
        <v/>
      </c>
      <c r="S16" s="85" t="str">
        <f ca="1">IF(N16 = "VENCIDO",BD!$G16,"")</f>
        <v/>
      </c>
      <c r="T16" s="83" t="str">
        <f ca="1">IF(AND(TODAY()&gt;BD!$C16, OR(BD!$D16="PENDENTE", BD!$D16="")), TODAY()-BD!$C16, "")</f>
        <v/>
      </c>
    </row>
    <row r="17" spans="1:20" ht="14.25" customHeight="1" x14ac:dyDescent="0.35">
      <c r="A17" s="32"/>
      <c r="B17" s="82">
        <f>'JAN-26'!A18</f>
        <v>0</v>
      </c>
      <c r="C17" s="82">
        <f>'JAN-26'!B18</f>
        <v>0</v>
      </c>
      <c r="D17" s="82">
        <f>'JAN-26'!C18</f>
        <v>0</v>
      </c>
      <c r="E17" s="83">
        <f>'JAN-26'!D18</f>
        <v>0</v>
      </c>
      <c r="F17" s="84">
        <f>'JAN-26'!E18</f>
        <v>0</v>
      </c>
      <c r="G17" s="85">
        <f>'JAN-26'!F18</f>
        <v>0</v>
      </c>
      <c r="H17" s="85">
        <f t="shared" si="0"/>
        <v>0</v>
      </c>
      <c r="I17" s="83" t="s">
        <v>95</v>
      </c>
      <c r="J17" s="83" t="str">
        <f t="shared" si="1"/>
        <v/>
      </c>
      <c r="K17" s="85">
        <f t="shared" si="2"/>
        <v>0</v>
      </c>
      <c r="L17" s="83" t="str">
        <f t="shared" si="3"/>
        <v/>
      </c>
      <c r="M17" s="83">
        <f>'JAN-26'!H18</f>
        <v>0</v>
      </c>
      <c r="N17" s="92" t="str">
        <f ca="1">IF(BD!$C17="","",IF(AND(TODAY()&gt;BD!$C17,OR(BD!$D17="PENDENTE",BD!$D17="")),"VENCIDO",""))</f>
        <v/>
      </c>
      <c r="O17" s="82" t="str">
        <f ca="1">IF(N17 = "VENCIDO",BD!$B17,"")</f>
        <v/>
      </c>
      <c r="P17" s="82" t="str">
        <f ca="1">IF(N17 = "VENCIDO",BD!$C17,"")</f>
        <v/>
      </c>
      <c r="Q17" s="83" t="str">
        <f ca="1">IF(N17 = "VENCIDO",BD!$E17,"")</f>
        <v/>
      </c>
      <c r="R17" s="83" t="str">
        <f ca="1">IF(N17 = "VENCIDO",BD!$F17,"")</f>
        <v/>
      </c>
      <c r="S17" s="85" t="str">
        <f ca="1">IF(N17 = "VENCIDO",BD!$G17,"")</f>
        <v/>
      </c>
      <c r="T17" s="83" t="str">
        <f ca="1">IF(AND(TODAY()&gt;BD!$C17, OR(BD!$D17="PENDENTE", BD!$D17="")), TODAY()-BD!$C17, "")</f>
        <v/>
      </c>
    </row>
    <row r="18" spans="1:20" ht="14.25" customHeight="1" x14ac:dyDescent="0.35">
      <c r="A18" s="32"/>
      <c r="B18" s="82">
        <f>'JAN-26'!A19</f>
        <v>0</v>
      </c>
      <c r="C18" s="82">
        <f>'JAN-26'!B19</f>
        <v>0</v>
      </c>
      <c r="D18" s="82">
        <f>'JAN-26'!C19</f>
        <v>0</v>
      </c>
      <c r="E18" s="83">
        <f>'JAN-26'!D19</f>
        <v>0</v>
      </c>
      <c r="F18" s="84">
        <f>'JAN-26'!E19</f>
        <v>0</v>
      </c>
      <c r="G18" s="85">
        <f>'JAN-26'!F19</f>
        <v>0</v>
      </c>
      <c r="H18" s="85">
        <f t="shared" si="0"/>
        <v>0</v>
      </c>
      <c r="I18" s="83" t="s">
        <v>95</v>
      </c>
      <c r="J18" s="83" t="str">
        <f t="shared" si="1"/>
        <v/>
      </c>
      <c r="K18" s="85">
        <f t="shared" si="2"/>
        <v>0</v>
      </c>
      <c r="L18" s="83" t="str">
        <f t="shared" si="3"/>
        <v/>
      </c>
      <c r="M18" s="83">
        <f>'JAN-26'!H19</f>
        <v>0</v>
      </c>
      <c r="N18" s="92" t="str">
        <f ca="1">IF(BD!$C18="","",IF(AND(TODAY()&gt;BD!$C18,OR(BD!$D18="PENDENTE",BD!$D18="")),"VENCIDO",""))</f>
        <v/>
      </c>
      <c r="O18" s="82" t="str">
        <f ca="1">IF(N18 = "VENCIDO",BD!$B18,"")</f>
        <v/>
      </c>
      <c r="P18" s="82" t="str">
        <f ca="1">IF(N18 = "VENCIDO",BD!$C18,"")</f>
        <v/>
      </c>
      <c r="Q18" s="83" t="str">
        <f ca="1">IF(N18 = "VENCIDO",BD!$E18,"")</f>
        <v/>
      </c>
      <c r="R18" s="83" t="str">
        <f ca="1">IF(N18 = "VENCIDO",BD!$F18,"")</f>
        <v/>
      </c>
      <c r="S18" s="85" t="str">
        <f ca="1">IF(N18 = "VENCIDO",BD!$G18,"")</f>
        <v/>
      </c>
      <c r="T18" s="83" t="str">
        <f ca="1">IF(AND(TODAY()&gt;BD!$C18, OR(BD!$D18="PENDENTE", BD!$D18="")), TODAY()-BD!$C18, "")</f>
        <v/>
      </c>
    </row>
    <row r="19" spans="1:20" ht="14.25" customHeight="1" x14ac:dyDescent="0.35">
      <c r="A19" s="32"/>
      <c r="B19" s="82">
        <f>'JAN-26'!A20</f>
        <v>0</v>
      </c>
      <c r="C19" s="82">
        <f>'JAN-26'!B20</f>
        <v>0</v>
      </c>
      <c r="D19" s="82">
        <f>'JAN-26'!C20</f>
        <v>0</v>
      </c>
      <c r="E19" s="83">
        <f>'JAN-26'!D20</f>
        <v>0</v>
      </c>
      <c r="F19" s="84">
        <f>'JAN-26'!E20</f>
        <v>0</v>
      </c>
      <c r="G19" s="85">
        <f>'JAN-26'!F20</f>
        <v>0</v>
      </c>
      <c r="H19" s="85">
        <f t="shared" si="0"/>
        <v>0</v>
      </c>
      <c r="I19" s="83" t="s">
        <v>95</v>
      </c>
      <c r="J19" s="83" t="str">
        <f t="shared" si="1"/>
        <v/>
      </c>
      <c r="K19" s="85">
        <f t="shared" si="2"/>
        <v>0</v>
      </c>
      <c r="L19" s="83" t="str">
        <f t="shared" si="3"/>
        <v/>
      </c>
      <c r="M19" s="83">
        <f>'JAN-26'!H20</f>
        <v>0</v>
      </c>
      <c r="N19" s="92" t="str">
        <f ca="1">IF(BD!$C19="","",IF(AND(TODAY()&gt;BD!$C19,OR(BD!$D19="PENDENTE",BD!$D19="")),"VENCIDO",""))</f>
        <v/>
      </c>
      <c r="O19" s="82" t="str">
        <f ca="1">IF(N19 = "VENCIDO",BD!$B19,"")</f>
        <v/>
      </c>
      <c r="P19" s="82" t="str">
        <f ca="1">IF(N19 = "VENCIDO",BD!$C19,"")</f>
        <v/>
      </c>
      <c r="Q19" s="83" t="str">
        <f ca="1">IF(N19 = "VENCIDO",BD!$E19,"")</f>
        <v/>
      </c>
      <c r="R19" s="83" t="str">
        <f ca="1">IF(N19 = "VENCIDO",BD!$F19,"")</f>
        <v/>
      </c>
      <c r="S19" s="85" t="str">
        <f ca="1">IF(N19 = "VENCIDO",BD!$G19,"")</f>
        <v/>
      </c>
      <c r="T19" s="83" t="str">
        <f ca="1">IF(AND(TODAY()&gt;BD!$C19, OR(BD!$D19="PENDENTE", BD!$D19="")), TODAY()-BD!$C19, "")</f>
        <v/>
      </c>
    </row>
    <row r="20" spans="1:20" ht="14.25" customHeight="1" x14ac:dyDescent="0.35">
      <c r="A20" s="32"/>
      <c r="B20" s="82">
        <f>'JAN-26'!A21</f>
        <v>0</v>
      </c>
      <c r="C20" s="82">
        <f>'JAN-26'!B21</f>
        <v>0</v>
      </c>
      <c r="D20" s="82">
        <f>'JAN-26'!C21</f>
        <v>0</v>
      </c>
      <c r="E20" s="83">
        <f>'JAN-26'!D21</f>
        <v>0</v>
      </c>
      <c r="F20" s="84">
        <f>'JAN-26'!E21</f>
        <v>0</v>
      </c>
      <c r="G20" s="85">
        <f>'JAN-26'!F21</f>
        <v>0</v>
      </c>
      <c r="H20" s="85">
        <f t="shared" si="0"/>
        <v>0</v>
      </c>
      <c r="I20" s="83" t="s">
        <v>95</v>
      </c>
      <c r="J20" s="83" t="str">
        <f t="shared" si="1"/>
        <v/>
      </c>
      <c r="K20" s="85">
        <f t="shared" si="2"/>
        <v>0</v>
      </c>
      <c r="L20" s="83" t="str">
        <f t="shared" si="3"/>
        <v/>
      </c>
      <c r="M20" s="83">
        <f>'JAN-26'!H21</f>
        <v>0</v>
      </c>
      <c r="N20" s="92" t="str">
        <f ca="1">IF(BD!$C20="","",IF(AND(TODAY()&gt;BD!$C20,OR(BD!$D20="PENDENTE",BD!$D20="")),"VENCIDO",""))</f>
        <v/>
      </c>
      <c r="O20" s="82" t="str">
        <f ca="1">IF(N20 = "VENCIDO",BD!$B20,"")</f>
        <v/>
      </c>
      <c r="P20" s="82" t="str">
        <f ca="1">IF(N20 = "VENCIDO",BD!$C20,"")</f>
        <v/>
      </c>
      <c r="Q20" s="83" t="str">
        <f ca="1">IF(N20 = "VENCIDO",BD!$E20,"")</f>
        <v/>
      </c>
      <c r="R20" s="83" t="str">
        <f ca="1">IF(N20 = "VENCIDO",BD!$F20,"")</f>
        <v/>
      </c>
      <c r="S20" s="85" t="str">
        <f ca="1">IF(N20 = "VENCIDO",BD!$G20,"")</f>
        <v/>
      </c>
      <c r="T20" s="83" t="str">
        <f ca="1">IF(AND(TODAY()&gt;BD!$C20, OR(BD!$D20="PENDENTE", BD!$D20="")), TODAY()-BD!$C20, "")</f>
        <v/>
      </c>
    </row>
    <row r="21" spans="1:20" ht="14.25" customHeight="1" x14ac:dyDescent="0.35">
      <c r="A21" s="32"/>
      <c r="B21" s="82">
        <f>'JAN-26'!A22</f>
        <v>0</v>
      </c>
      <c r="C21" s="82">
        <f>'JAN-26'!B22</f>
        <v>0</v>
      </c>
      <c r="D21" s="82">
        <f>'JAN-26'!C22</f>
        <v>0</v>
      </c>
      <c r="E21" s="83">
        <f>'JAN-26'!D22</f>
        <v>0</v>
      </c>
      <c r="F21" s="84">
        <f>'JAN-26'!E22</f>
        <v>0</v>
      </c>
      <c r="G21" s="85">
        <f>'JAN-26'!F22</f>
        <v>0</v>
      </c>
      <c r="H21" s="85">
        <f t="shared" si="0"/>
        <v>0</v>
      </c>
      <c r="I21" s="83" t="s">
        <v>95</v>
      </c>
      <c r="J21" s="83" t="str">
        <f t="shared" si="1"/>
        <v/>
      </c>
      <c r="K21" s="85">
        <f t="shared" si="2"/>
        <v>0</v>
      </c>
      <c r="L21" s="83" t="str">
        <f t="shared" si="3"/>
        <v/>
      </c>
      <c r="M21" s="83">
        <f>'JAN-26'!H22</f>
        <v>0</v>
      </c>
      <c r="N21" s="92" t="str">
        <f ca="1">IF(BD!$C21="","",IF(AND(TODAY()&gt;BD!$C21,OR(BD!$D21="PENDENTE",BD!$D21="")),"VENCIDO",""))</f>
        <v/>
      </c>
      <c r="O21" s="82" t="str">
        <f ca="1">IF(N21 = "VENCIDO",BD!$B21,"")</f>
        <v/>
      </c>
      <c r="P21" s="82" t="str">
        <f ca="1">IF(N21 = "VENCIDO",BD!$C21,"")</f>
        <v/>
      </c>
      <c r="Q21" s="83" t="str">
        <f ca="1">IF(N21 = "VENCIDO",BD!$E21,"")</f>
        <v/>
      </c>
      <c r="R21" s="83" t="str">
        <f ca="1">IF(N21 = "VENCIDO",BD!$F21,"")</f>
        <v/>
      </c>
      <c r="S21" s="85" t="str">
        <f ca="1">IF(N21 = "VENCIDO",BD!$G21,"")</f>
        <v/>
      </c>
      <c r="T21" s="83" t="str">
        <f ca="1">IF(AND(TODAY()&gt;BD!$C21, OR(BD!$D21="PENDENTE", BD!$D21="")), TODAY()-BD!$C21, "")</f>
        <v/>
      </c>
    </row>
    <row r="22" spans="1:20" ht="14.25" customHeight="1" x14ac:dyDescent="0.35">
      <c r="A22" s="32"/>
      <c r="B22" s="82">
        <f>'JAN-26'!A23</f>
        <v>0</v>
      </c>
      <c r="C22" s="82">
        <f>'JAN-26'!B23</f>
        <v>0</v>
      </c>
      <c r="D22" s="82">
        <f>'JAN-26'!C23</f>
        <v>0</v>
      </c>
      <c r="E22" s="83">
        <f>'JAN-26'!D23</f>
        <v>0</v>
      </c>
      <c r="F22" s="84">
        <f>'JAN-26'!E23</f>
        <v>0</v>
      </c>
      <c r="G22" s="85">
        <f>'JAN-26'!F23</f>
        <v>0</v>
      </c>
      <c r="H22" s="85">
        <f t="shared" si="0"/>
        <v>0</v>
      </c>
      <c r="I22" s="83" t="s">
        <v>95</v>
      </c>
      <c r="J22" s="83" t="str">
        <f t="shared" si="1"/>
        <v/>
      </c>
      <c r="K22" s="85">
        <f t="shared" si="2"/>
        <v>0</v>
      </c>
      <c r="L22" s="83" t="str">
        <f t="shared" si="3"/>
        <v/>
      </c>
      <c r="M22" s="83">
        <f>'JAN-26'!H23</f>
        <v>0</v>
      </c>
      <c r="N22" s="92" t="str">
        <f ca="1">IF(BD!$C22="","",IF(AND(TODAY()&gt;BD!$C22,OR(BD!$D22="PENDENTE",BD!$D22="")),"VENCIDO",""))</f>
        <v/>
      </c>
      <c r="O22" s="82" t="str">
        <f ca="1">IF(N22 = "VENCIDO",BD!$B22,"")</f>
        <v/>
      </c>
      <c r="P22" s="82" t="str">
        <f ca="1">IF(N22 = "VENCIDO",BD!$C22,"")</f>
        <v/>
      </c>
      <c r="Q22" s="83" t="str">
        <f ca="1">IF(N22 = "VENCIDO",BD!$E22,"")</f>
        <v/>
      </c>
      <c r="R22" s="83" t="str">
        <f ca="1">IF(N22 = "VENCIDO",BD!$F22,"")</f>
        <v/>
      </c>
      <c r="S22" s="85" t="str">
        <f ca="1">IF(N22 = "VENCIDO",BD!$G22,"")</f>
        <v/>
      </c>
      <c r="T22" s="83" t="str">
        <f ca="1">IF(AND(TODAY()&gt;BD!$C22, OR(BD!$D22="PENDENTE", BD!$D22="")), TODAY()-BD!$C22, "")</f>
        <v/>
      </c>
    </row>
    <row r="23" spans="1:20" ht="14.25" customHeight="1" x14ac:dyDescent="0.35">
      <c r="A23" s="32"/>
      <c r="B23" s="82">
        <f>'JAN-26'!A24</f>
        <v>0</v>
      </c>
      <c r="C23" s="82">
        <f>'JAN-26'!B24</f>
        <v>0</v>
      </c>
      <c r="D23" s="82">
        <f>'JAN-26'!C24</f>
        <v>0</v>
      </c>
      <c r="E23" s="83">
        <f>'JAN-26'!D24</f>
        <v>0</v>
      </c>
      <c r="F23" s="84">
        <f>'JAN-26'!E24</f>
        <v>0</v>
      </c>
      <c r="G23" s="85">
        <f>'JAN-26'!F24</f>
        <v>0</v>
      </c>
      <c r="H23" s="85">
        <f t="shared" si="0"/>
        <v>0</v>
      </c>
      <c r="I23" s="83" t="s">
        <v>95</v>
      </c>
      <c r="J23" s="83" t="str">
        <f t="shared" si="1"/>
        <v/>
      </c>
      <c r="K23" s="85">
        <f t="shared" si="2"/>
        <v>0</v>
      </c>
      <c r="L23" s="83" t="str">
        <f t="shared" si="3"/>
        <v/>
      </c>
      <c r="M23" s="83">
        <f>'JAN-26'!H24</f>
        <v>0</v>
      </c>
      <c r="N23" s="92" t="str">
        <f ca="1">IF(BD!$C23="","",IF(AND(TODAY()&gt;BD!$C23,OR(BD!$D23="PENDENTE",BD!$D23="")),"VENCIDO",""))</f>
        <v/>
      </c>
      <c r="O23" s="82" t="str">
        <f ca="1">IF(N23 = "VENCIDO",BD!$B23,"")</f>
        <v/>
      </c>
      <c r="P23" s="82" t="str">
        <f ca="1">IF(N23 = "VENCIDO",BD!$C23,"")</f>
        <v/>
      </c>
      <c r="Q23" s="83" t="str">
        <f ca="1">IF(N23 = "VENCIDO",BD!$E23,"")</f>
        <v/>
      </c>
      <c r="R23" s="83" t="str">
        <f ca="1">IF(N23 = "VENCIDO",BD!$F23,"")</f>
        <v/>
      </c>
      <c r="S23" s="85" t="str">
        <f ca="1">IF(N23 = "VENCIDO",BD!$G23,"")</f>
        <v/>
      </c>
      <c r="T23" s="83" t="str">
        <f ca="1">IF(AND(TODAY()&gt;BD!$C23, OR(BD!$D23="PENDENTE", BD!$D23="")), TODAY()-BD!$C23, "")</f>
        <v/>
      </c>
    </row>
    <row r="24" spans="1:20" ht="14.25" customHeight="1" x14ac:dyDescent="0.35">
      <c r="A24" s="32"/>
      <c r="B24" s="82">
        <f>'JAN-26'!A25</f>
        <v>0</v>
      </c>
      <c r="C24" s="82">
        <f>'JAN-26'!B25</f>
        <v>0</v>
      </c>
      <c r="D24" s="82">
        <f>'JAN-26'!C25</f>
        <v>0</v>
      </c>
      <c r="E24" s="93">
        <f>'JAN-26'!D25</f>
        <v>0</v>
      </c>
      <c r="F24" s="84">
        <f>'JAN-26'!E25</f>
        <v>0</v>
      </c>
      <c r="G24" s="85">
        <f>'JAN-26'!F25</f>
        <v>0</v>
      </c>
      <c r="H24" s="85">
        <f t="shared" si="0"/>
        <v>0</v>
      </c>
      <c r="I24" s="83" t="s">
        <v>95</v>
      </c>
      <c r="J24" s="83" t="str">
        <f t="shared" si="1"/>
        <v/>
      </c>
      <c r="K24" s="85">
        <f t="shared" si="2"/>
        <v>0</v>
      </c>
      <c r="L24" s="83" t="str">
        <f t="shared" si="3"/>
        <v/>
      </c>
      <c r="M24" s="83">
        <f>'JAN-26'!H25</f>
        <v>0</v>
      </c>
      <c r="N24" s="92" t="str">
        <f ca="1">IF(BD!$C24="","",IF(AND(TODAY()&gt;BD!$C24,OR(BD!$D24="PENDENTE",BD!$D24="")),"VENCIDO",""))</f>
        <v/>
      </c>
      <c r="O24" s="82" t="str">
        <f ca="1">IF(N24 = "VENCIDO",BD!$B24,"")</f>
        <v/>
      </c>
      <c r="P24" s="82" t="str">
        <f ca="1">IF(N24 = "VENCIDO",BD!$C24,"")</f>
        <v/>
      </c>
      <c r="Q24" s="83" t="str">
        <f ca="1">IF(N24 = "VENCIDO",BD!$E24,"")</f>
        <v/>
      </c>
      <c r="R24" s="83" t="str">
        <f ca="1">IF(N24 = "VENCIDO",BD!$F24,"")</f>
        <v/>
      </c>
      <c r="S24" s="85" t="str">
        <f ca="1">IF(N24 = "VENCIDO",BD!$G24,"")</f>
        <v/>
      </c>
      <c r="T24" s="83" t="str">
        <f ca="1">IF(AND(TODAY()&gt;BD!$C24, OR(BD!$D24="PENDENTE", BD!$D24="")), TODAY()-BD!$C24, "")</f>
        <v/>
      </c>
    </row>
    <row r="25" spans="1:20" ht="14.25" customHeight="1" x14ac:dyDescent="0.35">
      <c r="A25" s="32"/>
      <c r="B25" s="82">
        <f>'JAN-26'!A26</f>
        <v>0</v>
      </c>
      <c r="C25" s="82">
        <f>'JAN-26'!B26</f>
        <v>0</v>
      </c>
      <c r="D25" s="82">
        <f>'JAN-26'!C26</f>
        <v>0</v>
      </c>
      <c r="E25" s="83">
        <f>'JAN-26'!D26</f>
        <v>0</v>
      </c>
      <c r="F25" s="84">
        <f>'JAN-26'!E26</f>
        <v>0</v>
      </c>
      <c r="G25" s="85">
        <f>'JAN-26'!F26</f>
        <v>0</v>
      </c>
      <c r="H25" s="85">
        <f t="shared" si="0"/>
        <v>0</v>
      </c>
      <c r="I25" s="83" t="s">
        <v>95</v>
      </c>
      <c r="J25" s="83" t="str">
        <f t="shared" si="1"/>
        <v/>
      </c>
      <c r="K25" s="85">
        <f t="shared" si="2"/>
        <v>0</v>
      </c>
      <c r="L25" s="83" t="str">
        <f t="shared" si="3"/>
        <v/>
      </c>
      <c r="M25" s="83">
        <f>'JAN-26'!H26</f>
        <v>0</v>
      </c>
      <c r="N25" s="92" t="str">
        <f ca="1">IF(BD!$C25="","",IF(AND(TODAY()&gt;BD!$C25,OR(BD!$D25="PENDENTE",BD!$D25="")),"VENCIDO",""))</f>
        <v/>
      </c>
      <c r="O25" s="82" t="str">
        <f ca="1">IF(N25 = "VENCIDO",BD!$B25,"")</f>
        <v/>
      </c>
      <c r="P25" s="82" t="str">
        <f ca="1">IF(N25 = "VENCIDO",BD!$C25,"")</f>
        <v/>
      </c>
      <c r="Q25" s="83" t="str">
        <f ca="1">IF(N25 = "VENCIDO",BD!$E25,"")</f>
        <v/>
      </c>
      <c r="R25" s="83" t="str">
        <f ca="1">IF(N25 = "VENCIDO",BD!$F25,"")</f>
        <v/>
      </c>
      <c r="S25" s="85" t="str">
        <f ca="1">IF(N25 = "VENCIDO",BD!$G25,"")</f>
        <v/>
      </c>
      <c r="T25" s="83" t="str">
        <f ca="1">IF(AND(TODAY()&gt;BD!$C25, OR(BD!$D25="PENDENTE", BD!$D25="")), TODAY()-BD!$C25, "")</f>
        <v/>
      </c>
    </row>
    <row r="26" spans="1:20" ht="14.25" customHeight="1" x14ac:dyDescent="0.35">
      <c r="A26" s="32"/>
      <c r="B26" s="82">
        <f>'JAN-26'!A27</f>
        <v>0</v>
      </c>
      <c r="C26" s="82">
        <f>'JAN-26'!B27</f>
        <v>0</v>
      </c>
      <c r="D26" s="82">
        <f>'JAN-26'!C27</f>
        <v>0</v>
      </c>
      <c r="E26" s="83">
        <f>'JAN-26'!D27</f>
        <v>0</v>
      </c>
      <c r="F26" s="84">
        <f>'JAN-26'!E27</f>
        <v>0</v>
      </c>
      <c r="G26" s="85">
        <f>'JAN-26'!F27</f>
        <v>0</v>
      </c>
      <c r="H26" s="85">
        <f t="shared" si="0"/>
        <v>0</v>
      </c>
      <c r="I26" s="83" t="s">
        <v>95</v>
      </c>
      <c r="J26" s="83" t="str">
        <f t="shared" si="1"/>
        <v/>
      </c>
      <c r="K26" s="85">
        <f t="shared" si="2"/>
        <v>0</v>
      </c>
      <c r="L26" s="83" t="str">
        <f t="shared" si="3"/>
        <v/>
      </c>
      <c r="M26" s="83">
        <f>'JAN-26'!H27</f>
        <v>0</v>
      </c>
      <c r="N26" s="92" t="str">
        <f ca="1">IF(BD!$C26="","",IF(AND(TODAY()&gt;BD!$C26,OR(BD!$D26="PENDENTE",BD!$D26="")),"VENCIDO",""))</f>
        <v/>
      </c>
      <c r="O26" s="82" t="str">
        <f ca="1">IF(N26 = "VENCIDO",BD!$B26,"")</f>
        <v/>
      </c>
      <c r="P26" s="82" t="str">
        <f ca="1">IF(N26 = "VENCIDO",BD!$C26,"")</f>
        <v/>
      </c>
      <c r="Q26" s="83" t="str">
        <f ca="1">IF(N26 = "VENCIDO",BD!$E26,"")</f>
        <v/>
      </c>
      <c r="R26" s="83" t="str">
        <f ca="1">IF(N26 = "VENCIDO",BD!$F26,"")</f>
        <v/>
      </c>
      <c r="S26" s="85" t="str">
        <f ca="1">IF(N26 = "VENCIDO",BD!$G26,"")</f>
        <v/>
      </c>
      <c r="T26" s="83" t="str">
        <f ca="1">IF(AND(TODAY()&gt;BD!$C26, OR(BD!$D26="PENDENTE", BD!$D26="")), TODAY()-BD!$C26, "")</f>
        <v/>
      </c>
    </row>
    <row r="27" spans="1:20" ht="14.25" customHeight="1" x14ac:dyDescent="0.35">
      <c r="A27" s="32"/>
      <c r="B27" s="82">
        <f>'JAN-26'!A28</f>
        <v>0</v>
      </c>
      <c r="C27" s="82">
        <f>'JAN-26'!B28</f>
        <v>0</v>
      </c>
      <c r="D27" s="82">
        <f>'JAN-26'!C28</f>
        <v>0</v>
      </c>
      <c r="E27" s="83">
        <f>'JAN-26'!D28</f>
        <v>0</v>
      </c>
      <c r="F27" s="84">
        <f>'JAN-26'!E28</f>
        <v>0</v>
      </c>
      <c r="G27" s="85">
        <f>'JAN-26'!F28</f>
        <v>0</v>
      </c>
      <c r="H27" s="85">
        <f t="shared" si="0"/>
        <v>0</v>
      </c>
      <c r="I27" s="83" t="s">
        <v>95</v>
      </c>
      <c r="J27" s="83" t="str">
        <f t="shared" si="1"/>
        <v/>
      </c>
      <c r="K27" s="85">
        <f t="shared" si="2"/>
        <v>0</v>
      </c>
      <c r="L27" s="83" t="str">
        <f t="shared" si="3"/>
        <v/>
      </c>
      <c r="M27" s="83">
        <f>'JAN-26'!H28</f>
        <v>0</v>
      </c>
      <c r="N27" s="92" t="str">
        <f ca="1">IF(BD!$C27="","",IF(AND(TODAY()&gt;BD!$C27,OR(BD!$D27="PENDENTE",BD!$D27="")),"VENCIDO",""))</f>
        <v/>
      </c>
      <c r="O27" s="82" t="str">
        <f ca="1">IF(N27 = "VENCIDO",BD!$B27,"")</f>
        <v/>
      </c>
      <c r="P27" s="82" t="str">
        <f ca="1">IF(N27 = "VENCIDO",BD!$C27,"")</f>
        <v/>
      </c>
      <c r="Q27" s="83" t="str">
        <f ca="1">IF(N27 = "VENCIDO",BD!$E27,"")</f>
        <v/>
      </c>
      <c r="R27" s="83" t="str">
        <f ca="1">IF(N27 = "VENCIDO",BD!$F27,"")</f>
        <v/>
      </c>
      <c r="S27" s="85" t="str">
        <f ca="1">IF(N27 = "VENCIDO",BD!$G27,"")</f>
        <v/>
      </c>
      <c r="T27" s="83" t="str">
        <f ca="1">IF(AND(TODAY()&gt;BD!$C27, OR(BD!$D27="PENDENTE", BD!$D27="")), TODAY()-BD!$C27, "")</f>
        <v/>
      </c>
    </row>
    <row r="28" spans="1:20" ht="14.25" customHeight="1" x14ac:dyDescent="0.35">
      <c r="A28" s="32"/>
      <c r="B28" s="82">
        <f>'JAN-26'!A29</f>
        <v>0</v>
      </c>
      <c r="C28" s="82">
        <f>'JAN-26'!B29</f>
        <v>0</v>
      </c>
      <c r="D28" s="82">
        <f>'JAN-26'!C29</f>
        <v>0</v>
      </c>
      <c r="E28" s="83">
        <f>'JAN-26'!D29</f>
        <v>0</v>
      </c>
      <c r="F28" s="84">
        <f>'JAN-26'!E29</f>
        <v>0</v>
      </c>
      <c r="G28" s="85">
        <f>'JAN-26'!F29</f>
        <v>0</v>
      </c>
      <c r="H28" s="85">
        <f t="shared" si="0"/>
        <v>0</v>
      </c>
      <c r="I28" s="83" t="s">
        <v>95</v>
      </c>
      <c r="J28" s="83" t="str">
        <f t="shared" si="1"/>
        <v/>
      </c>
      <c r="K28" s="85">
        <f t="shared" si="2"/>
        <v>0</v>
      </c>
      <c r="L28" s="83" t="str">
        <f t="shared" si="3"/>
        <v/>
      </c>
      <c r="M28" s="83">
        <f>'JAN-26'!H29</f>
        <v>0</v>
      </c>
      <c r="N28" s="92" t="str">
        <f ca="1">IF(BD!$C28="","",IF(AND(TODAY()&gt;BD!$C28,OR(BD!$D28="PENDENTE",BD!$D28="")),"VENCIDO",""))</f>
        <v/>
      </c>
      <c r="O28" s="82" t="str">
        <f ca="1">IF(N28 = "VENCIDO",BD!$B28,"")</f>
        <v/>
      </c>
      <c r="P28" s="82" t="str">
        <f ca="1">IF(N28 = "VENCIDO",BD!$C28,"")</f>
        <v/>
      </c>
      <c r="Q28" s="83" t="str">
        <f ca="1">IF(N28 = "VENCIDO",BD!$E28,"")</f>
        <v/>
      </c>
      <c r="R28" s="83" t="str">
        <f ca="1">IF(N28 = "VENCIDO",BD!$F28,"")</f>
        <v/>
      </c>
      <c r="S28" s="85" t="str">
        <f ca="1">IF(N28 = "VENCIDO",BD!$G28,"")</f>
        <v/>
      </c>
      <c r="T28" s="83" t="str">
        <f ca="1">IF(AND(TODAY()&gt;BD!$C28, OR(BD!$D28="PENDENTE", BD!$D28="")), TODAY()-BD!$C28, "")</f>
        <v/>
      </c>
    </row>
    <row r="29" spans="1:20" ht="14.25" customHeight="1" x14ac:dyDescent="0.35">
      <c r="A29" s="32"/>
      <c r="B29" s="82">
        <f>'JAN-26'!A30</f>
        <v>0</v>
      </c>
      <c r="C29" s="82">
        <f>'JAN-26'!B30</f>
        <v>0</v>
      </c>
      <c r="D29" s="82">
        <f>'JAN-26'!C30</f>
        <v>0</v>
      </c>
      <c r="E29" s="83">
        <f>'JAN-26'!D30</f>
        <v>0</v>
      </c>
      <c r="F29" s="84">
        <f>'JAN-26'!E30</f>
        <v>0</v>
      </c>
      <c r="G29" s="85">
        <f>'JAN-26'!F30</f>
        <v>0</v>
      </c>
      <c r="H29" s="85">
        <f t="shared" si="0"/>
        <v>0</v>
      </c>
      <c r="I29" s="83" t="s">
        <v>95</v>
      </c>
      <c r="J29" s="83" t="str">
        <f t="shared" si="1"/>
        <v/>
      </c>
      <c r="K29" s="85">
        <f t="shared" si="2"/>
        <v>0</v>
      </c>
      <c r="L29" s="83" t="str">
        <f t="shared" si="3"/>
        <v/>
      </c>
      <c r="M29" s="83">
        <f>'JAN-26'!H30</f>
        <v>0</v>
      </c>
      <c r="N29" s="92" t="str">
        <f ca="1">IF(BD!$C29="","",IF(AND(TODAY()&gt;BD!$C29,OR(BD!$D29="PENDENTE",BD!$D29="")),"VENCIDO",""))</f>
        <v/>
      </c>
      <c r="O29" s="82" t="str">
        <f ca="1">IF(N29 = "VENCIDO",BD!$B29,"")</f>
        <v/>
      </c>
      <c r="P29" s="82" t="str">
        <f ca="1">IF(N29 = "VENCIDO",BD!$C29,"")</f>
        <v/>
      </c>
      <c r="Q29" s="83" t="str">
        <f ca="1">IF(N29 = "VENCIDO",BD!$E29,"")</f>
        <v/>
      </c>
      <c r="R29" s="83" t="str">
        <f ca="1">IF(N29 = "VENCIDO",BD!$F29,"")</f>
        <v/>
      </c>
      <c r="S29" s="85" t="str">
        <f ca="1">IF(N29 = "VENCIDO",BD!$G29,"")</f>
        <v/>
      </c>
      <c r="T29" s="83" t="str">
        <f ca="1">IF(AND(TODAY()&gt;BD!$C29, OR(BD!$D29="PENDENTE", BD!$D29="")), TODAY()-BD!$C29, "")</f>
        <v/>
      </c>
    </row>
    <row r="30" spans="1:20" ht="14.25" customHeight="1" x14ac:dyDescent="0.35">
      <c r="A30" s="32"/>
      <c r="B30" s="82">
        <f>'JAN-26'!A31</f>
        <v>0</v>
      </c>
      <c r="C30" s="82">
        <f>'JAN-26'!B31</f>
        <v>0</v>
      </c>
      <c r="D30" s="82">
        <f>'JAN-26'!C31</f>
        <v>0</v>
      </c>
      <c r="E30" s="83">
        <f>'JAN-26'!D31</f>
        <v>0</v>
      </c>
      <c r="F30" s="84">
        <f>'JAN-26'!E31</f>
        <v>0</v>
      </c>
      <c r="G30" s="85">
        <f>'JAN-26'!F31</f>
        <v>0</v>
      </c>
      <c r="H30" s="85">
        <f t="shared" si="0"/>
        <v>0</v>
      </c>
      <c r="I30" s="83" t="s">
        <v>95</v>
      </c>
      <c r="J30" s="83" t="str">
        <f t="shared" si="1"/>
        <v/>
      </c>
      <c r="K30" s="85">
        <f t="shared" si="2"/>
        <v>0</v>
      </c>
      <c r="L30" s="83" t="str">
        <f t="shared" si="3"/>
        <v/>
      </c>
      <c r="M30" s="83">
        <f>'JAN-26'!H31</f>
        <v>0</v>
      </c>
      <c r="N30" s="92" t="str">
        <f ca="1">IF(BD!$C30="","",IF(AND(TODAY()&gt;BD!$C30,OR(BD!$D30="PENDENTE",BD!$D30="")),"VENCIDO",""))</f>
        <v/>
      </c>
      <c r="O30" s="82" t="str">
        <f ca="1">IF(N30 = "VENCIDO",BD!$B30,"")</f>
        <v/>
      </c>
      <c r="P30" s="82" t="str">
        <f ca="1">IF(N30 = "VENCIDO",BD!$C30,"")</f>
        <v/>
      </c>
      <c r="Q30" s="83" t="str">
        <f ca="1">IF(N30 = "VENCIDO",BD!$E30,"")</f>
        <v/>
      </c>
      <c r="R30" s="83" t="str">
        <f ca="1">IF(N30 = "VENCIDO",BD!$F30,"")</f>
        <v/>
      </c>
      <c r="S30" s="85" t="str">
        <f ca="1">IF(N30 = "VENCIDO",BD!$G30,"")</f>
        <v/>
      </c>
      <c r="T30" s="83" t="str">
        <f ca="1">IF(AND(TODAY()&gt;BD!$C30, OR(BD!$D30="PENDENTE", BD!$D30="")), TODAY()-BD!$C30, "")</f>
        <v/>
      </c>
    </row>
    <row r="31" spans="1:20" ht="14.25" customHeight="1" x14ac:dyDescent="0.35">
      <c r="A31" s="32"/>
      <c r="B31" s="82">
        <f>'JAN-26'!A32</f>
        <v>0</v>
      </c>
      <c r="C31" s="82">
        <f>'JAN-26'!B32</f>
        <v>0</v>
      </c>
      <c r="D31" s="82">
        <f>'JAN-26'!C32</f>
        <v>0</v>
      </c>
      <c r="E31" s="83">
        <f>'JAN-26'!D32</f>
        <v>0</v>
      </c>
      <c r="F31" s="84">
        <f>'JAN-26'!E32</f>
        <v>0</v>
      </c>
      <c r="G31" s="85">
        <f>'JAN-26'!F32</f>
        <v>0</v>
      </c>
      <c r="H31" s="85">
        <f t="shared" si="0"/>
        <v>0</v>
      </c>
      <c r="I31" s="83" t="s">
        <v>95</v>
      </c>
      <c r="J31" s="83" t="str">
        <f t="shared" si="1"/>
        <v/>
      </c>
      <c r="K31" s="85">
        <f t="shared" si="2"/>
        <v>0</v>
      </c>
      <c r="L31" s="83" t="str">
        <f t="shared" si="3"/>
        <v/>
      </c>
      <c r="M31" s="83">
        <f>'JAN-26'!H32</f>
        <v>0</v>
      </c>
      <c r="N31" s="92" t="str">
        <f ca="1">IF(BD!$C31="","",IF(AND(TODAY()&gt;BD!$C31,OR(BD!$D31="PENDENTE",BD!$D31="")),"VENCIDO",""))</f>
        <v/>
      </c>
      <c r="O31" s="82" t="str">
        <f ca="1">IF(N31 = "VENCIDO",BD!$B31,"")</f>
        <v/>
      </c>
      <c r="P31" s="82" t="str">
        <f ca="1">IF(N31 = "VENCIDO",BD!$C31,"")</f>
        <v/>
      </c>
      <c r="Q31" s="83" t="str">
        <f ca="1">IF(N31 = "VENCIDO",BD!$E31,"")</f>
        <v/>
      </c>
      <c r="R31" s="83" t="str">
        <f ca="1">IF(N31 = "VENCIDO",BD!$F31,"")</f>
        <v/>
      </c>
      <c r="S31" s="85" t="str">
        <f ca="1">IF(N31 = "VENCIDO",BD!$G31,"")</f>
        <v/>
      </c>
      <c r="T31" s="83" t="str">
        <f ca="1">IF(AND(TODAY()&gt;BD!$C31, OR(BD!$D31="PENDENTE", BD!$D31="")), TODAY()-BD!$C31, "")</f>
        <v/>
      </c>
    </row>
    <row r="32" spans="1:20" ht="14.25" customHeight="1" x14ac:dyDescent="0.35">
      <c r="A32" s="32"/>
      <c r="B32" s="82">
        <f>'JAN-26'!A33</f>
        <v>0</v>
      </c>
      <c r="C32" s="82">
        <f>'JAN-26'!B33</f>
        <v>0</v>
      </c>
      <c r="D32" s="82">
        <f>'JAN-26'!C33</f>
        <v>0</v>
      </c>
      <c r="E32" s="83">
        <f>'JAN-26'!D33</f>
        <v>0</v>
      </c>
      <c r="F32" s="84">
        <f>'JAN-26'!E33</f>
        <v>0</v>
      </c>
      <c r="G32" s="85">
        <f>'JAN-26'!F33</f>
        <v>0</v>
      </c>
      <c r="H32" s="85">
        <f t="shared" si="0"/>
        <v>0</v>
      </c>
      <c r="I32" s="83" t="s">
        <v>95</v>
      </c>
      <c r="J32" s="83" t="str">
        <f t="shared" si="1"/>
        <v/>
      </c>
      <c r="K32" s="85">
        <f t="shared" si="2"/>
        <v>0</v>
      </c>
      <c r="L32" s="83" t="str">
        <f t="shared" si="3"/>
        <v/>
      </c>
      <c r="M32" s="83">
        <f>'JAN-26'!H33</f>
        <v>0</v>
      </c>
      <c r="N32" s="92" t="str">
        <f ca="1">IF(BD!$C32="","",IF(AND(TODAY()&gt;BD!$C32,OR(BD!$D32="PENDENTE",BD!$D32="")),"VENCIDO",""))</f>
        <v/>
      </c>
      <c r="O32" s="82" t="str">
        <f ca="1">IF(N32 = "VENCIDO",BD!$B32,"")</f>
        <v/>
      </c>
      <c r="P32" s="82" t="str">
        <f ca="1">IF(N32 = "VENCIDO",BD!$C32,"")</f>
        <v/>
      </c>
      <c r="Q32" s="83" t="str">
        <f ca="1">IF(N32 = "VENCIDO",BD!$E32,"")</f>
        <v/>
      </c>
      <c r="R32" s="83" t="str">
        <f ca="1">IF(N32 = "VENCIDO",BD!$F32,"")</f>
        <v/>
      </c>
      <c r="S32" s="85" t="str">
        <f ca="1">IF(N32 = "VENCIDO",BD!$G32,"")</f>
        <v/>
      </c>
      <c r="T32" s="83" t="str">
        <f ca="1">IF(AND(TODAY()&gt;BD!$C32, OR(BD!$D32="PENDENTE", BD!$D32="")), TODAY()-BD!$C32, "")</f>
        <v/>
      </c>
    </row>
    <row r="33" spans="1:26" ht="14.25" customHeight="1" x14ac:dyDescent="0.35">
      <c r="A33" s="32"/>
      <c r="B33" s="82">
        <f>'JAN-26'!A34</f>
        <v>0</v>
      </c>
      <c r="C33" s="82">
        <f>'JAN-26'!B34</f>
        <v>0</v>
      </c>
      <c r="D33" s="82">
        <f>'JAN-26'!C34</f>
        <v>0</v>
      </c>
      <c r="E33" s="83">
        <f>'JAN-26'!D34</f>
        <v>0</v>
      </c>
      <c r="F33" s="84">
        <f>'JAN-26'!E34</f>
        <v>0</v>
      </c>
      <c r="G33" s="85">
        <f>'JAN-26'!F34</f>
        <v>0</v>
      </c>
      <c r="H33" s="85">
        <f t="shared" si="0"/>
        <v>0</v>
      </c>
      <c r="I33" s="83" t="s">
        <v>95</v>
      </c>
      <c r="J33" s="83" t="str">
        <f t="shared" si="1"/>
        <v/>
      </c>
      <c r="K33" s="85">
        <f t="shared" si="2"/>
        <v>0</v>
      </c>
      <c r="L33" s="83" t="str">
        <f t="shared" si="3"/>
        <v/>
      </c>
      <c r="M33" s="83">
        <f>'JAN-26'!H34</f>
        <v>0</v>
      </c>
      <c r="N33" s="92" t="str">
        <f ca="1">IF(BD!$C33="","",IF(AND(TODAY()&gt;BD!$C33,OR(BD!$D33="PENDENTE",BD!$D33="")),"VENCIDO",""))</f>
        <v/>
      </c>
      <c r="O33" s="82" t="str">
        <f ca="1">IF(N33 = "VENCIDO",BD!$B33,"")</f>
        <v/>
      </c>
      <c r="P33" s="82" t="str">
        <f ca="1">IF(N33 = "VENCIDO",BD!$C33,"")</f>
        <v/>
      </c>
      <c r="Q33" s="83" t="str">
        <f ca="1">IF(N33 = "VENCIDO",BD!$E33,"")</f>
        <v/>
      </c>
      <c r="R33" s="83" t="str">
        <f ca="1">IF(N33 = "VENCIDO",BD!$F33,"")</f>
        <v/>
      </c>
      <c r="S33" s="85" t="str">
        <f ca="1">IF(N33 = "VENCIDO",BD!$G33,"")</f>
        <v/>
      </c>
      <c r="T33" s="83" t="str">
        <f ca="1">IF(AND(TODAY()&gt;BD!$C33, OR(BD!$D33="PENDENTE", BD!$D33="")), TODAY()-BD!$C33, "")</f>
        <v/>
      </c>
    </row>
    <row r="34" spans="1:26" ht="14.25" customHeight="1" x14ac:dyDescent="0.35">
      <c r="A34" s="32"/>
      <c r="B34" s="82">
        <f>'JAN-26'!A35</f>
        <v>0</v>
      </c>
      <c r="C34" s="82">
        <f>'JAN-26'!B35</f>
        <v>0</v>
      </c>
      <c r="D34" s="82">
        <f>'JAN-26'!C35</f>
        <v>0</v>
      </c>
      <c r="E34" s="93">
        <f>'JAN-26'!D35</f>
        <v>0</v>
      </c>
      <c r="F34" s="84">
        <f>'JAN-26'!E35</f>
        <v>0</v>
      </c>
      <c r="G34" s="85">
        <f>'JAN-26'!F35</f>
        <v>0</v>
      </c>
      <c r="H34" s="85">
        <f t="shared" si="0"/>
        <v>0</v>
      </c>
      <c r="I34" s="83" t="s">
        <v>95</v>
      </c>
      <c r="J34" s="83" t="str">
        <f t="shared" si="1"/>
        <v/>
      </c>
      <c r="K34" s="85">
        <f t="shared" si="2"/>
        <v>0</v>
      </c>
      <c r="L34" s="83" t="str">
        <f t="shared" si="3"/>
        <v/>
      </c>
      <c r="M34" s="83">
        <f>'JAN-26'!H35</f>
        <v>0</v>
      </c>
      <c r="N34" s="92" t="str">
        <f ca="1">IF(BD!$C34="","",IF(AND(TODAY()&gt;BD!$C34,OR(BD!$D34="PENDENTE",BD!$D34="")),"VENCIDO",""))</f>
        <v/>
      </c>
      <c r="O34" s="82" t="str">
        <f ca="1">IF(N34 = "VENCIDO",BD!$B34,"")</f>
        <v/>
      </c>
      <c r="P34" s="82" t="str">
        <f ca="1">IF(N34 = "VENCIDO",BD!$C34,"")</f>
        <v/>
      </c>
      <c r="Q34" s="83" t="str">
        <f ca="1">IF(N34 = "VENCIDO",BD!$E34,"")</f>
        <v/>
      </c>
      <c r="R34" s="83" t="str">
        <f ca="1">IF(N34 = "VENCIDO",BD!$F34,"")</f>
        <v/>
      </c>
      <c r="S34" s="85" t="str">
        <f ca="1">IF(N34 = "VENCIDO",BD!$G34,"")</f>
        <v/>
      </c>
      <c r="T34" s="83" t="str">
        <f ca="1">IF(AND(TODAY()&gt;BD!$C34, OR(BD!$D34="PENDENTE", BD!$D34="")), TODAY()-BD!$C34, "")</f>
        <v/>
      </c>
    </row>
    <row r="35" spans="1:26" ht="14.25" customHeight="1" x14ac:dyDescent="0.35">
      <c r="A35" s="32"/>
      <c r="B35" s="82">
        <f>'JAN-26'!A36</f>
        <v>0</v>
      </c>
      <c r="C35" s="82">
        <f>'JAN-26'!B36</f>
        <v>0</v>
      </c>
      <c r="D35" s="82">
        <f>'JAN-26'!C36</f>
        <v>0</v>
      </c>
      <c r="E35" s="83">
        <f>'JAN-26'!D36</f>
        <v>0</v>
      </c>
      <c r="F35" s="84">
        <f>'JAN-26'!E36</f>
        <v>0</v>
      </c>
      <c r="G35" s="85">
        <f>'JAN-26'!F36</f>
        <v>0</v>
      </c>
      <c r="H35" s="85">
        <f t="shared" si="0"/>
        <v>0</v>
      </c>
      <c r="I35" s="83" t="s">
        <v>95</v>
      </c>
      <c r="J35" s="83" t="str">
        <f t="shared" si="1"/>
        <v/>
      </c>
      <c r="K35" s="85">
        <f t="shared" si="2"/>
        <v>0</v>
      </c>
      <c r="L35" s="83" t="str">
        <f t="shared" si="3"/>
        <v/>
      </c>
      <c r="M35" s="83">
        <f>'JAN-26'!H36</f>
        <v>0</v>
      </c>
      <c r="N35" s="92" t="str">
        <f ca="1">IF(BD!$C35="","",IF(AND(TODAY()&gt;BD!$C35,OR(BD!$D35="PENDENTE",BD!$D35="")),"VENCIDO",""))</f>
        <v/>
      </c>
      <c r="O35" s="82" t="str">
        <f ca="1">IF(N35 = "VENCIDO",BD!$B35,"")</f>
        <v/>
      </c>
      <c r="P35" s="82" t="str">
        <f ca="1">IF(N35 = "VENCIDO",BD!$C35,"")</f>
        <v/>
      </c>
      <c r="Q35" s="83" t="str">
        <f ca="1">IF(N35 = "VENCIDO",BD!$E35,"")</f>
        <v/>
      </c>
      <c r="R35" s="83" t="str">
        <f ca="1">IF(N35 = "VENCIDO",BD!$F35,"")</f>
        <v/>
      </c>
      <c r="S35" s="85" t="str">
        <f ca="1">IF(N35 = "VENCIDO",BD!$G35,"")</f>
        <v/>
      </c>
      <c r="T35" s="83" t="str">
        <f ca="1">IF(AND(TODAY()&gt;BD!$C35, OR(BD!$D35="PENDENTE", BD!$D35="")), TODAY()-BD!$C35, "")</f>
        <v/>
      </c>
    </row>
    <row r="36" spans="1:26" ht="14.25" customHeight="1" x14ac:dyDescent="0.35">
      <c r="A36" s="32"/>
      <c r="B36" s="82">
        <f>'JAN-26'!A37</f>
        <v>0</v>
      </c>
      <c r="C36" s="82">
        <f>'JAN-26'!B37</f>
        <v>0</v>
      </c>
      <c r="D36" s="82">
        <f>'JAN-26'!C37</f>
        <v>0</v>
      </c>
      <c r="E36" s="83">
        <f>'JAN-26'!D37</f>
        <v>0</v>
      </c>
      <c r="F36" s="84">
        <f>'JAN-26'!E37</f>
        <v>0</v>
      </c>
      <c r="G36" s="85">
        <f>'JAN-26'!F37</f>
        <v>0</v>
      </c>
      <c r="H36" s="85">
        <f t="shared" si="0"/>
        <v>0</v>
      </c>
      <c r="I36" s="83" t="s">
        <v>95</v>
      </c>
      <c r="J36" s="83" t="str">
        <f t="shared" si="1"/>
        <v/>
      </c>
      <c r="K36" s="85">
        <f t="shared" si="2"/>
        <v>0</v>
      </c>
      <c r="L36" s="83" t="str">
        <f t="shared" si="3"/>
        <v/>
      </c>
      <c r="M36" s="83">
        <f>'JAN-26'!H37</f>
        <v>0</v>
      </c>
      <c r="N36" s="92" t="str">
        <f ca="1">IF(BD!$C36="","",IF(AND(TODAY()&gt;BD!$C36,OR(BD!$D36="PENDENTE",BD!$D36="")),"VENCIDO",""))</f>
        <v/>
      </c>
      <c r="O36" s="82" t="str">
        <f ca="1">IF(N36 = "VENCIDO",BD!$B36,"")</f>
        <v/>
      </c>
      <c r="P36" s="82" t="str">
        <f ca="1">IF(N36 = "VENCIDO",BD!$C36,"")</f>
        <v/>
      </c>
      <c r="Q36" s="83" t="str">
        <f ca="1">IF(N36 = "VENCIDO",BD!$E36,"")</f>
        <v/>
      </c>
      <c r="R36" s="83" t="str">
        <f ca="1">IF(N36 = "VENCIDO",BD!$F36,"")</f>
        <v/>
      </c>
      <c r="S36" s="85" t="str">
        <f ca="1">IF(N36 = "VENCIDO",BD!$G36,"")</f>
        <v/>
      </c>
      <c r="T36" s="83" t="str">
        <f ca="1">IF(AND(TODAY()&gt;BD!$C36, OR(BD!$D36="PENDENTE", BD!$D36="")), TODAY()-BD!$C36, "")</f>
        <v/>
      </c>
    </row>
    <row r="37" spans="1:26" ht="14.25" customHeight="1" x14ac:dyDescent="0.35">
      <c r="A37" s="32"/>
      <c r="B37" s="82">
        <f>'JAN-26'!A38</f>
        <v>0</v>
      </c>
      <c r="C37" s="82">
        <f>'JAN-26'!B38</f>
        <v>0</v>
      </c>
      <c r="D37" s="82">
        <f>'JAN-26'!C38</f>
        <v>0</v>
      </c>
      <c r="E37" s="83">
        <f>'JAN-26'!D38</f>
        <v>0</v>
      </c>
      <c r="F37" s="84">
        <f>'JAN-26'!E38</f>
        <v>0</v>
      </c>
      <c r="G37" s="85">
        <f>'JAN-26'!F38</f>
        <v>0</v>
      </c>
      <c r="H37" s="85">
        <f t="shared" si="0"/>
        <v>0</v>
      </c>
      <c r="I37" s="83" t="s">
        <v>95</v>
      </c>
      <c r="J37" s="83" t="str">
        <f t="shared" si="1"/>
        <v/>
      </c>
      <c r="K37" s="85">
        <f t="shared" si="2"/>
        <v>0</v>
      </c>
      <c r="L37" s="83" t="str">
        <f t="shared" si="3"/>
        <v/>
      </c>
      <c r="M37" s="83">
        <f>'JAN-26'!H38</f>
        <v>0</v>
      </c>
      <c r="N37" s="92" t="str">
        <f ca="1">IF(BD!$C37="","",IF(AND(TODAY()&gt;BD!$C37,OR(BD!$D37="PENDENTE",BD!$D37="")),"VENCIDO",""))</f>
        <v/>
      </c>
      <c r="O37" s="82" t="str">
        <f ca="1">IF(N37 = "VENCIDO",BD!$B37,"")</f>
        <v/>
      </c>
      <c r="P37" s="82" t="str">
        <f ca="1">IF(N37 = "VENCIDO",BD!$C37,"")</f>
        <v/>
      </c>
      <c r="Q37" s="83" t="str">
        <f ca="1">IF(N37 = "VENCIDO",BD!$E37,"")</f>
        <v/>
      </c>
      <c r="R37" s="83" t="str">
        <f ca="1">IF(N37 = "VENCIDO",BD!$F37,"")</f>
        <v/>
      </c>
      <c r="S37" s="85" t="str">
        <f ca="1">IF(N37 = "VENCIDO",BD!$G37,"")</f>
        <v/>
      </c>
      <c r="T37" s="83" t="str">
        <f ca="1">IF(AND(TODAY()&gt;BD!$C37, OR(BD!$D37="PENDENTE", BD!$D37="")), TODAY()-BD!$C37, "")</f>
        <v/>
      </c>
    </row>
    <row r="38" spans="1:26" ht="14.25" customHeight="1" x14ac:dyDescent="0.35">
      <c r="A38" s="32"/>
      <c r="B38" s="82">
        <f>'JAN-26'!A39</f>
        <v>0</v>
      </c>
      <c r="C38" s="82">
        <f>'JAN-26'!B39</f>
        <v>0</v>
      </c>
      <c r="D38" s="82">
        <f>'JAN-26'!C39</f>
        <v>0</v>
      </c>
      <c r="E38" s="83">
        <f>'JAN-26'!D39</f>
        <v>0</v>
      </c>
      <c r="F38" s="84">
        <f>'JAN-26'!E39</f>
        <v>0</v>
      </c>
      <c r="G38" s="85">
        <f>'JAN-26'!F39</f>
        <v>0</v>
      </c>
      <c r="H38" s="85">
        <f t="shared" si="0"/>
        <v>0</v>
      </c>
      <c r="I38" s="83" t="s">
        <v>95</v>
      </c>
      <c r="J38" s="83" t="str">
        <f t="shared" si="1"/>
        <v/>
      </c>
      <c r="K38" s="85">
        <f t="shared" si="2"/>
        <v>0</v>
      </c>
      <c r="L38" s="83" t="str">
        <f t="shared" si="3"/>
        <v/>
      </c>
      <c r="M38" s="83">
        <f>'JAN-26'!H39</f>
        <v>0</v>
      </c>
      <c r="N38" s="92" t="str">
        <f ca="1">IF(BD!$C38="","",IF(AND(TODAY()&gt;BD!$C38,OR(BD!$D38="PENDENTE",BD!$D38="")),"VENCIDO",""))</f>
        <v/>
      </c>
      <c r="O38" s="82" t="str">
        <f ca="1">IF(N38 = "VENCIDO",BD!$B38,"")</f>
        <v/>
      </c>
      <c r="P38" s="82" t="str">
        <f ca="1">IF(N38 = "VENCIDO",BD!$C38,"")</f>
        <v/>
      </c>
      <c r="Q38" s="83" t="str">
        <f ca="1">IF(N38 = "VENCIDO",BD!$E38,"")</f>
        <v/>
      </c>
      <c r="R38" s="83" t="str">
        <f ca="1">IF(N38 = "VENCIDO",BD!$F38,"")</f>
        <v/>
      </c>
      <c r="S38" s="85" t="str">
        <f ca="1">IF(N38 = "VENCIDO",BD!$G38,"")</f>
        <v/>
      </c>
      <c r="T38" s="83" t="str">
        <f ca="1">IF(AND(TODAY()&gt;BD!$C38, OR(BD!$D38="PENDENTE", BD!$D38="")), TODAY()-BD!$C38, "")</f>
        <v/>
      </c>
    </row>
    <row r="39" spans="1:26" ht="14.25" customHeight="1" x14ac:dyDescent="0.35">
      <c r="A39" s="32"/>
      <c r="B39" s="82">
        <f>'JAN-26'!A40</f>
        <v>0</v>
      </c>
      <c r="C39" s="82">
        <f>'JAN-26'!B40</f>
        <v>0</v>
      </c>
      <c r="D39" s="82">
        <f>'JAN-26'!C40</f>
        <v>0</v>
      </c>
      <c r="E39" s="83">
        <f>'JAN-26'!D40</f>
        <v>0</v>
      </c>
      <c r="F39" s="84">
        <f>'JAN-26'!E40</f>
        <v>0</v>
      </c>
      <c r="G39" s="85">
        <f>'JAN-26'!F40</f>
        <v>0</v>
      </c>
      <c r="H39" s="85">
        <f t="shared" si="0"/>
        <v>0</v>
      </c>
      <c r="I39" s="83" t="s">
        <v>95</v>
      </c>
      <c r="J39" s="83" t="str">
        <f t="shared" si="1"/>
        <v/>
      </c>
      <c r="K39" s="85">
        <f t="shared" si="2"/>
        <v>0</v>
      </c>
      <c r="L39" s="83" t="str">
        <f t="shared" si="3"/>
        <v/>
      </c>
      <c r="M39" s="83">
        <f>'JAN-26'!H40</f>
        <v>0</v>
      </c>
      <c r="N39" s="92" t="str">
        <f ca="1">IF(BD!$C39="","",IF(AND(TODAY()&gt;BD!$C39,OR(BD!$D39="PENDENTE",BD!$D39="")),"VENCIDO",""))</f>
        <v/>
      </c>
      <c r="O39" s="82" t="str">
        <f ca="1">IF(N39 = "VENCIDO",BD!$B39,"")</f>
        <v/>
      </c>
      <c r="P39" s="82" t="str">
        <f ca="1">IF(N39 = "VENCIDO",BD!$C39,"")</f>
        <v/>
      </c>
      <c r="Q39" s="83" t="str">
        <f ca="1">IF(N39 = "VENCIDO",BD!$E39,"")</f>
        <v/>
      </c>
      <c r="R39" s="83" t="str">
        <f ca="1">IF(N39 = "VENCIDO",BD!$F39,"")</f>
        <v/>
      </c>
      <c r="S39" s="85" t="str">
        <f ca="1">IF(N39 = "VENCIDO",BD!$G39,"")</f>
        <v/>
      </c>
      <c r="T39" s="83" t="str">
        <f ca="1">IF(AND(TODAY()&gt;BD!$C39, OR(BD!$D39="PENDENTE", BD!$D39="")), TODAY()-BD!$C39, "")</f>
        <v/>
      </c>
    </row>
    <row r="40" spans="1:26" ht="14.25" customHeight="1" x14ac:dyDescent="0.35">
      <c r="A40" s="32"/>
      <c r="B40" s="82">
        <f>'JAN-26'!A41</f>
        <v>0</v>
      </c>
      <c r="C40" s="82">
        <f>'JAN-26'!B41</f>
        <v>0</v>
      </c>
      <c r="D40" s="82">
        <f>'JAN-26'!C41</f>
        <v>0</v>
      </c>
      <c r="E40" s="83">
        <f>'JAN-26'!D41</f>
        <v>0</v>
      </c>
      <c r="F40" s="84">
        <f>'JAN-26'!E41</f>
        <v>0</v>
      </c>
      <c r="G40" s="85">
        <f>'JAN-26'!F41</f>
        <v>0</v>
      </c>
      <c r="H40" s="85">
        <f t="shared" si="0"/>
        <v>0</v>
      </c>
      <c r="I40" s="83" t="s">
        <v>95</v>
      </c>
      <c r="J40" s="83" t="str">
        <f t="shared" si="1"/>
        <v/>
      </c>
      <c r="K40" s="85">
        <f t="shared" si="2"/>
        <v>0</v>
      </c>
      <c r="L40" s="83" t="str">
        <f t="shared" si="3"/>
        <v/>
      </c>
      <c r="M40" s="83">
        <f>'JAN-26'!H41</f>
        <v>0</v>
      </c>
      <c r="N40" s="92" t="str">
        <f ca="1">IF(BD!$C40="","",IF(AND(TODAY()&gt;BD!$C40,OR(BD!$D40="PENDENTE",BD!$D40="")),"VENCIDO",""))</f>
        <v/>
      </c>
      <c r="O40" s="82" t="str">
        <f ca="1">IF(N40 = "VENCIDO",BD!$B40,"")</f>
        <v/>
      </c>
      <c r="P40" s="82" t="str">
        <f ca="1">IF(N40 = "VENCIDO",BD!$C40,"")</f>
        <v/>
      </c>
      <c r="Q40" s="83" t="str">
        <f ca="1">IF(N40 = "VENCIDO",BD!$E40,"")</f>
        <v/>
      </c>
      <c r="R40" s="83" t="str">
        <f ca="1">IF(N40 = "VENCIDO",BD!$F40,"")</f>
        <v/>
      </c>
      <c r="S40" s="85" t="str">
        <f ca="1">IF(N40 = "VENCIDO",BD!$G40,"")</f>
        <v/>
      </c>
      <c r="T40" s="83" t="str">
        <f ca="1">IF(AND(TODAY()&gt;BD!$C40, OR(BD!$D40="PENDENTE", BD!$D40="")), TODAY()-BD!$C40, "")</f>
        <v/>
      </c>
    </row>
    <row r="41" spans="1:26" ht="14.25" customHeight="1" x14ac:dyDescent="0.35">
      <c r="A41" s="32"/>
      <c r="B41" s="82">
        <f>'JAN-26'!A42</f>
        <v>0</v>
      </c>
      <c r="C41" s="82">
        <f>'JAN-26'!B42</f>
        <v>0</v>
      </c>
      <c r="D41" s="82">
        <f>'JAN-26'!C42</f>
        <v>0</v>
      </c>
      <c r="E41" s="83">
        <f>'JAN-26'!D42</f>
        <v>0</v>
      </c>
      <c r="F41" s="84">
        <f>'JAN-26'!E42</f>
        <v>0</v>
      </c>
      <c r="G41" s="85">
        <f>'JAN-26'!F42</f>
        <v>0</v>
      </c>
      <c r="H41" s="85">
        <f t="shared" si="0"/>
        <v>0</v>
      </c>
      <c r="I41" s="83" t="s">
        <v>95</v>
      </c>
      <c r="J41" s="83" t="str">
        <f t="shared" si="1"/>
        <v/>
      </c>
      <c r="K41" s="85">
        <f t="shared" si="2"/>
        <v>0</v>
      </c>
      <c r="L41" s="83" t="str">
        <f t="shared" si="3"/>
        <v/>
      </c>
      <c r="M41" s="83">
        <f>'JAN-26'!H42</f>
        <v>0</v>
      </c>
      <c r="N41" s="92" t="str">
        <f ca="1">IF(BD!$C41="","",IF(AND(TODAY()&gt;BD!$C41,OR(BD!$D41="PENDENTE",BD!$D41="")),"VENCIDO",""))</f>
        <v/>
      </c>
      <c r="O41" s="82" t="str">
        <f ca="1">IF(N41 = "VENCIDO",BD!$B41,"")</f>
        <v/>
      </c>
      <c r="P41" s="82" t="str">
        <f ca="1">IF(N41 = "VENCIDO",BD!$C41,"")</f>
        <v/>
      </c>
      <c r="Q41" s="83" t="str">
        <f ca="1">IF(N41 = "VENCIDO",BD!$E41,"")</f>
        <v/>
      </c>
      <c r="R41" s="83" t="str">
        <f ca="1">IF(N41 = "VENCIDO",BD!$F41,"")</f>
        <v/>
      </c>
      <c r="S41" s="85" t="str">
        <f ca="1">IF(N41 = "VENCIDO",BD!$G41,"")</f>
        <v/>
      </c>
      <c r="T41" s="83" t="str">
        <f ca="1">IF(AND(TODAY()&gt;BD!$C41, OR(BD!$D41="PENDENTE", BD!$D41="")), TODAY()-BD!$C41, "")</f>
        <v/>
      </c>
    </row>
    <row r="42" spans="1:26" ht="14.25" customHeight="1" x14ac:dyDescent="0.35">
      <c r="A42" s="32"/>
      <c r="B42" s="82">
        <f>'JAN-26'!A43</f>
        <v>0</v>
      </c>
      <c r="C42" s="82">
        <f>'JAN-26'!B43</f>
        <v>0</v>
      </c>
      <c r="D42" s="82">
        <f>'JAN-26'!C43</f>
        <v>0</v>
      </c>
      <c r="E42" s="83">
        <f>'JAN-26'!D43</f>
        <v>0</v>
      </c>
      <c r="F42" s="84">
        <f>'JAN-26'!E43</f>
        <v>0</v>
      </c>
      <c r="G42" s="85">
        <f>'JAN-26'!F43</f>
        <v>0</v>
      </c>
      <c r="H42" s="85">
        <f t="shared" si="0"/>
        <v>0</v>
      </c>
      <c r="I42" s="83" t="s">
        <v>95</v>
      </c>
      <c r="J42" s="83" t="str">
        <f t="shared" si="1"/>
        <v/>
      </c>
      <c r="K42" s="85">
        <f t="shared" si="2"/>
        <v>0</v>
      </c>
      <c r="L42" s="83" t="str">
        <f t="shared" si="3"/>
        <v/>
      </c>
      <c r="M42" s="83">
        <f>'JAN-26'!H43</f>
        <v>0</v>
      </c>
      <c r="N42" s="92" t="str">
        <f ca="1">IF(BD!$C42="","",IF(AND(TODAY()&gt;BD!$C42,OR(BD!$D42="PENDENTE",BD!$D42="")),"VENCIDO",""))</f>
        <v/>
      </c>
      <c r="O42" s="82" t="str">
        <f ca="1">IF(N42 = "VENCIDO",BD!$B42,"")</f>
        <v/>
      </c>
      <c r="P42" s="82" t="str">
        <f ca="1">IF(N42 = "VENCIDO",BD!$C42,"")</f>
        <v/>
      </c>
      <c r="Q42" s="83" t="str">
        <f ca="1">IF(N42 = "VENCIDO",BD!$E42,"")</f>
        <v/>
      </c>
      <c r="R42" s="83" t="str">
        <f ca="1">IF(N42 = "VENCIDO",BD!$F42,"")</f>
        <v/>
      </c>
      <c r="S42" s="85" t="str">
        <f ca="1">IF(N42 = "VENCIDO",BD!$G42,"")</f>
        <v/>
      </c>
      <c r="T42" s="83" t="str">
        <f ca="1">IF(AND(TODAY()&gt;BD!$C42, OR(BD!$D42="PENDENTE", BD!$D42="")), TODAY()-BD!$C42, "")</f>
        <v/>
      </c>
    </row>
    <row r="43" spans="1:26" ht="14.25" customHeight="1" x14ac:dyDescent="0.35">
      <c r="A43" s="32"/>
      <c r="B43" s="82">
        <f>'JAN-26'!A44</f>
        <v>0</v>
      </c>
      <c r="C43" s="82">
        <f>'JAN-26'!B44</f>
        <v>0</v>
      </c>
      <c r="D43" s="82">
        <f>'JAN-26'!C44</f>
        <v>0</v>
      </c>
      <c r="E43" s="83">
        <f>'JAN-26'!D44</f>
        <v>0</v>
      </c>
      <c r="F43" s="84">
        <f>'JAN-26'!E44</f>
        <v>0</v>
      </c>
      <c r="G43" s="85">
        <f>'JAN-26'!F44</f>
        <v>0</v>
      </c>
      <c r="H43" s="85">
        <f t="shared" si="0"/>
        <v>0</v>
      </c>
      <c r="I43" s="83" t="s">
        <v>95</v>
      </c>
      <c r="J43" s="83" t="str">
        <f t="shared" si="1"/>
        <v/>
      </c>
      <c r="K43" s="85">
        <f t="shared" si="2"/>
        <v>0</v>
      </c>
      <c r="L43" s="83" t="str">
        <f t="shared" si="3"/>
        <v/>
      </c>
      <c r="M43" s="83">
        <f>'JAN-26'!H44</f>
        <v>0</v>
      </c>
      <c r="N43" s="92" t="str">
        <f ca="1">IF(BD!$C43="","",IF(AND(TODAY()&gt;BD!$C43,OR(BD!$D43="PENDENTE",BD!$D43="")),"VENCIDO",""))</f>
        <v/>
      </c>
      <c r="O43" s="82" t="str">
        <f ca="1">IF(N43 = "VENCIDO",BD!$B43,"")</f>
        <v/>
      </c>
      <c r="P43" s="82" t="str">
        <f ca="1">IF(N43 = "VENCIDO",BD!$C43,"")</f>
        <v/>
      </c>
      <c r="Q43" s="83" t="str">
        <f ca="1">IF(N43 = "VENCIDO",BD!$E43,"")</f>
        <v/>
      </c>
      <c r="R43" s="83" t="str">
        <f ca="1">IF(N43 = "VENCIDO",BD!$F43,"")</f>
        <v/>
      </c>
      <c r="S43" s="85" t="str">
        <f ca="1">IF(N43 = "VENCIDO",BD!$G43,"")</f>
        <v/>
      </c>
      <c r="T43" s="83" t="str">
        <f ca="1">IF(AND(TODAY()&gt;BD!$C43, OR(BD!$D43="PENDENTE", BD!$D43="")), TODAY()-BD!$C43, "")</f>
        <v/>
      </c>
    </row>
    <row r="44" spans="1:26" ht="14.25" customHeight="1" x14ac:dyDescent="0.35">
      <c r="A44" s="32"/>
      <c r="B44" s="82">
        <f>'JAN-26'!A45</f>
        <v>0</v>
      </c>
      <c r="C44" s="82">
        <f>'JAN-26'!B45</f>
        <v>0</v>
      </c>
      <c r="D44" s="82">
        <f>'JAN-26'!C45</f>
        <v>0</v>
      </c>
      <c r="E44" s="83">
        <f>'JAN-26'!D45</f>
        <v>0</v>
      </c>
      <c r="F44" s="84">
        <f>'JAN-26'!E45</f>
        <v>0</v>
      </c>
      <c r="G44" s="85">
        <f>'JAN-26'!F45</f>
        <v>0</v>
      </c>
      <c r="H44" s="85">
        <f t="shared" si="0"/>
        <v>0</v>
      </c>
      <c r="I44" s="83" t="s">
        <v>95</v>
      </c>
      <c r="J44" s="83" t="str">
        <f t="shared" si="1"/>
        <v/>
      </c>
      <c r="K44" s="85">
        <f t="shared" si="2"/>
        <v>0</v>
      </c>
      <c r="L44" s="83" t="str">
        <f t="shared" si="3"/>
        <v/>
      </c>
      <c r="M44" s="83">
        <f>'JAN-26'!H45</f>
        <v>0</v>
      </c>
      <c r="N44" s="92" t="str">
        <f ca="1">IF(BD!$C44="","",IF(AND(TODAY()&gt;BD!$C44,OR(BD!$D44="PENDENTE",BD!$D44="")),"VENCIDO",""))</f>
        <v/>
      </c>
      <c r="O44" s="82" t="str">
        <f ca="1">IF(N44 = "VENCIDO",BD!$B44,"")</f>
        <v/>
      </c>
      <c r="P44" s="82" t="str">
        <f ca="1">IF(N44 = "VENCIDO",BD!$C44,"")</f>
        <v/>
      </c>
      <c r="Q44" s="83" t="str">
        <f ca="1">IF(N44 = "VENCIDO",BD!$E44,"")</f>
        <v/>
      </c>
      <c r="R44" s="83" t="str">
        <f ca="1">IF(N44 = "VENCIDO",BD!$F44,"")</f>
        <v/>
      </c>
      <c r="S44" s="85" t="str">
        <f ca="1">IF(N44 = "VENCIDO",BD!$G44,"")</f>
        <v/>
      </c>
      <c r="T44" s="83" t="str">
        <f ca="1">IF(AND(TODAY()&gt;BD!$C44, OR(BD!$D44="PENDENTE", BD!$D44="")), TODAY()-BD!$C44, "")</f>
        <v/>
      </c>
      <c r="U44" s="32"/>
      <c r="V44" s="32"/>
      <c r="W44" s="32"/>
      <c r="X44" s="32"/>
      <c r="Y44" s="32"/>
      <c r="Z44" s="32"/>
    </row>
    <row r="45" spans="1:26" ht="14.25" customHeight="1" x14ac:dyDescent="0.35">
      <c r="A45" s="32"/>
      <c r="B45" s="82">
        <f>'JAN-26'!A46</f>
        <v>0</v>
      </c>
      <c r="C45" s="82">
        <f>'JAN-26'!B46</f>
        <v>0</v>
      </c>
      <c r="D45" s="82">
        <f>'JAN-26'!C46</f>
        <v>0</v>
      </c>
      <c r="E45" s="83">
        <f>'JAN-26'!D46</f>
        <v>0</v>
      </c>
      <c r="F45" s="84">
        <f>'JAN-26'!E46</f>
        <v>0</v>
      </c>
      <c r="G45" s="85">
        <f>'JAN-26'!F46</f>
        <v>0</v>
      </c>
      <c r="H45" s="85">
        <f t="shared" si="0"/>
        <v>0</v>
      </c>
      <c r="I45" s="83" t="s">
        <v>95</v>
      </c>
      <c r="J45" s="83" t="str">
        <f t="shared" si="1"/>
        <v/>
      </c>
      <c r="K45" s="85">
        <f t="shared" si="2"/>
        <v>0</v>
      </c>
      <c r="L45" s="83" t="str">
        <f t="shared" si="3"/>
        <v/>
      </c>
      <c r="M45" s="83">
        <f>'JAN-26'!H46</f>
        <v>0</v>
      </c>
      <c r="N45" s="92" t="str">
        <f ca="1">IF(BD!$C45="","",IF(AND(TODAY()&gt;BD!$C45,OR(BD!$D45="PENDENTE",BD!$D45="")),"VENCIDO",""))</f>
        <v/>
      </c>
      <c r="O45" s="82" t="str">
        <f ca="1">IF(N45 = "VENCIDO",BD!$B45,"")</f>
        <v/>
      </c>
      <c r="P45" s="82" t="str">
        <f ca="1">IF(N45 = "VENCIDO",BD!$C45,"")</f>
        <v/>
      </c>
      <c r="Q45" s="83" t="str">
        <f ca="1">IF(N45 = "VENCIDO",BD!$E45,"")</f>
        <v/>
      </c>
      <c r="R45" s="83" t="str">
        <f ca="1">IF(N45 = "VENCIDO",BD!$F45,"")</f>
        <v/>
      </c>
      <c r="S45" s="85" t="str">
        <f ca="1">IF(N45 = "VENCIDO",BD!$G45,"")</f>
        <v/>
      </c>
      <c r="T45" s="83" t="str">
        <f ca="1">IF(AND(TODAY()&gt;BD!$C45, OR(BD!$D45="PENDENTE", BD!$D45="")), TODAY()-BD!$C45, "")</f>
        <v/>
      </c>
    </row>
    <row r="46" spans="1:26" ht="14.25" customHeight="1" x14ac:dyDescent="0.35">
      <c r="A46" s="32"/>
      <c r="B46" s="82">
        <f>'JAN-26'!A47</f>
        <v>0</v>
      </c>
      <c r="C46" s="82">
        <f>'JAN-26'!B47</f>
        <v>0</v>
      </c>
      <c r="D46" s="82">
        <f>'JAN-26'!C47</f>
        <v>0</v>
      </c>
      <c r="E46" s="83">
        <f>'JAN-26'!D47</f>
        <v>0</v>
      </c>
      <c r="F46" s="84">
        <f>'JAN-26'!E47</f>
        <v>0</v>
      </c>
      <c r="G46" s="85">
        <f>'JAN-26'!F47</f>
        <v>0</v>
      </c>
      <c r="H46" s="85">
        <f t="shared" si="0"/>
        <v>0</v>
      </c>
      <c r="I46" s="83" t="s">
        <v>95</v>
      </c>
      <c r="J46" s="83" t="str">
        <f t="shared" si="1"/>
        <v/>
      </c>
      <c r="K46" s="85">
        <f t="shared" si="2"/>
        <v>0</v>
      </c>
      <c r="L46" s="83" t="str">
        <f t="shared" si="3"/>
        <v/>
      </c>
      <c r="M46" s="83">
        <f>'JAN-26'!H47</f>
        <v>0</v>
      </c>
      <c r="N46" s="92" t="str">
        <f ca="1">IF(BD!$C46="","",IF(AND(TODAY()&gt;BD!$C46,OR(BD!$D46="PENDENTE",BD!$D46="")),"VENCIDO",""))</f>
        <v/>
      </c>
      <c r="O46" s="82" t="str">
        <f ca="1">IF(N46 = "VENCIDO",BD!$B46,"")</f>
        <v/>
      </c>
      <c r="P46" s="82" t="str">
        <f ca="1">IF(N46 = "VENCIDO",BD!$C46,"")</f>
        <v/>
      </c>
      <c r="Q46" s="83" t="str">
        <f ca="1">IF(N46 = "VENCIDO",BD!$E46,"")</f>
        <v/>
      </c>
      <c r="R46" s="83" t="str">
        <f ca="1">IF(N46 = "VENCIDO",BD!$F46,"")</f>
        <v/>
      </c>
      <c r="S46" s="85" t="str">
        <f ca="1">IF(N46 = "VENCIDO",BD!$G46,"")</f>
        <v/>
      </c>
      <c r="T46" s="83" t="str">
        <f ca="1">IF(AND(TODAY()&gt;BD!$C46, OR(BD!$D46="PENDENTE", BD!$D46="")), TODAY()-BD!$C46, "")</f>
        <v/>
      </c>
    </row>
    <row r="47" spans="1:26" ht="14.25" customHeight="1" x14ac:dyDescent="0.35">
      <c r="A47" s="32"/>
      <c r="B47" s="82">
        <f>'JAN-26'!A48</f>
        <v>0</v>
      </c>
      <c r="C47" s="82">
        <f>'JAN-26'!B48</f>
        <v>0</v>
      </c>
      <c r="D47" s="82">
        <f>'JAN-26'!C48</f>
        <v>0</v>
      </c>
      <c r="E47" s="83">
        <f>'JAN-26'!D48</f>
        <v>0</v>
      </c>
      <c r="F47" s="84">
        <f>'JAN-26'!E48</f>
        <v>0</v>
      </c>
      <c r="G47" s="85">
        <f>'JAN-26'!F48</f>
        <v>0</v>
      </c>
      <c r="H47" s="85">
        <f t="shared" si="0"/>
        <v>0</v>
      </c>
      <c r="I47" s="83" t="s">
        <v>95</v>
      </c>
      <c r="J47" s="83" t="str">
        <f t="shared" si="1"/>
        <v/>
      </c>
      <c r="K47" s="85">
        <f t="shared" si="2"/>
        <v>0</v>
      </c>
      <c r="L47" s="83" t="str">
        <f t="shared" si="3"/>
        <v/>
      </c>
      <c r="M47" s="83">
        <f>'JAN-26'!H48</f>
        <v>0</v>
      </c>
      <c r="N47" s="92" t="str">
        <f ca="1">IF(BD!$C47="","",IF(AND(TODAY()&gt;BD!$C47,OR(BD!$D47="PENDENTE",BD!$D47="")),"VENCIDO",""))</f>
        <v/>
      </c>
      <c r="O47" s="82" t="str">
        <f ca="1">IF(N47 = "VENCIDO",BD!$B47,"")</f>
        <v/>
      </c>
      <c r="P47" s="82" t="str">
        <f ca="1">IF(N47 = "VENCIDO",BD!$C47,"")</f>
        <v/>
      </c>
      <c r="Q47" s="83" t="str">
        <f ca="1">IF(N47 = "VENCIDO",BD!$E47,"")</f>
        <v/>
      </c>
      <c r="R47" s="83" t="str">
        <f ca="1">IF(N47 = "VENCIDO",BD!$F47,"")</f>
        <v/>
      </c>
      <c r="S47" s="85" t="str">
        <f ca="1">IF(N47 = "VENCIDO",BD!$G47,"")</f>
        <v/>
      </c>
      <c r="T47" s="83" t="str">
        <f ca="1">IF(AND(TODAY()&gt;BD!$C47, OR(BD!$D47="PENDENTE", BD!$D47="")), TODAY()-BD!$C47, "")</f>
        <v/>
      </c>
    </row>
    <row r="48" spans="1:26" ht="14.25" customHeight="1" x14ac:dyDescent="0.35">
      <c r="A48" s="32"/>
      <c r="B48" s="82">
        <f>'JAN-26'!A49</f>
        <v>0</v>
      </c>
      <c r="C48" s="82">
        <f>'JAN-26'!B49</f>
        <v>0</v>
      </c>
      <c r="D48" s="82">
        <f>'JAN-26'!C49</f>
        <v>0</v>
      </c>
      <c r="E48" s="83">
        <f>'JAN-26'!D49</f>
        <v>0</v>
      </c>
      <c r="F48" s="84">
        <f>'JAN-26'!E49</f>
        <v>0</v>
      </c>
      <c r="G48" s="85">
        <f>'JAN-26'!F49</f>
        <v>0</v>
      </c>
      <c r="H48" s="85">
        <f t="shared" si="0"/>
        <v>0</v>
      </c>
      <c r="I48" s="83" t="s">
        <v>95</v>
      </c>
      <c r="J48" s="83" t="str">
        <f t="shared" si="1"/>
        <v/>
      </c>
      <c r="K48" s="85">
        <f t="shared" si="2"/>
        <v>0</v>
      </c>
      <c r="L48" s="83" t="str">
        <f t="shared" si="3"/>
        <v/>
      </c>
      <c r="M48" s="83">
        <f>'JAN-26'!H49</f>
        <v>0</v>
      </c>
      <c r="N48" s="92" t="str">
        <f ca="1">IF(BD!$C48="","",IF(AND(TODAY()&gt;BD!$C48,OR(BD!$D48="PENDENTE",BD!$D48="")),"VENCIDO",""))</f>
        <v/>
      </c>
      <c r="O48" s="82" t="str">
        <f ca="1">IF(N48 = "VENCIDO",BD!$B48,"")</f>
        <v/>
      </c>
      <c r="P48" s="82" t="str">
        <f ca="1">IF(N48 = "VENCIDO",BD!$C48,"")</f>
        <v/>
      </c>
      <c r="Q48" s="83" t="str">
        <f ca="1">IF(N48 = "VENCIDO",BD!$E48,"")</f>
        <v/>
      </c>
      <c r="R48" s="83" t="str">
        <f ca="1">IF(N48 = "VENCIDO",BD!$F48,"")</f>
        <v/>
      </c>
      <c r="S48" s="85" t="str">
        <f ca="1">IF(N48 = "VENCIDO",BD!$G48,"")</f>
        <v/>
      </c>
      <c r="T48" s="83" t="str">
        <f ca="1">IF(AND(TODAY()&gt;BD!$C48, OR(BD!$D48="PENDENTE", BD!$D48="")), TODAY()-BD!$C48, "")</f>
        <v/>
      </c>
    </row>
    <row r="49" spans="1:20" ht="14.25" customHeight="1" x14ac:dyDescent="0.35">
      <c r="A49" s="32"/>
      <c r="B49" s="82">
        <f>'JAN-26'!A50</f>
        <v>0</v>
      </c>
      <c r="C49" s="82">
        <f>'JAN-26'!B50</f>
        <v>0</v>
      </c>
      <c r="D49" s="82">
        <f>'JAN-26'!C50</f>
        <v>0</v>
      </c>
      <c r="E49" s="83">
        <f>'JAN-26'!D50</f>
        <v>0</v>
      </c>
      <c r="F49" s="84">
        <f>'JAN-26'!E50</f>
        <v>0</v>
      </c>
      <c r="G49" s="85">
        <f>'JAN-26'!F50</f>
        <v>0</v>
      </c>
      <c r="H49" s="85">
        <f t="shared" si="0"/>
        <v>0</v>
      </c>
      <c r="I49" s="83" t="s">
        <v>95</v>
      </c>
      <c r="J49" s="83" t="str">
        <f t="shared" si="1"/>
        <v/>
      </c>
      <c r="K49" s="85">
        <f t="shared" si="2"/>
        <v>0</v>
      </c>
      <c r="L49" s="83" t="str">
        <f t="shared" si="3"/>
        <v/>
      </c>
      <c r="M49" s="83">
        <f>'JAN-26'!H50</f>
        <v>0</v>
      </c>
      <c r="N49" s="92" t="str">
        <f ca="1">IF(BD!$C49="","",IF(AND(TODAY()&gt;BD!$C49,OR(BD!$D49="PENDENTE",BD!$D49="")),"VENCIDO",""))</f>
        <v/>
      </c>
      <c r="O49" s="82" t="str">
        <f ca="1">IF(N49 = "VENCIDO",BD!$B49,"")</f>
        <v/>
      </c>
      <c r="P49" s="82" t="str">
        <f ca="1">IF(N49 = "VENCIDO",BD!$C49,"")</f>
        <v/>
      </c>
      <c r="Q49" s="83" t="str">
        <f ca="1">IF(N49 = "VENCIDO",BD!$E49,"")</f>
        <v/>
      </c>
      <c r="R49" s="83" t="str">
        <f ca="1">IF(N49 = "VENCIDO",BD!$F49,"")</f>
        <v/>
      </c>
      <c r="S49" s="85" t="str">
        <f ca="1">IF(N49 = "VENCIDO",BD!$G49,"")</f>
        <v/>
      </c>
      <c r="T49" s="83" t="str">
        <f ca="1">IF(AND(TODAY()&gt;BD!$C49, OR(BD!$D49="PENDENTE", BD!$D49="")), TODAY()-BD!$C49, "")</f>
        <v/>
      </c>
    </row>
    <row r="50" spans="1:20" ht="14.25" customHeight="1" x14ac:dyDescent="0.35">
      <c r="A50" s="32"/>
      <c r="B50" s="82">
        <f>'JAN-26'!A51</f>
        <v>0</v>
      </c>
      <c r="C50" s="82">
        <f>'JAN-26'!B51</f>
        <v>0</v>
      </c>
      <c r="D50" s="82">
        <f>'JAN-26'!C51</f>
        <v>0</v>
      </c>
      <c r="E50" s="83">
        <f>'JAN-26'!D51</f>
        <v>0</v>
      </c>
      <c r="F50" s="84">
        <f>'JAN-26'!E51</f>
        <v>0</v>
      </c>
      <c r="G50" s="85">
        <f>'JAN-26'!F51</f>
        <v>0</v>
      </c>
      <c r="H50" s="85">
        <f t="shared" si="0"/>
        <v>0</v>
      </c>
      <c r="I50" s="83" t="s">
        <v>95</v>
      </c>
      <c r="J50" s="83" t="str">
        <f t="shared" si="1"/>
        <v/>
      </c>
      <c r="K50" s="85">
        <f t="shared" si="2"/>
        <v>0</v>
      </c>
      <c r="L50" s="83" t="str">
        <f t="shared" si="3"/>
        <v/>
      </c>
      <c r="M50" s="83">
        <f>'JAN-26'!H51</f>
        <v>0</v>
      </c>
      <c r="N50" s="92" t="str">
        <f ca="1">IF(BD!$C50="","",IF(AND(TODAY()&gt;BD!$C50,OR(BD!$D50="PENDENTE",BD!$D50="")),"VENCIDO",""))</f>
        <v/>
      </c>
      <c r="O50" s="82" t="str">
        <f ca="1">IF(N50 = "VENCIDO",BD!$B50,"")</f>
        <v/>
      </c>
      <c r="P50" s="82" t="str">
        <f ca="1">IF(N50 = "VENCIDO",BD!$C50,"")</f>
        <v/>
      </c>
      <c r="Q50" s="83" t="str">
        <f ca="1">IF(N50 = "VENCIDO",BD!$E50,"")</f>
        <v/>
      </c>
      <c r="R50" s="83" t="str">
        <f ca="1">IF(N50 = "VENCIDO",BD!$F50,"")</f>
        <v/>
      </c>
      <c r="S50" s="85" t="str">
        <f ca="1">IF(N50 = "VENCIDO",BD!$G50,"")</f>
        <v/>
      </c>
      <c r="T50" s="83" t="str">
        <f ca="1">IF(AND(TODAY()&gt;BD!$C50, OR(BD!$D50="PENDENTE", BD!$D50="")), TODAY()-BD!$C50, "")</f>
        <v/>
      </c>
    </row>
    <row r="51" spans="1:20" ht="14.25" customHeight="1" x14ac:dyDescent="0.35">
      <c r="A51" s="32"/>
      <c r="B51" s="82">
        <f>'JAN-26'!A52</f>
        <v>0</v>
      </c>
      <c r="C51" s="82">
        <f>'JAN-26'!B52</f>
        <v>0</v>
      </c>
      <c r="D51" s="82">
        <f>'JAN-26'!C52</f>
        <v>0</v>
      </c>
      <c r="E51" s="83">
        <f>'JAN-26'!D52</f>
        <v>0</v>
      </c>
      <c r="F51" s="84">
        <f>'JAN-26'!E52</f>
        <v>0</v>
      </c>
      <c r="G51" s="85">
        <f>'JAN-26'!F52</f>
        <v>0</v>
      </c>
      <c r="H51" s="85">
        <f t="shared" si="0"/>
        <v>0</v>
      </c>
      <c r="I51" s="83" t="s">
        <v>95</v>
      </c>
      <c r="J51" s="83" t="str">
        <f t="shared" si="1"/>
        <v/>
      </c>
      <c r="K51" s="85">
        <f t="shared" si="2"/>
        <v>0</v>
      </c>
      <c r="L51" s="83" t="str">
        <f t="shared" si="3"/>
        <v/>
      </c>
      <c r="M51" s="83">
        <f>'JAN-26'!H52</f>
        <v>0</v>
      </c>
      <c r="N51" s="92" t="str">
        <f ca="1">IF(BD!$C51="","",IF(AND(TODAY()&gt;BD!$C51,OR(BD!$D51="PENDENTE",BD!$D51="")),"VENCIDO",""))</f>
        <v/>
      </c>
      <c r="O51" s="82" t="str">
        <f ca="1">IF(N51 = "VENCIDO",BD!$B51,"")</f>
        <v/>
      </c>
      <c r="P51" s="82" t="str">
        <f ca="1">IF(N51 = "VENCIDO",BD!$C51,"")</f>
        <v/>
      </c>
      <c r="Q51" s="83" t="str">
        <f ca="1">IF(N51 = "VENCIDO",BD!$E51,"")</f>
        <v/>
      </c>
      <c r="R51" s="83" t="str">
        <f ca="1">IF(N51 = "VENCIDO",BD!$F51,"")</f>
        <v/>
      </c>
      <c r="S51" s="85" t="str">
        <f ca="1">IF(N51 = "VENCIDO",BD!$G51,"")</f>
        <v/>
      </c>
      <c r="T51" s="83" t="str">
        <f ca="1">IF(AND(TODAY()&gt;BD!$C51, OR(BD!$D51="PENDENTE", BD!$D51="")), TODAY()-BD!$C51, "")</f>
        <v/>
      </c>
    </row>
    <row r="52" spans="1:20" ht="14.25" customHeight="1" x14ac:dyDescent="0.35">
      <c r="A52" s="32"/>
      <c r="B52" s="82">
        <f>'JAN-26'!A53</f>
        <v>0</v>
      </c>
      <c r="C52" s="82">
        <f>'JAN-26'!B53</f>
        <v>0</v>
      </c>
      <c r="D52" s="82">
        <f>'JAN-26'!C53</f>
        <v>0</v>
      </c>
      <c r="E52" s="83">
        <f>'JAN-26'!D53</f>
        <v>0</v>
      </c>
      <c r="F52" s="84">
        <f>'JAN-26'!E53</f>
        <v>0</v>
      </c>
      <c r="G52" s="85">
        <f>'JAN-26'!F53</f>
        <v>0</v>
      </c>
      <c r="H52" s="85">
        <f t="shared" si="0"/>
        <v>0</v>
      </c>
      <c r="I52" s="83" t="s">
        <v>95</v>
      </c>
      <c r="J52" s="83" t="str">
        <f t="shared" si="1"/>
        <v/>
      </c>
      <c r="K52" s="85">
        <f t="shared" si="2"/>
        <v>0</v>
      </c>
      <c r="L52" s="83" t="str">
        <f t="shared" si="3"/>
        <v/>
      </c>
      <c r="M52" s="83">
        <f>'JAN-26'!H53</f>
        <v>0</v>
      </c>
      <c r="N52" s="92" t="str">
        <f ca="1">IF(BD!$C52="","",IF(AND(TODAY()&gt;BD!$C52,OR(BD!$D52="PENDENTE",BD!$D52="")),"VENCIDO",""))</f>
        <v/>
      </c>
      <c r="O52" s="82" t="str">
        <f ca="1">IF(N52 = "VENCIDO",BD!$B52,"")</f>
        <v/>
      </c>
      <c r="P52" s="82" t="str">
        <f ca="1">IF(N52 = "VENCIDO",BD!$C52,"")</f>
        <v/>
      </c>
      <c r="Q52" s="83" t="str">
        <f ca="1">IF(N52 = "VENCIDO",BD!$E52,"")</f>
        <v/>
      </c>
      <c r="R52" s="83" t="str">
        <f ca="1">IF(N52 = "VENCIDO",BD!$F52,"")</f>
        <v/>
      </c>
      <c r="S52" s="85" t="str">
        <f ca="1">IF(N52 = "VENCIDO",BD!$G52,"")</f>
        <v/>
      </c>
      <c r="T52" s="83" t="str">
        <f ca="1">IF(AND(TODAY()&gt;BD!$C52, OR(BD!$D52="PENDENTE", BD!$D52="")), TODAY()-BD!$C52, "")</f>
        <v/>
      </c>
    </row>
    <row r="53" spans="1:20" ht="14.25" customHeight="1" x14ac:dyDescent="0.35">
      <c r="A53" s="32"/>
      <c r="B53" s="82">
        <f>'JAN-26'!A54</f>
        <v>0</v>
      </c>
      <c r="C53" s="82">
        <f>'JAN-26'!B54</f>
        <v>0</v>
      </c>
      <c r="D53" s="82">
        <f>'JAN-26'!C54</f>
        <v>0</v>
      </c>
      <c r="E53" s="83">
        <f>'JAN-26'!D54</f>
        <v>0</v>
      </c>
      <c r="F53" s="84">
        <f>'JAN-26'!E54</f>
        <v>0</v>
      </c>
      <c r="G53" s="85">
        <f>'JAN-26'!F54</f>
        <v>0</v>
      </c>
      <c r="H53" s="85">
        <f t="shared" si="0"/>
        <v>0</v>
      </c>
      <c r="I53" s="83" t="s">
        <v>95</v>
      </c>
      <c r="J53" s="83" t="str">
        <f t="shared" si="1"/>
        <v/>
      </c>
      <c r="K53" s="85">
        <f t="shared" si="2"/>
        <v>0</v>
      </c>
      <c r="L53" s="83" t="str">
        <f t="shared" si="3"/>
        <v/>
      </c>
      <c r="M53" s="83">
        <f>'JAN-26'!H54</f>
        <v>0</v>
      </c>
      <c r="N53" s="92" t="str">
        <f ca="1">IF(BD!$C53="","",IF(AND(TODAY()&gt;BD!$C53,OR(BD!$D53="PENDENTE",BD!$D53="")),"VENCIDO",""))</f>
        <v/>
      </c>
      <c r="O53" s="82" t="str">
        <f ca="1">IF(N53 = "VENCIDO",BD!$B53,"")</f>
        <v/>
      </c>
      <c r="P53" s="82" t="str">
        <f ca="1">IF(N53 = "VENCIDO",BD!$C53,"")</f>
        <v/>
      </c>
      <c r="Q53" s="83" t="str">
        <f ca="1">IF(N53 = "VENCIDO",BD!$E53,"")</f>
        <v/>
      </c>
      <c r="R53" s="83" t="str">
        <f ca="1">IF(N53 = "VENCIDO",BD!$F53,"")</f>
        <v/>
      </c>
      <c r="S53" s="85" t="str">
        <f ca="1">IF(N53 = "VENCIDO",BD!$G53,"")</f>
        <v/>
      </c>
      <c r="T53" s="83" t="str">
        <f ca="1">IF(AND(TODAY()&gt;BD!$C53, OR(BD!$D53="PENDENTE", BD!$D53="")), TODAY()-BD!$C53, "")</f>
        <v/>
      </c>
    </row>
    <row r="54" spans="1:20" ht="14.25" customHeight="1" x14ac:dyDescent="0.35">
      <c r="A54" s="32"/>
      <c r="B54" s="82">
        <f>'JAN-26'!A55</f>
        <v>0</v>
      </c>
      <c r="C54" s="82">
        <f>'JAN-26'!B55</f>
        <v>0</v>
      </c>
      <c r="D54" s="82">
        <f>'JAN-26'!C55</f>
        <v>0</v>
      </c>
      <c r="E54" s="83">
        <f>'JAN-26'!D55</f>
        <v>0</v>
      </c>
      <c r="F54" s="84">
        <f>'JAN-26'!E55</f>
        <v>0</v>
      </c>
      <c r="G54" s="85">
        <f>'JAN-26'!F55</f>
        <v>0</v>
      </c>
      <c r="H54" s="85">
        <f t="shared" si="0"/>
        <v>0</v>
      </c>
      <c r="I54" s="83" t="s">
        <v>95</v>
      </c>
      <c r="J54" s="83" t="str">
        <f t="shared" si="1"/>
        <v/>
      </c>
      <c r="K54" s="85">
        <f t="shared" si="2"/>
        <v>0</v>
      </c>
      <c r="L54" s="83" t="str">
        <f t="shared" si="3"/>
        <v/>
      </c>
      <c r="M54" s="83">
        <f>'JAN-26'!H55</f>
        <v>0</v>
      </c>
      <c r="N54" s="92" t="str">
        <f ca="1">IF(BD!$C54="","",IF(AND(TODAY()&gt;BD!$C54,OR(BD!$D54="PENDENTE",BD!$D54="")),"VENCIDO",""))</f>
        <v/>
      </c>
      <c r="O54" s="82" t="str">
        <f ca="1">IF(N54 = "VENCIDO",BD!$B54,"")</f>
        <v/>
      </c>
      <c r="P54" s="82" t="str">
        <f ca="1">IF(N54 = "VENCIDO",BD!$C54,"")</f>
        <v/>
      </c>
      <c r="Q54" s="83" t="str">
        <f ca="1">IF(N54 = "VENCIDO",BD!$E54,"")</f>
        <v/>
      </c>
      <c r="R54" s="83" t="str">
        <f ca="1">IF(N54 = "VENCIDO",BD!$F54,"")</f>
        <v/>
      </c>
      <c r="S54" s="85" t="str">
        <f ca="1">IF(N54 = "VENCIDO",BD!$G54,"")</f>
        <v/>
      </c>
      <c r="T54" s="83" t="str">
        <f ca="1">IF(AND(TODAY()&gt;BD!$C54, OR(BD!$D54="PENDENTE", BD!$D54="")), TODAY()-BD!$C54, "")</f>
        <v/>
      </c>
    </row>
    <row r="55" spans="1:20" ht="14.25" customHeight="1" x14ac:dyDescent="0.35">
      <c r="A55" s="32"/>
      <c r="B55" s="82">
        <f>'JAN-26'!A56</f>
        <v>0</v>
      </c>
      <c r="C55" s="82">
        <f>'JAN-26'!B56</f>
        <v>0</v>
      </c>
      <c r="D55" s="82">
        <f>'JAN-26'!C56</f>
        <v>0</v>
      </c>
      <c r="E55" s="83">
        <f>'JAN-26'!D56</f>
        <v>0</v>
      </c>
      <c r="F55" s="84">
        <f>'JAN-26'!E56</f>
        <v>0</v>
      </c>
      <c r="G55" s="85">
        <f>'JAN-26'!F56</f>
        <v>0</v>
      </c>
      <c r="H55" s="85">
        <f t="shared" si="0"/>
        <v>0</v>
      </c>
      <c r="I55" s="83" t="s">
        <v>95</v>
      </c>
      <c r="J55" s="83" t="str">
        <f t="shared" si="1"/>
        <v/>
      </c>
      <c r="K55" s="85">
        <f t="shared" si="2"/>
        <v>0</v>
      </c>
      <c r="L55" s="83" t="str">
        <f t="shared" si="3"/>
        <v/>
      </c>
      <c r="M55" s="83">
        <f>'JAN-26'!H56</f>
        <v>0</v>
      </c>
      <c r="N55" s="92" t="str">
        <f ca="1">IF(BD!$C55="","",IF(AND(TODAY()&gt;BD!$C55,OR(BD!$D55="PENDENTE",BD!$D55="")),"VENCIDO",""))</f>
        <v/>
      </c>
      <c r="O55" s="82" t="str">
        <f ca="1">IF(N55 = "VENCIDO",BD!$B55,"")</f>
        <v/>
      </c>
      <c r="P55" s="82" t="str">
        <f ca="1">IF(N55 = "VENCIDO",BD!$C55,"")</f>
        <v/>
      </c>
      <c r="Q55" s="83" t="str">
        <f ca="1">IF(N55 = "VENCIDO",BD!$E55,"")</f>
        <v/>
      </c>
      <c r="R55" s="83" t="str">
        <f ca="1">IF(N55 = "VENCIDO",BD!$F55,"")</f>
        <v/>
      </c>
      <c r="S55" s="85" t="str">
        <f ca="1">IF(N55 = "VENCIDO",BD!$G55,"")</f>
        <v/>
      </c>
      <c r="T55" s="83" t="str">
        <f ca="1">IF(AND(TODAY()&gt;BD!$C55, OR(BD!$D55="PENDENTE", BD!$D55="")), TODAY()-BD!$C55, "")</f>
        <v/>
      </c>
    </row>
    <row r="56" spans="1:20" ht="14.25" customHeight="1" x14ac:dyDescent="0.35">
      <c r="A56" s="32"/>
      <c r="B56" s="82">
        <f>'JAN-26'!A57</f>
        <v>0</v>
      </c>
      <c r="C56" s="82">
        <f>'JAN-26'!B57</f>
        <v>0</v>
      </c>
      <c r="D56" s="82">
        <f>'JAN-26'!C57</f>
        <v>0</v>
      </c>
      <c r="E56" s="83">
        <f>'JAN-26'!D57</f>
        <v>0</v>
      </c>
      <c r="F56" s="84">
        <f>'JAN-26'!E57</f>
        <v>0</v>
      </c>
      <c r="G56" s="85">
        <f>'JAN-26'!F57</f>
        <v>0</v>
      </c>
      <c r="H56" s="85">
        <f t="shared" si="0"/>
        <v>0</v>
      </c>
      <c r="I56" s="83" t="s">
        <v>95</v>
      </c>
      <c r="J56" s="83" t="str">
        <f t="shared" si="1"/>
        <v/>
      </c>
      <c r="K56" s="85">
        <f t="shared" si="2"/>
        <v>0</v>
      </c>
      <c r="L56" s="83" t="str">
        <f t="shared" si="3"/>
        <v/>
      </c>
      <c r="M56" s="83">
        <f>'JAN-26'!H57</f>
        <v>0</v>
      </c>
      <c r="N56" s="92" t="str">
        <f ca="1">IF(BD!$C56="","",IF(AND(TODAY()&gt;BD!$C56,OR(BD!$D56="PENDENTE",BD!$D56="")),"VENCIDO",""))</f>
        <v/>
      </c>
      <c r="O56" s="82" t="str">
        <f ca="1">IF(N56 = "VENCIDO",BD!$B56,"")</f>
        <v/>
      </c>
      <c r="P56" s="82" t="str">
        <f ca="1">IF(N56 = "VENCIDO",BD!$C56,"")</f>
        <v/>
      </c>
      <c r="Q56" s="83" t="str">
        <f ca="1">IF(N56 = "VENCIDO",BD!$E56,"")</f>
        <v/>
      </c>
      <c r="R56" s="83" t="str">
        <f ca="1">IF(N56 = "VENCIDO",BD!$F56,"")</f>
        <v/>
      </c>
      <c r="S56" s="85" t="str">
        <f ca="1">IF(N56 = "VENCIDO",BD!$G56,"")</f>
        <v/>
      </c>
      <c r="T56" s="83" t="str">
        <f ca="1">IF(AND(TODAY()&gt;BD!$C56, OR(BD!$D56="PENDENTE", BD!$D56="")), TODAY()-BD!$C56, "")</f>
        <v/>
      </c>
    </row>
    <row r="57" spans="1:20" ht="14.25" customHeight="1" x14ac:dyDescent="0.35">
      <c r="A57" s="32"/>
      <c r="B57" s="82">
        <f>'JAN-26'!A58</f>
        <v>0</v>
      </c>
      <c r="C57" s="82">
        <f>'JAN-26'!B58</f>
        <v>0</v>
      </c>
      <c r="D57" s="82">
        <f>'JAN-26'!C58</f>
        <v>0</v>
      </c>
      <c r="E57" s="83">
        <f>'JAN-26'!D58</f>
        <v>0</v>
      </c>
      <c r="F57" s="84">
        <f>'JAN-26'!E58</f>
        <v>0</v>
      </c>
      <c r="G57" s="85">
        <f>'JAN-26'!F58</f>
        <v>0</v>
      </c>
      <c r="H57" s="85">
        <f t="shared" si="0"/>
        <v>0</v>
      </c>
      <c r="I57" s="83" t="s">
        <v>95</v>
      </c>
      <c r="J57" s="83" t="str">
        <f t="shared" si="1"/>
        <v/>
      </c>
      <c r="K57" s="85">
        <f t="shared" si="2"/>
        <v>0</v>
      </c>
      <c r="L57" s="83" t="str">
        <f t="shared" si="3"/>
        <v/>
      </c>
      <c r="M57" s="83">
        <f>'JAN-26'!H58</f>
        <v>0</v>
      </c>
      <c r="N57" s="92" t="str">
        <f ca="1">IF(BD!$C57="","",IF(AND(TODAY()&gt;BD!$C57,OR(BD!$D57="PENDENTE",BD!$D57="")),"VENCIDO",""))</f>
        <v/>
      </c>
      <c r="O57" s="82" t="str">
        <f ca="1">IF(N57 = "VENCIDO",BD!$B57,"")</f>
        <v/>
      </c>
      <c r="P57" s="82" t="str">
        <f ca="1">IF(N57 = "VENCIDO",BD!$C57,"")</f>
        <v/>
      </c>
      <c r="Q57" s="83" t="str">
        <f ca="1">IF(N57 = "VENCIDO",BD!$E57,"")</f>
        <v/>
      </c>
      <c r="R57" s="83" t="str">
        <f ca="1">IF(N57 = "VENCIDO",BD!$F57,"")</f>
        <v/>
      </c>
      <c r="S57" s="85" t="str">
        <f ca="1">IF(N57 = "VENCIDO",BD!$G57,"")</f>
        <v/>
      </c>
      <c r="T57" s="83" t="str">
        <f ca="1">IF(AND(TODAY()&gt;BD!$C57, OR(BD!$D57="PENDENTE", BD!$D57="")), TODAY()-BD!$C57, "")</f>
        <v/>
      </c>
    </row>
    <row r="58" spans="1:20" ht="14.25" customHeight="1" x14ac:dyDescent="0.35">
      <c r="A58" s="32"/>
      <c r="B58" s="82">
        <f>'JAN-26'!A59</f>
        <v>0</v>
      </c>
      <c r="C58" s="82">
        <f>'JAN-26'!B59</f>
        <v>0</v>
      </c>
      <c r="D58" s="82">
        <f>'JAN-26'!C59</f>
        <v>0</v>
      </c>
      <c r="E58" s="83">
        <f>'JAN-26'!D59</f>
        <v>0</v>
      </c>
      <c r="F58" s="84">
        <f>'JAN-26'!E59</f>
        <v>0</v>
      </c>
      <c r="G58" s="85">
        <f>'JAN-26'!F59</f>
        <v>0</v>
      </c>
      <c r="H58" s="85">
        <f t="shared" si="0"/>
        <v>0</v>
      </c>
      <c r="I58" s="83" t="s">
        <v>95</v>
      </c>
      <c r="J58" s="83" t="str">
        <f t="shared" si="1"/>
        <v/>
      </c>
      <c r="K58" s="85">
        <f t="shared" si="2"/>
        <v>0</v>
      </c>
      <c r="L58" s="83" t="str">
        <f t="shared" si="3"/>
        <v/>
      </c>
      <c r="M58" s="83">
        <f>'JAN-26'!H59</f>
        <v>0</v>
      </c>
      <c r="N58" s="92" t="str">
        <f ca="1">IF(BD!$C58="","",IF(AND(TODAY()&gt;BD!$C58,OR(BD!$D58="PENDENTE",BD!$D58="")),"VENCIDO",""))</f>
        <v/>
      </c>
      <c r="O58" s="82" t="str">
        <f ca="1">IF(N58 = "VENCIDO",BD!$B58,"")</f>
        <v/>
      </c>
      <c r="P58" s="82" t="str">
        <f ca="1">IF(N58 = "VENCIDO",BD!$C58,"")</f>
        <v/>
      </c>
      <c r="Q58" s="83" t="str">
        <f ca="1">IF(N58 = "VENCIDO",BD!$E58,"")</f>
        <v/>
      </c>
      <c r="R58" s="83" t="str">
        <f ca="1">IF(N58 = "VENCIDO",BD!$F58,"")</f>
        <v/>
      </c>
      <c r="S58" s="85" t="str">
        <f ca="1">IF(N58 = "VENCIDO",BD!$G58,"")</f>
        <v/>
      </c>
      <c r="T58" s="83" t="str">
        <f ca="1">IF(AND(TODAY()&gt;BD!$C58, OR(BD!$D58="PENDENTE", BD!$D58="")), TODAY()-BD!$C58, "")</f>
        <v/>
      </c>
    </row>
    <row r="59" spans="1:20" ht="14.25" customHeight="1" x14ac:dyDescent="0.35">
      <c r="A59" s="32"/>
      <c r="B59" s="82">
        <f>'JAN-26'!A60</f>
        <v>0</v>
      </c>
      <c r="C59" s="82">
        <f>'JAN-26'!B60</f>
        <v>0</v>
      </c>
      <c r="D59" s="82">
        <f>'JAN-26'!C60</f>
        <v>0</v>
      </c>
      <c r="E59" s="83">
        <f>'JAN-26'!D60</f>
        <v>0</v>
      </c>
      <c r="F59" s="84">
        <f>'JAN-26'!E60</f>
        <v>0</v>
      </c>
      <c r="G59" s="85">
        <f>'JAN-26'!F60</f>
        <v>0</v>
      </c>
      <c r="H59" s="85">
        <f t="shared" si="0"/>
        <v>0</v>
      </c>
      <c r="I59" s="83" t="s">
        <v>95</v>
      </c>
      <c r="J59" s="83" t="str">
        <f t="shared" si="1"/>
        <v/>
      </c>
      <c r="K59" s="85">
        <f t="shared" si="2"/>
        <v>0</v>
      </c>
      <c r="L59" s="83" t="str">
        <f t="shared" si="3"/>
        <v/>
      </c>
      <c r="M59" s="83">
        <f>'JAN-26'!H60</f>
        <v>0</v>
      </c>
      <c r="N59" s="92" t="str">
        <f ca="1">IF(BD!$C59="","",IF(AND(TODAY()&gt;BD!$C59,OR(BD!$D59="PENDENTE",BD!$D59="")),"VENCIDO",""))</f>
        <v/>
      </c>
      <c r="O59" s="82" t="str">
        <f ca="1">IF(N59 = "VENCIDO",BD!$B59,"")</f>
        <v/>
      </c>
      <c r="P59" s="82" t="str">
        <f ca="1">IF(N59 = "VENCIDO",BD!$C59,"")</f>
        <v/>
      </c>
      <c r="Q59" s="83" t="str">
        <f ca="1">IF(N59 = "VENCIDO",BD!$E59,"")</f>
        <v/>
      </c>
      <c r="R59" s="83" t="str">
        <f ca="1">IF(N59 = "VENCIDO",BD!$F59,"")</f>
        <v/>
      </c>
      <c r="S59" s="85" t="str">
        <f ca="1">IF(N59 = "VENCIDO",BD!$G59,"")</f>
        <v/>
      </c>
      <c r="T59" s="83" t="str">
        <f ca="1">IF(AND(TODAY()&gt;BD!$C59, OR(BD!$D59="PENDENTE", BD!$D59="")), TODAY()-BD!$C59, "")</f>
        <v/>
      </c>
    </row>
    <row r="60" spans="1:20" ht="14.25" customHeight="1" x14ac:dyDescent="0.35">
      <c r="A60" s="32"/>
      <c r="B60" s="82">
        <f>'JAN-26'!A61</f>
        <v>0</v>
      </c>
      <c r="C60" s="82">
        <f>'JAN-26'!B61</f>
        <v>0</v>
      </c>
      <c r="D60" s="82">
        <f>'JAN-26'!C61</f>
        <v>0</v>
      </c>
      <c r="E60" s="83">
        <f>'JAN-26'!D61</f>
        <v>0</v>
      </c>
      <c r="F60" s="84">
        <f>'JAN-26'!E61</f>
        <v>0</v>
      </c>
      <c r="G60" s="85">
        <f>'JAN-26'!F61</f>
        <v>0</v>
      </c>
      <c r="H60" s="85">
        <f t="shared" si="0"/>
        <v>0</v>
      </c>
      <c r="I60" s="83" t="s">
        <v>95</v>
      </c>
      <c r="J60" s="83" t="str">
        <f t="shared" si="1"/>
        <v/>
      </c>
      <c r="K60" s="85">
        <f t="shared" si="2"/>
        <v>0</v>
      </c>
      <c r="L60" s="83" t="str">
        <f t="shared" si="3"/>
        <v/>
      </c>
      <c r="M60" s="83">
        <f>'JAN-26'!H61</f>
        <v>0</v>
      </c>
      <c r="N60" s="92" t="str">
        <f ca="1">IF(BD!$C60="","",IF(AND(TODAY()&gt;BD!$C60,OR(BD!$D60="PENDENTE",BD!$D60="")),"VENCIDO",""))</f>
        <v/>
      </c>
      <c r="O60" s="82" t="str">
        <f ca="1">IF(N60 = "VENCIDO",BD!$B60,"")</f>
        <v/>
      </c>
      <c r="P60" s="82" t="str">
        <f ca="1">IF(N60 = "VENCIDO",BD!$C60,"")</f>
        <v/>
      </c>
      <c r="Q60" s="83" t="str">
        <f ca="1">IF(N60 = "VENCIDO",BD!$E60,"")</f>
        <v/>
      </c>
      <c r="R60" s="83" t="str">
        <f ca="1">IF(N60 = "VENCIDO",BD!$F60,"")</f>
        <v/>
      </c>
      <c r="S60" s="85" t="str">
        <f ca="1">IF(N60 = "VENCIDO",BD!$G60,"")</f>
        <v/>
      </c>
      <c r="T60" s="83" t="str">
        <f ca="1">IF(AND(TODAY()&gt;BD!$C60, OR(BD!$D60="PENDENTE", BD!$D60="")), TODAY()-BD!$C60, "")</f>
        <v/>
      </c>
    </row>
    <row r="61" spans="1:20" ht="14.25" customHeight="1" x14ac:dyDescent="0.35">
      <c r="A61" s="32"/>
      <c r="B61" s="82">
        <f>'JAN-26'!A62</f>
        <v>0</v>
      </c>
      <c r="C61" s="82">
        <f>'JAN-26'!B62</f>
        <v>0</v>
      </c>
      <c r="D61" s="82">
        <f>'JAN-26'!C62</f>
        <v>0</v>
      </c>
      <c r="E61" s="83">
        <f>'JAN-26'!D62</f>
        <v>0</v>
      </c>
      <c r="F61" s="84">
        <f>'JAN-26'!E62</f>
        <v>0</v>
      </c>
      <c r="G61" s="85">
        <f>'JAN-26'!F62</f>
        <v>0</v>
      </c>
      <c r="H61" s="85">
        <f t="shared" si="0"/>
        <v>0</v>
      </c>
      <c r="I61" s="83" t="s">
        <v>95</v>
      </c>
      <c r="J61" s="83" t="str">
        <f t="shared" si="1"/>
        <v/>
      </c>
      <c r="K61" s="85">
        <f t="shared" si="2"/>
        <v>0</v>
      </c>
      <c r="L61" s="83" t="str">
        <f t="shared" si="3"/>
        <v/>
      </c>
      <c r="M61" s="83">
        <f>'JAN-26'!H62</f>
        <v>0</v>
      </c>
      <c r="N61" s="92" t="str">
        <f ca="1">IF(BD!$C61="","",IF(AND(TODAY()&gt;BD!$C61,OR(BD!$D61="PENDENTE",BD!$D61="")),"VENCIDO",""))</f>
        <v/>
      </c>
      <c r="O61" s="82" t="str">
        <f ca="1">IF(N61 = "VENCIDO",BD!$B61,"")</f>
        <v/>
      </c>
      <c r="P61" s="82" t="str">
        <f ca="1">IF(N61 = "VENCIDO",BD!$C61,"")</f>
        <v/>
      </c>
      <c r="Q61" s="83" t="str">
        <f ca="1">IF(N61 = "VENCIDO",BD!$E61,"")</f>
        <v/>
      </c>
      <c r="R61" s="83" t="str">
        <f ca="1">IF(N61 = "VENCIDO",BD!$F61,"")</f>
        <v/>
      </c>
      <c r="S61" s="85" t="str">
        <f ca="1">IF(N61 = "VENCIDO",BD!$G61,"")</f>
        <v/>
      </c>
      <c r="T61" s="83" t="str">
        <f ca="1">IF(AND(TODAY()&gt;BD!$C61, OR(BD!$D61="PENDENTE", BD!$D61="")), TODAY()-BD!$C61, "")</f>
        <v/>
      </c>
    </row>
    <row r="62" spans="1:20" ht="14.25" customHeight="1" x14ac:dyDescent="0.35">
      <c r="A62" s="32"/>
      <c r="B62" s="82">
        <f>'JAN-26'!A63</f>
        <v>0</v>
      </c>
      <c r="C62" s="82">
        <f>'JAN-26'!B63</f>
        <v>0</v>
      </c>
      <c r="D62" s="82">
        <f>'JAN-26'!C63</f>
        <v>0</v>
      </c>
      <c r="E62" s="83">
        <f>'JAN-26'!D63</f>
        <v>0</v>
      </c>
      <c r="F62" s="84">
        <f>'JAN-26'!E63</f>
        <v>0</v>
      </c>
      <c r="G62" s="85">
        <f>'JAN-26'!F63</f>
        <v>0</v>
      </c>
      <c r="H62" s="85">
        <f t="shared" si="0"/>
        <v>0</v>
      </c>
      <c r="I62" s="83" t="s">
        <v>95</v>
      </c>
      <c r="J62" s="83" t="str">
        <f t="shared" si="1"/>
        <v/>
      </c>
      <c r="K62" s="85">
        <f t="shared" si="2"/>
        <v>0</v>
      </c>
      <c r="L62" s="83" t="str">
        <f t="shared" si="3"/>
        <v/>
      </c>
      <c r="M62" s="83">
        <f>'JAN-26'!H63</f>
        <v>0</v>
      </c>
      <c r="N62" s="92" t="str">
        <f ca="1">IF(BD!$C62="","",IF(AND(TODAY()&gt;BD!$C62,OR(BD!$D62="PENDENTE",BD!$D62="")),"VENCIDO",""))</f>
        <v/>
      </c>
      <c r="O62" s="82" t="str">
        <f ca="1">IF(N62 = "VENCIDO",BD!$B62,"")</f>
        <v/>
      </c>
      <c r="P62" s="82" t="str">
        <f ca="1">IF(N62 = "VENCIDO",BD!$C62,"")</f>
        <v/>
      </c>
      <c r="Q62" s="83" t="str">
        <f ca="1">IF(N62 = "VENCIDO",BD!$E62,"")</f>
        <v/>
      </c>
      <c r="R62" s="83" t="str">
        <f ca="1">IF(N62 = "VENCIDO",BD!$F62,"")</f>
        <v/>
      </c>
      <c r="S62" s="85" t="str">
        <f ca="1">IF(N62 = "VENCIDO",BD!$G62,"")</f>
        <v/>
      </c>
      <c r="T62" s="83" t="str">
        <f ca="1">IF(AND(TODAY()&gt;BD!$C62, OR(BD!$D62="PENDENTE", BD!$D62="")), TODAY()-BD!$C62, "")</f>
        <v/>
      </c>
    </row>
    <row r="63" spans="1:20" ht="14.25" customHeight="1" x14ac:dyDescent="0.35">
      <c r="A63" s="32"/>
      <c r="B63" s="82">
        <f>'JAN-26'!A64</f>
        <v>0</v>
      </c>
      <c r="C63" s="82">
        <f>'JAN-26'!B64</f>
        <v>0</v>
      </c>
      <c r="D63" s="82">
        <f>'JAN-26'!C64</f>
        <v>0</v>
      </c>
      <c r="E63" s="83">
        <f>'JAN-26'!D64</f>
        <v>0</v>
      </c>
      <c r="F63" s="84">
        <f>'JAN-26'!E64</f>
        <v>0</v>
      </c>
      <c r="G63" s="85">
        <f>'JAN-26'!F64</f>
        <v>0</v>
      </c>
      <c r="H63" s="85">
        <f t="shared" si="0"/>
        <v>0</v>
      </c>
      <c r="I63" s="83" t="s">
        <v>95</v>
      </c>
      <c r="J63" s="83" t="str">
        <f t="shared" si="1"/>
        <v/>
      </c>
      <c r="K63" s="85">
        <f t="shared" si="2"/>
        <v>0</v>
      </c>
      <c r="L63" s="83" t="str">
        <f t="shared" si="3"/>
        <v/>
      </c>
      <c r="M63" s="83">
        <f>'JAN-26'!H64</f>
        <v>0</v>
      </c>
      <c r="N63" s="92" t="str">
        <f ca="1">IF(BD!$C63="","",IF(AND(TODAY()&gt;BD!$C63,OR(BD!$D63="PENDENTE",BD!$D63="")),"VENCIDO",""))</f>
        <v/>
      </c>
      <c r="O63" s="82" t="str">
        <f ca="1">IF(N63 = "VENCIDO",BD!$B63,"")</f>
        <v/>
      </c>
      <c r="P63" s="82" t="str">
        <f ca="1">IF(N63 = "VENCIDO",BD!$C63,"")</f>
        <v/>
      </c>
      <c r="Q63" s="83" t="str">
        <f ca="1">IF(N63 = "VENCIDO",BD!$E63,"")</f>
        <v/>
      </c>
      <c r="R63" s="83" t="str">
        <f ca="1">IF(N63 = "VENCIDO",BD!$F63,"")</f>
        <v/>
      </c>
      <c r="S63" s="85" t="str">
        <f ca="1">IF(N63 = "VENCIDO",BD!$G63,"")</f>
        <v/>
      </c>
      <c r="T63" s="83" t="str">
        <f ca="1">IF(AND(TODAY()&gt;BD!$C63, OR(BD!$D63="PENDENTE", BD!$D63="")), TODAY()-BD!$C63, "")</f>
        <v/>
      </c>
    </row>
    <row r="64" spans="1:20" ht="14.25" customHeight="1" x14ac:dyDescent="0.35">
      <c r="A64" s="32"/>
      <c r="B64" s="82">
        <f>'JAN-26'!A65</f>
        <v>0</v>
      </c>
      <c r="C64" s="82">
        <f>'JAN-26'!B65</f>
        <v>0</v>
      </c>
      <c r="D64" s="82">
        <f>'JAN-26'!C65</f>
        <v>0</v>
      </c>
      <c r="E64" s="83">
        <f>'JAN-26'!D65</f>
        <v>0</v>
      </c>
      <c r="F64" s="84">
        <f>'JAN-26'!E65</f>
        <v>0</v>
      </c>
      <c r="G64" s="85">
        <f>'JAN-26'!F65</f>
        <v>0</v>
      </c>
      <c r="H64" s="85">
        <f t="shared" si="0"/>
        <v>0</v>
      </c>
      <c r="I64" s="83" t="s">
        <v>95</v>
      </c>
      <c r="J64" s="83" t="str">
        <f t="shared" si="1"/>
        <v/>
      </c>
      <c r="K64" s="85">
        <f t="shared" si="2"/>
        <v>0</v>
      </c>
      <c r="L64" s="83" t="str">
        <f t="shared" si="3"/>
        <v/>
      </c>
      <c r="M64" s="83">
        <f>'JAN-26'!H65</f>
        <v>0</v>
      </c>
      <c r="N64" s="92" t="str">
        <f ca="1">IF(BD!$C64="","",IF(AND(TODAY()&gt;BD!$C64,OR(BD!$D64="PENDENTE",BD!$D64="")),"VENCIDO",""))</f>
        <v/>
      </c>
      <c r="O64" s="82" t="str">
        <f ca="1">IF(N64 = "VENCIDO",BD!$B64,"")</f>
        <v/>
      </c>
      <c r="P64" s="82" t="str">
        <f ca="1">IF(N64 = "VENCIDO",BD!$C64,"")</f>
        <v/>
      </c>
      <c r="Q64" s="83" t="str">
        <f ca="1">IF(N64 = "VENCIDO",BD!$E64,"")</f>
        <v/>
      </c>
      <c r="R64" s="83" t="str">
        <f ca="1">IF(N64 = "VENCIDO",BD!$F64,"")</f>
        <v/>
      </c>
      <c r="S64" s="85" t="str">
        <f ca="1">IF(N64 = "VENCIDO",BD!$G64,"")</f>
        <v/>
      </c>
      <c r="T64" s="83" t="str">
        <f ca="1">IF(AND(TODAY()&gt;BD!$C64, OR(BD!$D64="PENDENTE", BD!$D64="")), TODAY()-BD!$C64, "")</f>
        <v/>
      </c>
    </row>
    <row r="65" spans="1:20" ht="14.25" customHeight="1" x14ac:dyDescent="0.35">
      <c r="A65" s="32"/>
      <c r="B65" s="82">
        <f>'JAN-26'!A66</f>
        <v>0</v>
      </c>
      <c r="C65" s="82">
        <f>'JAN-26'!B66</f>
        <v>0</v>
      </c>
      <c r="D65" s="82">
        <f>'JAN-26'!C66</f>
        <v>0</v>
      </c>
      <c r="E65" s="83">
        <f>'JAN-26'!D66</f>
        <v>0</v>
      </c>
      <c r="F65" s="84">
        <f>'JAN-26'!E66</f>
        <v>0</v>
      </c>
      <c r="G65" s="85">
        <f>'JAN-26'!F66</f>
        <v>0</v>
      </c>
      <c r="H65" s="85">
        <f t="shared" si="0"/>
        <v>0</v>
      </c>
      <c r="I65" s="83" t="s">
        <v>95</v>
      </c>
      <c r="J65" s="83" t="str">
        <f t="shared" si="1"/>
        <v/>
      </c>
      <c r="K65" s="85">
        <f t="shared" si="2"/>
        <v>0</v>
      </c>
      <c r="L65" s="83" t="str">
        <f t="shared" si="3"/>
        <v/>
      </c>
      <c r="M65" s="83">
        <f>'JAN-26'!H66</f>
        <v>0</v>
      </c>
      <c r="N65" s="92" t="str">
        <f ca="1">IF(BD!$C65="","",IF(AND(TODAY()&gt;BD!$C65,OR(BD!$D65="PENDENTE",BD!$D65="")),"VENCIDO",""))</f>
        <v/>
      </c>
      <c r="O65" s="82" t="str">
        <f ca="1">IF(N65 = "VENCIDO",BD!$B65,"")</f>
        <v/>
      </c>
      <c r="P65" s="82" t="str">
        <f ca="1">IF(N65 = "VENCIDO",BD!$C65,"")</f>
        <v/>
      </c>
      <c r="Q65" s="83" t="str">
        <f ca="1">IF(N65 = "VENCIDO",BD!$E65,"")</f>
        <v/>
      </c>
      <c r="R65" s="83" t="str">
        <f ca="1">IF(N65 = "VENCIDO",BD!$F65,"")</f>
        <v/>
      </c>
      <c r="S65" s="85" t="str">
        <f ca="1">IF(N65 = "VENCIDO",BD!$G65,"")</f>
        <v/>
      </c>
      <c r="T65" s="83" t="str">
        <f ca="1">IF(AND(TODAY()&gt;BD!$C65, OR(BD!$D65="PENDENTE", BD!$D65="")), TODAY()-BD!$C65, "")</f>
        <v/>
      </c>
    </row>
    <row r="66" spans="1:20" ht="14.25" customHeight="1" x14ac:dyDescent="0.35">
      <c r="A66" s="32"/>
      <c r="B66" s="82">
        <f>'JAN-26'!A67</f>
        <v>0</v>
      </c>
      <c r="C66" s="82">
        <f>'JAN-26'!B67</f>
        <v>0</v>
      </c>
      <c r="D66" s="82">
        <f>'JAN-26'!C67</f>
        <v>0</v>
      </c>
      <c r="E66" s="83">
        <f>'JAN-26'!D67</f>
        <v>0</v>
      </c>
      <c r="F66" s="84">
        <f>'JAN-26'!E67</f>
        <v>0</v>
      </c>
      <c r="G66" s="85">
        <f>'JAN-26'!F67</f>
        <v>0</v>
      </c>
      <c r="H66" s="85">
        <f t="shared" si="0"/>
        <v>0</v>
      </c>
      <c r="I66" s="83" t="s">
        <v>95</v>
      </c>
      <c r="J66" s="83" t="str">
        <f t="shared" si="1"/>
        <v/>
      </c>
      <c r="K66" s="85">
        <f t="shared" si="2"/>
        <v>0</v>
      </c>
      <c r="L66" s="83" t="str">
        <f t="shared" si="3"/>
        <v/>
      </c>
      <c r="M66" s="83">
        <f>'JAN-26'!H67</f>
        <v>0</v>
      </c>
      <c r="N66" s="92" t="str">
        <f ca="1">IF(BD!$C66="","",IF(AND(TODAY()&gt;BD!$C66,OR(BD!$D66="PENDENTE",BD!$D66="")),"VENCIDO",""))</f>
        <v/>
      </c>
      <c r="O66" s="82" t="str">
        <f ca="1">IF(N66 = "VENCIDO",BD!$B66,"")</f>
        <v/>
      </c>
      <c r="P66" s="82" t="str">
        <f ca="1">IF(N66 = "VENCIDO",BD!$C66,"")</f>
        <v/>
      </c>
      <c r="Q66" s="83" t="str">
        <f ca="1">IF(N66 = "VENCIDO",BD!$E66,"")</f>
        <v/>
      </c>
      <c r="R66" s="83" t="str">
        <f ca="1">IF(N66 = "VENCIDO",BD!$F66,"")</f>
        <v/>
      </c>
      <c r="S66" s="85" t="str">
        <f ca="1">IF(N66 = "VENCIDO",BD!$G66,"")</f>
        <v/>
      </c>
      <c r="T66" s="83" t="str">
        <f ca="1">IF(AND(TODAY()&gt;BD!$C66, OR(BD!$D66="PENDENTE", BD!$D66="")), TODAY()-BD!$C66, "")</f>
        <v/>
      </c>
    </row>
    <row r="67" spans="1:20" ht="14.25" customHeight="1" x14ac:dyDescent="0.35">
      <c r="A67" s="32"/>
      <c r="B67" s="82">
        <f>'JAN-26'!A68</f>
        <v>0</v>
      </c>
      <c r="C67" s="82">
        <f>'JAN-26'!B68</f>
        <v>0</v>
      </c>
      <c r="D67" s="82">
        <f>'JAN-26'!C68</f>
        <v>0</v>
      </c>
      <c r="E67" s="83">
        <f>'JAN-26'!D68</f>
        <v>0</v>
      </c>
      <c r="F67" s="84">
        <f>'JAN-26'!E68</f>
        <v>0</v>
      </c>
      <c r="G67" s="85">
        <f>'JAN-26'!F68</f>
        <v>0</v>
      </c>
      <c r="H67" s="85">
        <f t="shared" si="0"/>
        <v>0</v>
      </c>
      <c r="I67" s="83" t="s">
        <v>95</v>
      </c>
      <c r="J67" s="83" t="str">
        <f t="shared" si="1"/>
        <v/>
      </c>
      <c r="K67" s="85">
        <f t="shared" si="2"/>
        <v>0</v>
      </c>
      <c r="L67" s="83" t="str">
        <f t="shared" si="3"/>
        <v/>
      </c>
      <c r="M67" s="83">
        <f>'JAN-26'!H68</f>
        <v>0</v>
      </c>
      <c r="N67" s="92" t="str">
        <f ca="1">IF(BD!$C67="","",IF(AND(TODAY()&gt;BD!$C67,OR(BD!$D67="PENDENTE",BD!$D67="")),"VENCIDO",""))</f>
        <v/>
      </c>
      <c r="O67" s="82" t="str">
        <f ca="1">IF(N67 = "VENCIDO",BD!$B67,"")</f>
        <v/>
      </c>
      <c r="P67" s="82" t="str">
        <f ca="1">IF(N67 = "VENCIDO",BD!$C67,"")</f>
        <v/>
      </c>
      <c r="Q67" s="83" t="str">
        <f ca="1">IF(N67 = "VENCIDO",BD!$E67,"")</f>
        <v/>
      </c>
      <c r="R67" s="83" t="str">
        <f ca="1">IF(N67 = "VENCIDO",BD!$F67,"")</f>
        <v/>
      </c>
      <c r="S67" s="85" t="str">
        <f ca="1">IF(N67 = "VENCIDO",BD!$G67,"")</f>
        <v/>
      </c>
      <c r="T67" s="83" t="str">
        <f ca="1">IF(AND(TODAY()&gt;BD!$C67, OR(BD!$D67="PENDENTE", BD!$D67="")), TODAY()-BD!$C67, "")</f>
        <v/>
      </c>
    </row>
    <row r="68" spans="1:20" ht="14.25" customHeight="1" x14ac:dyDescent="0.35">
      <c r="A68" s="32"/>
      <c r="B68" s="82">
        <f>'JAN-26'!A69</f>
        <v>0</v>
      </c>
      <c r="C68" s="82">
        <f>'JAN-26'!B69</f>
        <v>0</v>
      </c>
      <c r="D68" s="82">
        <f>'JAN-26'!C69</f>
        <v>0</v>
      </c>
      <c r="E68" s="83">
        <f>'JAN-26'!D69</f>
        <v>0</v>
      </c>
      <c r="F68" s="84">
        <f>'JAN-26'!E69</f>
        <v>0</v>
      </c>
      <c r="G68" s="85">
        <f>'JAN-26'!F69</f>
        <v>0</v>
      </c>
      <c r="H68" s="85">
        <f t="shared" si="0"/>
        <v>0</v>
      </c>
      <c r="I68" s="83" t="s">
        <v>95</v>
      </c>
      <c r="J68" s="83" t="str">
        <f t="shared" si="1"/>
        <v/>
      </c>
      <c r="K68" s="85">
        <f t="shared" si="2"/>
        <v>0</v>
      </c>
      <c r="L68" s="83" t="str">
        <f t="shared" si="3"/>
        <v/>
      </c>
      <c r="M68" s="83">
        <f>'JAN-26'!H69</f>
        <v>0</v>
      </c>
      <c r="N68" s="92" t="str">
        <f ca="1">IF(BD!$C68="","",IF(AND(TODAY()&gt;BD!$C68,OR(BD!$D68="PENDENTE",BD!$D68="")),"VENCIDO",""))</f>
        <v/>
      </c>
      <c r="O68" s="82" t="str">
        <f ca="1">IF(N68 = "VENCIDO",BD!$B68,"")</f>
        <v/>
      </c>
      <c r="P68" s="82" t="str">
        <f ca="1">IF(N68 = "VENCIDO",BD!$C68,"")</f>
        <v/>
      </c>
      <c r="Q68" s="83" t="str">
        <f ca="1">IF(N68 = "VENCIDO",BD!$E68,"")</f>
        <v/>
      </c>
      <c r="R68" s="83" t="str">
        <f ca="1">IF(N68 = "VENCIDO",BD!$F68,"")</f>
        <v/>
      </c>
      <c r="S68" s="85" t="str">
        <f ca="1">IF(N68 = "VENCIDO",BD!$G68,"")</f>
        <v/>
      </c>
      <c r="T68" s="83" t="str">
        <f ca="1">IF(AND(TODAY()&gt;BD!$C68, OR(BD!$D68="PENDENTE", BD!$D68="")), TODAY()-BD!$C68, "")</f>
        <v/>
      </c>
    </row>
    <row r="69" spans="1:20" ht="14.25" customHeight="1" x14ac:dyDescent="0.35">
      <c r="A69" s="32"/>
      <c r="B69" s="82">
        <f>'JAN-26'!A70</f>
        <v>0</v>
      </c>
      <c r="C69" s="82">
        <f>'JAN-26'!B70</f>
        <v>0</v>
      </c>
      <c r="D69" s="82">
        <f>'JAN-26'!C70</f>
        <v>0</v>
      </c>
      <c r="E69" s="83">
        <f>'JAN-26'!D70</f>
        <v>0</v>
      </c>
      <c r="F69" s="84">
        <f>'JAN-26'!E70</f>
        <v>0</v>
      </c>
      <c r="G69" s="85">
        <f>'JAN-26'!F70</f>
        <v>0</v>
      </c>
      <c r="H69" s="85">
        <f t="shared" si="0"/>
        <v>0</v>
      </c>
      <c r="I69" s="83" t="s">
        <v>95</v>
      </c>
      <c r="J69" s="83" t="str">
        <f t="shared" si="1"/>
        <v/>
      </c>
      <c r="K69" s="85">
        <f t="shared" si="2"/>
        <v>0</v>
      </c>
      <c r="L69" s="83" t="str">
        <f t="shared" si="3"/>
        <v/>
      </c>
      <c r="M69" s="83">
        <f>'JAN-26'!H70</f>
        <v>0</v>
      </c>
      <c r="N69" s="92" t="str">
        <f ca="1">IF(BD!$C69="","",IF(AND(TODAY()&gt;BD!$C69,OR(BD!$D69="PENDENTE",BD!$D69="")),"VENCIDO",""))</f>
        <v/>
      </c>
      <c r="O69" s="82" t="str">
        <f ca="1">IF(N69 = "VENCIDO",BD!$B69,"")</f>
        <v/>
      </c>
      <c r="P69" s="82" t="str">
        <f ca="1">IF(N69 = "VENCIDO",BD!$C69,"")</f>
        <v/>
      </c>
      <c r="Q69" s="83" t="str">
        <f ca="1">IF(N69 = "VENCIDO",BD!$E69,"")</f>
        <v/>
      </c>
      <c r="R69" s="83" t="str">
        <f ca="1">IF(N69 = "VENCIDO",BD!$F69,"")</f>
        <v/>
      </c>
      <c r="S69" s="85" t="str">
        <f ca="1">IF(N69 = "VENCIDO",BD!$G69,"")</f>
        <v/>
      </c>
      <c r="T69" s="83" t="str">
        <f ca="1">IF(AND(TODAY()&gt;BD!$C69, OR(BD!$D69="PENDENTE", BD!$D69="")), TODAY()-BD!$C69, "")</f>
        <v/>
      </c>
    </row>
    <row r="70" spans="1:20" ht="14.25" customHeight="1" x14ac:dyDescent="0.35">
      <c r="A70" s="32"/>
      <c r="B70" s="82">
        <f>'JAN-26'!A71</f>
        <v>0</v>
      </c>
      <c r="C70" s="82">
        <f>'JAN-26'!B71</f>
        <v>0</v>
      </c>
      <c r="D70" s="82">
        <f>'JAN-26'!C71</f>
        <v>0</v>
      </c>
      <c r="E70" s="83">
        <f>'JAN-26'!D71</f>
        <v>0</v>
      </c>
      <c r="F70" s="84">
        <f>'JAN-26'!E71</f>
        <v>0</v>
      </c>
      <c r="G70" s="85">
        <f>'JAN-26'!F71</f>
        <v>0</v>
      </c>
      <c r="H70" s="85">
        <f t="shared" si="0"/>
        <v>0</v>
      </c>
      <c r="I70" s="83" t="s">
        <v>95</v>
      </c>
      <c r="J70" s="83" t="str">
        <f t="shared" si="1"/>
        <v/>
      </c>
      <c r="K70" s="85">
        <f t="shared" si="2"/>
        <v>0</v>
      </c>
      <c r="L70" s="83" t="str">
        <f t="shared" si="3"/>
        <v/>
      </c>
      <c r="M70" s="83">
        <f>'JAN-26'!H71</f>
        <v>0</v>
      </c>
      <c r="N70" s="92" t="str">
        <f ca="1">IF(BD!$C70="","",IF(AND(TODAY()&gt;BD!$C70,OR(BD!$D70="PENDENTE",BD!$D70="")),"VENCIDO",""))</f>
        <v/>
      </c>
      <c r="O70" s="82" t="str">
        <f ca="1">IF(N70 = "VENCIDO",BD!$B70,"")</f>
        <v/>
      </c>
      <c r="P70" s="82" t="str">
        <f ca="1">IF(N70 = "VENCIDO",BD!$C70,"")</f>
        <v/>
      </c>
      <c r="Q70" s="83" t="str">
        <f ca="1">IF(N70 = "VENCIDO",BD!$E70,"")</f>
        <v/>
      </c>
      <c r="R70" s="83" t="str">
        <f ca="1">IF(N70 = "VENCIDO",BD!$F70,"")</f>
        <v/>
      </c>
      <c r="S70" s="85" t="str">
        <f ca="1">IF(N70 = "VENCIDO",BD!$G70,"")</f>
        <v/>
      </c>
      <c r="T70" s="83" t="str">
        <f ca="1">IF(AND(TODAY()&gt;BD!$C70, OR(BD!$D70="PENDENTE", BD!$D70="")), TODAY()-BD!$C70, "")</f>
        <v/>
      </c>
    </row>
    <row r="71" spans="1:20" ht="14.25" customHeight="1" x14ac:dyDescent="0.35">
      <c r="A71" s="32"/>
      <c r="B71" s="82">
        <f>'JAN-26'!A72</f>
        <v>0</v>
      </c>
      <c r="C71" s="82">
        <f>'JAN-26'!B72</f>
        <v>0</v>
      </c>
      <c r="D71" s="82">
        <f>'JAN-26'!C72</f>
        <v>0</v>
      </c>
      <c r="E71" s="83">
        <f>'JAN-26'!D72</f>
        <v>0</v>
      </c>
      <c r="F71" s="84">
        <f>'JAN-26'!E72</f>
        <v>0</v>
      </c>
      <c r="G71" s="85">
        <f>'JAN-26'!F72</f>
        <v>0</v>
      </c>
      <c r="H71" s="85">
        <f t="shared" si="0"/>
        <v>0</v>
      </c>
      <c r="I71" s="83" t="s">
        <v>95</v>
      </c>
      <c r="J71" s="83" t="str">
        <f t="shared" si="1"/>
        <v/>
      </c>
      <c r="K71" s="85">
        <f t="shared" si="2"/>
        <v>0</v>
      </c>
      <c r="L71" s="83" t="str">
        <f t="shared" si="3"/>
        <v/>
      </c>
      <c r="M71" s="83">
        <f>'JAN-26'!H72</f>
        <v>0</v>
      </c>
      <c r="N71" s="92" t="str">
        <f ca="1">IF(BD!$C71="","",IF(AND(TODAY()&gt;BD!$C71,OR(BD!$D71="PENDENTE",BD!$D71="")),"VENCIDO",""))</f>
        <v/>
      </c>
      <c r="O71" s="82" t="str">
        <f ca="1">IF(N71 = "VENCIDO",BD!$B71,"")</f>
        <v/>
      </c>
      <c r="P71" s="82" t="str">
        <f ca="1">IF(N71 = "VENCIDO",BD!$C71,"")</f>
        <v/>
      </c>
      <c r="Q71" s="83" t="str">
        <f ca="1">IF(N71 = "VENCIDO",BD!$E71,"")</f>
        <v/>
      </c>
      <c r="R71" s="83" t="str">
        <f ca="1">IF(N71 = "VENCIDO",BD!$F71,"")</f>
        <v/>
      </c>
      <c r="S71" s="85" t="str">
        <f ca="1">IF(N71 = "VENCIDO",BD!$G71,"")</f>
        <v/>
      </c>
      <c r="T71" s="83" t="str">
        <f ca="1">IF(AND(TODAY()&gt;BD!$C71, OR(BD!$D71="PENDENTE", BD!$D71="")), TODAY()-BD!$C71, "")</f>
        <v/>
      </c>
    </row>
    <row r="72" spans="1:20" ht="14.25" customHeight="1" x14ac:dyDescent="0.35">
      <c r="A72" s="32"/>
      <c r="B72" s="82">
        <f>'JAN-26'!A73</f>
        <v>0</v>
      </c>
      <c r="C72" s="82">
        <f>'JAN-26'!B73</f>
        <v>0</v>
      </c>
      <c r="D72" s="82">
        <f>'JAN-26'!C73</f>
        <v>0</v>
      </c>
      <c r="E72" s="83">
        <f>'JAN-26'!D73</f>
        <v>0</v>
      </c>
      <c r="F72" s="84">
        <f>'JAN-26'!E73</f>
        <v>0</v>
      </c>
      <c r="G72" s="85">
        <f>'JAN-26'!F73</f>
        <v>0</v>
      </c>
      <c r="H72" s="85">
        <f t="shared" si="0"/>
        <v>0</v>
      </c>
      <c r="I72" s="83" t="s">
        <v>95</v>
      </c>
      <c r="J72" s="83" t="str">
        <f t="shared" si="1"/>
        <v/>
      </c>
      <c r="K72" s="85">
        <f t="shared" si="2"/>
        <v>0</v>
      </c>
      <c r="L72" s="83" t="str">
        <f t="shared" si="3"/>
        <v/>
      </c>
      <c r="M72" s="83">
        <f>'JAN-26'!H73</f>
        <v>0</v>
      </c>
      <c r="N72" s="92" t="str">
        <f ca="1">IF(BD!$C72="","",IF(AND(TODAY()&gt;BD!$C72,OR(BD!$D72="PENDENTE",BD!$D72="")),"VENCIDO",""))</f>
        <v/>
      </c>
      <c r="O72" s="82" t="str">
        <f ca="1">IF(N72 = "VENCIDO",BD!$B72,"")</f>
        <v/>
      </c>
      <c r="P72" s="82" t="str">
        <f ca="1">IF(N72 = "VENCIDO",BD!$C72,"")</f>
        <v/>
      </c>
      <c r="Q72" s="83" t="str">
        <f ca="1">IF(N72 = "VENCIDO",BD!$E72,"")</f>
        <v/>
      </c>
      <c r="R72" s="83" t="str">
        <f ca="1">IF(N72 = "VENCIDO",BD!$F72,"")</f>
        <v/>
      </c>
      <c r="S72" s="85" t="str">
        <f ca="1">IF(N72 = "VENCIDO",BD!$G72,"")</f>
        <v/>
      </c>
      <c r="T72" s="83" t="str">
        <f ca="1">IF(AND(TODAY()&gt;BD!$C72, OR(BD!$D72="PENDENTE", BD!$D72="")), TODAY()-BD!$C72, "")</f>
        <v/>
      </c>
    </row>
    <row r="73" spans="1:20" ht="14.25" customHeight="1" x14ac:dyDescent="0.35">
      <c r="A73" s="32"/>
      <c r="B73" s="82">
        <f>'JAN-26'!A74</f>
        <v>0</v>
      </c>
      <c r="C73" s="82">
        <f>'JAN-26'!B74</f>
        <v>0</v>
      </c>
      <c r="D73" s="82">
        <f>'JAN-26'!C74</f>
        <v>0</v>
      </c>
      <c r="E73" s="83">
        <f>'JAN-26'!D74</f>
        <v>0</v>
      </c>
      <c r="F73" s="84">
        <f>'JAN-26'!E74</f>
        <v>0</v>
      </c>
      <c r="G73" s="85">
        <f>'JAN-26'!F74</f>
        <v>0</v>
      </c>
      <c r="H73" s="85">
        <f t="shared" si="0"/>
        <v>0</v>
      </c>
      <c r="I73" s="83" t="s">
        <v>95</v>
      </c>
      <c r="J73" s="83" t="str">
        <f t="shared" si="1"/>
        <v/>
      </c>
      <c r="K73" s="85">
        <f t="shared" si="2"/>
        <v>0</v>
      </c>
      <c r="L73" s="83" t="str">
        <f t="shared" si="3"/>
        <v/>
      </c>
      <c r="M73" s="83">
        <f>'JAN-26'!H74</f>
        <v>0</v>
      </c>
      <c r="N73" s="92" t="str">
        <f ca="1">IF(BD!$C73="","",IF(AND(TODAY()&gt;BD!$C73,OR(BD!$D73="PENDENTE",BD!$D73="")),"VENCIDO",""))</f>
        <v/>
      </c>
      <c r="O73" s="82" t="str">
        <f ca="1">IF(N73 = "VENCIDO",BD!$B73,"")</f>
        <v/>
      </c>
      <c r="P73" s="82" t="str">
        <f ca="1">IF(N73 = "VENCIDO",BD!$C73,"")</f>
        <v/>
      </c>
      <c r="Q73" s="83" t="str">
        <f ca="1">IF(N73 = "VENCIDO",BD!$E73,"")</f>
        <v/>
      </c>
      <c r="R73" s="83" t="str">
        <f ca="1">IF(N73 = "VENCIDO",BD!$F73,"")</f>
        <v/>
      </c>
      <c r="S73" s="85" t="str">
        <f ca="1">IF(N73 = "VENCIDO",BD!$G73,"")</f>
        <v/>
      </c>
      <c r="T73" s="83" t="str">
        <f ca="1">IF(AND(TODAY()&gt;BD!$C73, OR(BD!$D73="PENDENTE", BD!$D73="")), TODAY()-BD!$C73, "")</f>
        <v/>
      </c>
    </row>
    <row r="74" spans="1:20" ht="14.25" customHeight="1" x14ac:dyDescent="0.35">
      <c r="A74" s="32"/>
      <c r="B74" s="82">
        <f>'JAN-26'!A75</f>
        <v>0</v>
      </c>
      <c r="C74" s="82">
        <f>'JAN-26'!B75</f>
        <v>0</v>
      </c>
      <c r="D74" s="82">
        <f>'JAN-26'!C75</f>
        <v>0</v>
      </c>
      <c r="E74" s="83">
        <f>'JAN-26'!D75</f>
        <v>0</v>
      </c>
      <c r="F74" s="84">
        <f>'JAN-26'!E75</f>
        <v>0</v>
      </c>
      <c r="G74" s="85">
        <f>'JAN-26'!F75</f>
        <v>0</v>
      </c>
      <c r="H74" s="85">
        <f t="shared" si="0"/>
        <v>0</v>
      </c>
      <c r="I74" s="83" t="s">
        <v>95</v>
      </c>
      <c r="J74" s="83" t="str">
        <f t="shared" si="1"/>
        <v/>
      </c>
      <c r="K74" s="85">
        <f t="shared" si="2"/>
        <v>0</v>
      </c>
      <c r="L74" s="83" t="str">
        <f t="shared" si="3"/>
        <v/>
      </c>
      <c r="M74" s="83">
        <f>'JAN-26'!H75</f>
        <v>0</v>
      </c>
      <c r="N74" s="92" t="str">
        <f ca="1">IF(BD!$C74="","",IF(AND(TODAY()&gt;BD!$C74,OR(BD!$D74="PENDENTE",BD!$D74="")),"VENCIDO",""))</f>
        <v/>
      </c>
      <c r="O74" s="82" t="str">
        <f ca="1">IF(N74 = "VENCIDO",BD!$B74,"")</f>
        <v/>
      </c>
      <c r="P74" s="82" t="str">
        <f ca="1">IF(N74 = "VENCIDO",BD!$C74,"")</f>
        <v/>
      </c>
      <c r="Q74" s="83" t="str">
        <f ca="1">IF(N74 = "VENCIDO",BD!$E74,"")</f>
        <v/>
      </c>
      <c r="R74" s="83" t="str">
        <f ca="1">IF(N74 = "VENCIDO",BD!$F74,"")</f>
        <v/>
      </c>
      <c r="S74" s="85" t="str">
        <f ca="1">IF(N74 = "VENCIDO",BD!$G74,"")</f>
        <v/>
      </c>
      <c r="T74" s="83" t="str">
        <f ca="1">IF(AND(TODAY()&gt;BD!$C74, OR(BD!$D74="PENDENTE", BD!$D74="")), TODAY()-BD!$C74, "")</f>
        <v/>
      </c>
    </row>
    <row r="75" spans="1:20" ht="14.25" customHeight="1" x14ac:dyDescent="0.35">
      <c r="A75" s="32"/>
      <c r="B75" s="82">
        <f>'JAN-26'!A76</f>
        <v>0</v>
      </c>
      <c r="C75" s="82">
        <f>'JAN-26'!B76</f>
        <v>0</v>
      </c>
      <c r="D75" s="82">
        <f>'JAN-26'!C76</f>
        <v>0</v>
      </c>
      <c r="E75" s="83">
        <f>'JAN-26'!D76</f>
        <v>0</v>
      </c>
      <c r="F75" s="84">
        <f>'JAN-26'!E76</f>
        <v>0</v>
      </c>
      <c r="G75" s="85">
        <f>'JAN-26'!F76</f>
        <v>0</v>
      </c>
      <c r="H75" s="85">
        <f t="shared" si="0"/>
        <v>0</v>
      </c>
      <c r="I75" s="83" t="s">
        <v>95</v>
      </c>
      <c r="J75" s="83" t="str">
        <f t="shared" si="1"/>
        <v/>
      </c>
      <c r="K75" s="85">
        <f t="shared" si="2"/>
        <v>0</v>
      </c>
      <c r="L75" s="83" t="str">
        <f t="shared" si="3"/>
        <v/>
      </c>
      <c r="M75" s="83">
        <f>'JAN-26'!H76</f>
        <v>0</v>
      </c>
      <c r="N75" s="92" t="str">
        <f ca="1">IF(BD!$C75="","",IF(AND(TODAY()&gt;BD!$C75,OR(BD!$D75="PENDENTE",BD!$D75="")),"VENCIDO",""))</f>
        <v/>
      </c>
      <c r="O75" s="82" t="str">
        <f ca="1">IF(N75 = "VENCIDO",BD!$B75,"")</f>
        <v/>
      </c>
      <c r="P75" s="82" t="str">
        <f ca="1">IF(N75 = "VENCIDO",BD!$C75,"")</f>
        <v/>
      </c>
      <c r="Q75" s="83" t="str">
        <f ca="1">IF(N75 = "VENCIDO",BD!$E75,"")</f>
        <v/>
      </c>
      <c r="R75" s="83" t="str">
        <f ca="1">IF(N75 = "VENCIDO",BD!$F75,"")</f>
        <v/>
      </c>
      <c r="S75" s="85" t="str">
        <f ca="1">IF(N75 = "VENCIDO",BD!$G75,"")</f>
        <v/>
      </c>
      <c r="T75" s="83" t="str">
        <f ca="1">IF(AND(TODAY()&gt;BD!$C75, OR(BD!$D75="PENDENTE", BD!$D75="")), TODAY()-BD!$C75, "")</f>
        <v/>
      </c>
    </row>
    <row r="76" spans="1:20" ht="14.25" customHeight="1" x14ac:dyDescent="0.35">
      <c r="A76" s="32"/>
      <c r="B76" s="82">
        <f>'FEV-26'!A3</f>
        <v>0</v>
      </c>
      <c r="C76" s="82">
        <f>'FEV-26'!B3</f>
        <v>0</v>
      </c>
      <c r="D76" s="82">
        <f>'FEV-26'!C3</f>
        <v>0</v>
      </c>
      <c r="E76" s="83">
        <f>'FEV-26'!D3</f>
        <v>0</v>
      </c>
      <c r="F76" s="84">
        <f>'FEV-26'!E3</f>
        <v>0</v>
      </c>
      <c r="G76" s="85">
        <f>'FEV-26'!F3</f>
        <v>0</v>
      </c>
      <c r="H76" s="85">
        <f t="shared" si="0"/>
        <v>0</v>
      </c>
      <c r="I76" s="83" t="s">
        <v>96</v>
      </c>
      <c r="J76" s="83" t="str">
        <f t="shared" si="1"/>
        <v/>
      </c>
      <c r="K76" s="85">
        <f t="shared" si="2"/>
        <v>0</v>
      </c>
      <c r="L76" s="83" t="str">
        <f t="shared" si="3"/>
        <v/>
      </c>
      <c r="M76" s="83">
        <f>'FEV-26'!H3</f>
        <v>0</v>
      </c>
      <c r="N76" s="92" t="str">
        <f ca="1">IF(BD!$C76="","",IF(AND(TODAY()&gt;BD!$C76,OR(BD!$D76="PENDENTE",BD!$D76="")),"VENCIDO",""))</f>
        <v/>
      </c>
      <c r="O76" s="82" t="str">
        <f ca="1">IF(N76 = "VENCIDO",BD!$B76,"")</f>
        <v/>
      </c>
      <c r="P76" s="82" t="str">
        <f ca="1">IF(N76 = "VENCIDO",BD!$C76,"")</f>
        <v/>
      </c>
      <c r="Q76" s="83" t="str">
        <f ca="1">IF(N76 = "VENCIDO",BD!$E76,"")</f>
        <v/>
      </c>
      <c r="R76" s="83" t="str">
        <f ca="1">IF(N76 = "VENCIDO",BD!$F76,"")</f>
        <v/>
      </c>
      <c r="S76" s="85" t="str">
        <f ca="1">IF(N76 = "VENCIDO",BD!$G76,"")</f>
        <v/>
      </c>
      <c r="T76" s="83" t="str">
        <f ca="1">IF(AND(TODAY()&gt;BD!$C76, OR(BD!$D76="PENDENTE", BD!$D76="")), TODAY()-BD!$C76, "")</f>
        <v/>
      </c>
    </row>
    <row r="77" spans="1:20" ht="14.25" customHeight="1" x14ac:dyDescent="0.35">
      <c r="A77" s="32"/>
      <c r="B77" s="82">
        <f>'FEV-26'!A4</f>
        <v>0</v>
      </c>
      <c r="C77" s="82">
        <f>'FEV-26'!B4</f>
        <v>0</v>
      </c>
      <c r="D77" s="82">
        <f>'FEV-26'!C4</f>
        <v>0</v>
      </c>
      <c r="E77" s="83">
        <f>'FEV-26'!D4</f>
        <v>0</v>
      </c>
      <c r="F77" s="84">
        <f>'FEV-26'!E4</f>
        <v>0</v>
      </c>
      <c r="G77" s="85">
        <f>'FEV-26'!F4</f>
        <v>0</v>
      </c>
      <c r="H77" s="85">
        <f t="shared" si="0"/>
        <v>0</v>
      </c>
      <c r="I77" s="83" t="s">
        <v>96</v>
      </c>
      <c r="J77" s="83" t="str">
        <f t="shared" si="1"/>
        <v/>
      </c>
      <c r="K77" s="85">
        <f t="shared" si="2"/>
        <v>0</v>
      </c>
      <c r="L77" s="83" t="str">
        <f t="shared" si="3"/>
        <v/>
      </c>
      <c r="M77" s="83">
        <f>'FEV-26'!H4</f>
        <v>0</v>
      </c>
      <c r="N77" s="92" t="str">
        <f ca="1">IF(BD!$C77="","",IF(AND(TODAY()&gt;BD!$C77,OR(BD!$D77="PENDENTE",BD!$D77="")),"VENCIDO",""))</f>
        <v/>
      </c>
      <c r="O77" s="82" t="str">
        <f ca="1">IF(N77 = "VENCIDO",BD!$B77,"")</f>
        <v/>
      </c>
      <c r="P77" s="82" t="str">
        <f ca="1">IF(N77 = "VENCIDO",BD!$C77,"")</f>
        <v/>
      </c>
      <c r="Q77" s="83" t="str">
        <f ca="1">IF(N77 = "VENCIDO",BD!$E77,"")</f>
        <v/>
      </c>
      <c r="R77" s="83" t="str">
        <f ca="1">IF(N77 = "VENCIDO",BD!$F77,"")</f>
        <v/>
      </c>
      <c r="S77" s="85" t="str">
        <f ca="1">IF(N77 = "VENCIDO",BD!$G77,"")</f>
        <v/>
      </c>
      <c r="T77" s="83" t="str">
        <f ca="1">IF(AND(TODAY()&gt;BD!$C77, OR(BD!$D77="PENDENTE", BD!$D77="")), TODAY()-BD!$C77, "")</f>
        <v/>
      </c>
    </row>
    <row r="78" spans="1:20" ht="14.25" customHeight="1" x14ac:dyDescent="0.35">
      <c r="A78" s="32"/>
      <c r="B78" s="82">
        <f>'FEV-26'!A5</f>
        <v>0</v>
      </c>
      <c r="C78" s="82">
        <f>'FEV-26'!B5</f>
        <v>0</v>
      </c>
      <c r="D78" s="82">
        <f>'FEV-26'!C5</f>
        <v>0</v>
      </c>
      <c r="E78" s="83">
        <f>'FEV-26'!D5</f>
        <v>0</v>
      </c>
      <c r="F78" s="84">
        <f>'FEV-26'!E5</f>
        <v>0</v>
      </c>
      <c r="G78" s="85">
        <f>'FEV-26'!F5</f>
        <v>0</v>
      </c>
      <c r="H78" s="85">
        <f t="shared" si="0"/>
        <v>0</v>
      </c>
      <c r="I78" s="83" t="s">
        <v>96</v>
      </c>
      <c r="J78" s="83" t="str">
        <f t="shared" si="1"/>
        <v/>
      </c>
      <c r="K78" s="85">
        <f t="shared" si="2"/>
        <v>0</v>
      </c>
      <c r="L78" s="83" t="str">
        <f t="shared" si="3"/>
        <v/>
      </c>
      <c r="M78" s="83">
        <f>'FEV-26'!H5</f>
        <v>0</v>
      </c>
      <c r="N78" s="92" t="str">
        <f ca="1">IF(BD!$C78="","",IF(AND(TODAY()&gt;BD!$C78,OR(BD!$D78="PENDENTE",BD!$D78="")),"VENCIDO",""))</f>
        <v/>
      </c>
      <c r="O78" s="82" t="str">
        <f ca="1">IF(N78 = "VENCIDO",BD!$B78,"")</f>
        <v/>
      </c>
      <c r="P78" s="82" t="str">
        <f ca="1">IF(N78 = "VENCIDO",BD!$C78,"")</f>
        <v/>
      </c>
      <c r="Q78" s="83" t="str">
        <f ca="1">IF(N78 = "VENCIDO",BD!$E78,"")</f>
        <v/>
      </c>
      <c r="R78" s="83" t="str">
        <f ca="1">IF(N78 = "VENCIDO",BD!$F78,"")</f>
        <v/>
      </c>
      <c r="S78" s="85" t="str">
        <f ca="1">IF(N78 = "VENCIDO",BD!$G78,"")</f>
        <v/>
      </c>
      <c r="T78" s="83" t="str">
        <f ca="1">IF(AND(TODAY()&gt;BD!$C78, OR(BD!$D78="PENDENTE", BD!$D78="")), TODAY()-BD!$C78, "")</f>
        <v/>
      </c>
    </row>
    <row r="79" spans="1:20" ht="14.25" customHeight="1" x14ac:dyDescent="0.35">
      <c r="A79" s="32"/>
      <c r="B79" s="82">
        <f>'FEV-26'!A6</f>
        <v>0</v>
      </c>
      <c r="C79" s="82">
        <f>'FEV-26'!B6</f>
        <v>0</v>
      </c>
      <c r="D79" s="82">
        <f>'FEV-26'!C6</f>
        <v>0</v>
      </c>
      <c r="E79" s="83">
        <f>'FEV-26'!D6</f>
        <v>0</v>
      </c>
      <c r="F79" s="84">
        <f>'FEV-26'!E6</f>
        <v>0</v>
      </c>
      <c r="G79" s="85">
        <f>'FEV-26'!F6</f>
        <v>0</v>
      </c>
      <c r="H79" s="85">
        <f t="shared" si="0"/>
        <v>0</v>
      </c>
      <c r="I79" s="83" t="s">
        <v>96</v>
      </c>
      <c r="J79" s="83" t="str">
        <f t="shared" si="1"/>
        <v/>
      </c>
      <c r="K79" s="85">
        <f t="shared" si="2"/>
        <v>0</v>
      </c>
      <c r="L79" s="83" t="str">
        <f t="shared" si="3"/>
        <v/>
      </c>
      <c r="M79" s="83">
        <f>'FEV-26'!H6</f>
        <v>0</v>
      </c>
      <c r="N79" s="92" t="str">
        <f ca="1">IF(BD!$C79="","",IF(AND(TODAY()&gt;BD!$C79,OR(BD!$D79="PENDENTE",BD!$D79="")),"VENCIDO",""))</f>
        <v/>
      </c>
      <c r="O79" s="82" t="str">
        <f ca="1">IF(N79 = "VENCIDO",BD!$B79,"")</f>
        <v/>
      </c>
      <c r="P79" s="82" t="str">
        <f ca="1">IF(N79 = "VENCIDO",BD!$C79,"")</f>
        <v/>
      </c>
      <c r="Q79" s="83" t="str">
        <f ca="1">IF(N79 = "VENCIDO",BD!$E79,"")</f>
        <v/>
      </c>
      <c r="R79" s="83" t="str">
        <f ca="1">IF(N79 = "VENCIDO",BD!$F79,"")</f>
        <v/>
      </c>
      <c r="S79" s="85" t="str">
        <f ca="1">IF(N79 = "VENCIDO",BD!$G79,"")</f>
        <v/>
      </c>
      <c r="T79" s="83" t="str">
        <f ca="1">IF(AND(TODAY()&gt;BD!$C79, OR(BD!$D79="PENDENTE", BD!$D79="")), TODAY()-BD!$C79, "")</f>
        <v/>
      </c>
    </row>
    <row r="80" spans="1:20" ht="14.25" customHeight="1" x14ac:dyDescent="0.35">
      <c r="A80" s="32"/>
      <c r="B80" s="82">
        <f>'FEV-26'!A7</f>
        <v>0</v>
      </c>
      <c r="C80" s="82">
        <f>'FEV-26'!B7</f>
        <v>0</v>
      </c>
      <c r="D80" s="82">
        <f>'FEV-26'!C7</f>
        <v>0</v>
      </c>
      <c r="E80" s="83">
        <f>'FEV-26'!D7</f>
        <v>0</v>
      </c>
      <c r="F80" s="84">
        <f>'FEV-26'!E7</f>
        <v>0</v>
      </c>
      <c r="G80" s="85">
        <f>'FEV-26'!F7</f>
        <v>0</v>
      </c>
      <c r="H80" s="85">
        <f t="shared" si="0"/>
        <v>0</v>
      </c>
      <c r="I80" s="83" t="s">
        <v>96</v>
      </c>
      <c r="J80" s="83" t="str">
        <f t="shared" si="1"/>
        <v/>
      </c>
      <c r="K80" s="85">
        <f t="shared" si="2"/>
        <v>0</v>
      </c>
      <c r="L80" s="83" t="str">
        <f t="shared" si="3"/>
        <v/>
      </c>
      <c r="M80" s="83">
        <f>'FEV-26'!H7</f>
        <v>0</v>
      </c>
      <c r="N80" s="92" t="str">
        <f ca="1">IF(BD!$C80="","",IF(AND(TODAY()&gt;BD!$C80,OR(BD!$D80="PENDENTE",BD!$D80="")),"VENCIDO",""))</f>
        <v/>
      </c>
      <c r="O80" s="82" t="str">
        <f ca="1">IF(N80 = "VENCIDO",BD!$B80,"")</f>
        <v/>
      </c>
      <c r="P80" s="82" t="str">
        <f ca="1">IF(N80 = "VENCIDO",BD!$C80,"")</f>
        <v/>
      </c>
      <c r="Q80" s="83" t="str">
        <f ca="1">IF(N80 = "VENCIDO",BD!$E80,"")</f>
        <v/>
      </c>
      <c r="R80" s="83" t="str">
        <f ca="1">IF(N80 = "VENCIDO",BD!$F80,"")</f>
        <v/>
      </c>
      <c r="S80" s="85" t="str">
        <f ca="1">IF(N80 = "VENCIDO",BD!$G80,"")</f>
        <v/>
      </c>
      <c r="T80" s="83" t="str">
        <f ca="1">IF(AND(TODAY()&gt;BD!$C80, OR(BD!$D80="PENDENTE", BD!$D80="")), TODAY()-BD!$C80, "")</f>
        <v/>
      </c>
    </row>
    <row r="81" spans="1:20" ht="14.25" customHeight="1" x14ac:dyDescent="0.35">
      <c r="A81" s="32"/>
      <c r="B81" s="82">
        <f>'FEV-26'!A8</f>
        <v>0</v>
      </c>
      <c r="C81" s="82">
        <f>'FEV-26'!B8</f>
        <v>0</v>
      </c>
      <c r="D81" s="82">
        <f>'FEV-26'!C8</f>
        <v>0</v>
      </c>
      <c r="E81" s="83">
        <f>'FEV-26'!D8</f>
        <v>0</v>
      </c>
      <c r="F81" s="84">
        <f>'FEV-26'!E8</f>
        <v>0</v>
      </c>
      <c r="G81" s="85">
        <f>'FEV-26'!F8</f>
        <v>0</v>
      </c>
      <c r="H81" s="85">
        <f t="shared" si="0"/>
        <v>0</v>
      </c>
      <c r="I81" s="83" t="s">
        <v>96</v>
      </c>
      <c r="J81" s="83" t="str">
        <f t="shared" si="1"/>
        <v/>
      </c>
      <c r="K81" s="85">
        <f t="shared" si="2"/>
        <v>0</v>
      </c>
      <c r="L81" s="83" t="str">
        <f t="shared" si="3"/>
        <v/>
      </c>
      <c r="M81" s="83">
        <f>'FEV-26'!H8</f>
        <v>0</v>
      </c>
      <c r="N81" s="92" t="str">
        <f ca="1">IF(BD!$C81="","",IF(AND(TODAY()&gt;BD!$C81,OR(BD!$D81="PENDENTE",BD!$D81="")),"VENCIDO",""))</f>
        <v/>
      </c>
      <c r="O81" s="82" t="str">
        <f ca="1">IF(N81 = "VENCIDO",BD!$B81,"")</f>
        <v/>
      </c>
      <c r="P81" s="82" t="str">
        <f ca="1">IF(N81 = "VENCIDO",BD!$C81,"")</f>
        <v/>
      </c>
      <c r="Q81" s="83" t="str">
        <f ca="1">IF(N81 = "VENCIDO",BD!$E81,"")</f>
        <v/>
      </c>
      <c r="R81" s="83" t="str">
        <f ca="1">IF(N81 = "VENCIDO",BD!$F81,"")</f>
        <v/>
      </c>
      <c r="S81" s="85" t="str">
        <f ca="1">IF(N81 = "VENCIDO",BD!$G81,"")</f>
        <v/>
      </c>
      <c r="T81" s="83" t="str">
        <f ca="1">IF(AND(TODAY()&gt;BD!$C81, OR(BD!$D81="PENDENTE", BD!$D81="")), TODAY()-BD!$C81, "")</f>
        <v/>
      </c>
    </row>
    <row r="82" spans="1:20" ht="14.25" customHeight="1" x14ac:dyDescent="0.35">
      <c r="A82" s="32"/>
      <c r="B82" s="82">
        <f>'FEV-26'!A9</f>
        <v>0</v>
      </c>
      <c r="C82" s="82">
        <f>'FEV-26'!B9</f>
        <v>0</v>
      </c>
      <c r="D82" s="82">
        <f>'FEV-26'!C9</f>
        <v>0</v>
      </c>
      <c r="E82" s="83">
        <f>'FEV-26'!D9</f>
        <v>0</v>
      </c>
      <c r="F82" s="84">
        <f>'FEV-26'!E9</f>
        <v>0</v>
      </c>
      <c r="G82" s="85">
        <f>'FEV-26'!F9</f>
        <v>0</v>
      </c>
      <c r="H82" s="85">
        <f t="shared" si="0"/>
        <v>0</v>
      </c>
      <c r="I82" s="83" t="s">
        <v>96</v>
      </c>
      <c r="J82" s="83" t="str">
        <f t="shared" si="1"/>
        <v/>
      </c>
      <c r="K82" s="85">
        <f t="shared" si="2"/>
        <v>0</v>
      </c>
      <c r="L82" s="83" t="str">
        <f t="shared" si="3"/>
        <v/>
      </c>
      <c r="M82" s="83">
        <f>'FEV-26'!H9</f>
        <v>0</v>
      </c>
      <c r="N82" s="92" t="str">
        <f ca="1">IF(BD!$C82="","",IF(AND(TODAY()&gt;BD!$C82,OR(BD!$D82="PENDENTE",BD!$D82="")),"VENCIDO",""))</f>
        <v/>
      </c>
      <c r="O82" s="82" t="str">
        <f ca="1">IF(N82 = "VENCIDO",BD!$B82,"")</f>
        <v/>
      </c>
      <c r="P82" s="82" t="str">
        <f ca="1">IF(N82 = "VENCIDO",BD!$C82,"")</f>
        <v/>
      </c>
      <c r="Q82" s="83" t="str">
        <f ca="1">IF(N82 = "VENCIDO",BD!$E82,"")</f>
        <v/>
      </c>
      <c r="R82" s="83" t="str">
        <f ca="1">IF(N82 = "VENCIDO",BD!$F82,"")</f>
        <v/>
      </c>
      <c r="S82" s="85" t="str">
        <f ca="1">IF(N82 = "VENCIDO",BD!$G82,"")</f>
        <v/>
      </c>
      <c r="T82" s="83" t="str">
        <f ca="1">IF(AND(TODAY()&gt;BD!$C82, OR(BD!$D82="PENDENTE", BD!$D82="")), TODAY()-BD!$C82, "")</f>
        <v/>
      </c>
    </row>
    <row r="83" spans="1:20" ht="14.25" customHeight="1" x14ac:dyDescent="0.35">
      <c r="A83" s="32"/>
      <c r="B83" s="82">
        <f>'FEV-26'!A10</f>
        <v>0</v>
      </c>
      <c r="C83" s="82">
        <f>'FEV-26'!B10</f>
        <v>0</v>
      </c>
      <c r="D83" s="82">
        <f>'FEV-26'!C10</f>
        <v>0</v>
      </c>
      <c r="E83" s="83">
        <f>'FEV-26'!D10</f>
        <v>0</v>
      </c>
      <c r="F83" s="84">
        <f>'FEV-26'!E10</f>
        <v>0</v>
      </c>
      <c r="G83" s="85">
        <f>'FEV-26'!F10</f>
        <v>0</v>
      </c>
      <c r="H83" s="85">
        <f t="shared" si="0"/>
        <v>0</v>
      </c>
      <c r="I83" s="83" t="s">
        <v>96</v>
      </c>
      <c r="J83" s="83" t="str">
        <f t="shared" si="1"/>
        <v/>
      </c>
      <c r="K83" s="85">
        <f t="shared" si="2"/>
        <v>0</v>
      </c>
      <c r="L83" s="83" t="str">
        <f t="shared" si="3"/>
        <v/>
      </c>
      <c r="M83" s="83">
        <f>'FEV-26'!H10</f>
        <v>0</v>
      </c>
      <c r="N83" s="92" t="str">
        <f ca="1">IF(BD!$C83="","",IF(AND(TODAY()&gt;BD!$C83,OR(BD!$D83="PENDENTE",BD!$D83="")),"VENCIDO",""))</f>
        <v/>
      </c>
      <c r="O83" s="82" t="str">
        <f ca="1">IF(N83 = "VENCIDO",BD!$B83,"")</f>
        <v/>
      </c>
      <c r="P83" s="82" t="str">
        <f ca="1">IF(N83 = "VENCIDO",BD!$C83,"")</f>
        <v/>
      </c>
      <c r="Q83" s="83" t="str">
        <f ca="1">IF(N83 = "VENCIDO",BD!$E83,"")</f>
        <v/>
      </c>
      <c r="R83" s="83" t="str">
        <f ca="1">IF(N83 = "VENCIDO",BD!$F83,"")</f>
        <v/>
      </c>
      <c r="S83" s="85" t="str">
        <f ca="1">IF(N83 = "VENCIDO",BD!$G83,"")</f>
        <v/>
      </c>
      <c r="T83" s="83" t="str">
        <f ca="1">IF(AND(TODAY()&gt;BD!$C83, OR(BD!$D83="PENDENTE", BD!$D83="")), TODAY()-BD!$C83, "")</f>
        <v/>
      </c>
    </row>
    <row r="84" spans="1:20" ht="14.25" customHeight="1" x14ac:dyDescent="0.35">
      <c r="A84" s="32"/>
      <c r="B84" s="82">
        <f>'FEV-26'!A11</f>
        <v>0</v>
      </c>
      <c r="C84" s="82">
        <f>'FEV-26'!B11</f>
        <v>0</v>
      </c>
      <c r="D84" s="82">
        <f>'FEV-26'!C11</f>
        <v>0</v>
      </c>
      <c r="E84" s="83">
        <f>'FEV-26'!D11</f>
        <v>0</v>
      </c>
      <c r="F84" s="84">
        <f>'FEV-26'!E11</f>
        <v>0</v>
      </c>
      <c r="G84" s="85">
        <f>'FEV-26'!F11</f>
        <v>0</v>
      </c>
      <c r="H84" s="85">
        <f t="shared" si="0"/>
        <v>0</v>
      </c>
      <c r="I84" s="83" t="s">
        <v>96</v>
      </c>
      <c r="J84" s="83" t="str">
        <f t="shared" si="1"/>
        <v/>
      </c>
      <c r="K84" s="85">
        <f t="shared" si="2"/>
        <v>0</v>
      </c>
      <c r="L84" s="83" t="str">
        <f t="shared" si="3"/>
        <v/>
      </c>
      <c r="M84" s="83">
        <f>'FEV-26'!H11</f>
        <v>0</v>
      </c>
      <c r="N84" s="92" t="str">
        <f ca="1">IF(BD!$C84="","",IF(AND(TODAY()&gt;BD!$C84,OR(BD!$D84="PENDENTE",BD!$D84="")),"VENCIDO",""))</f>
        <v/>
      </c>
      <c r="O84" s="82" t="str">
        <f ca="1">IF(N84 = "VENCIDO",BD!$B84,"")</f>
        <v/>
      </c>
      <c r="P84" s="82" t="str">
        <f ca="1">IF(N84 = "VENCIDO",BD!$C84,"")</f>
        <v/>
      </c>
      <c r="Q84" s="83" t="str">
        <f ca="1">IF(N84 = "VENCIDO",BD!$E84,"")</f>
        <v/>
      </c>
      <c r="R84" s="83" t="str">
        <f ca="1">IF(N84 = "VENCIDO",BD!$F84,"")</f>
        <v/>
      </c>
      <c r="S84" s="85" t="str">
        <f ca="1">IF(N84 = "VENCIDO",BD!$G84,"")</f>
        <v/>
      </c>
      <c r="T84" s="83" t="str">
        <f ca="1">IF(AND(TODAY()&gt;BD!$C84, OR(BD!$D84="PENDENTE", BD!$D84="")), TODAY()-BD!$C84, "")</f>
        <v/>
      </c>
    </row>
    <row r="85" spans="1:20" ht="14.25" customHeight="1" x14ac:dyDescent="0.35">
      <c r="A85" s="32"/>
      <c r="B85" s="82">
        <f>'FEV-26'!A12</f>
        <v>0</v>
      </c>
      <c r="C85" s="82">
        <f>'FEV-26'!B12</f>
        <v>0</v>
      </c>
      <c r="D85" s="82">
        <f>'FEV-26'!C12</f>
        <v>0</v>
      </c>
      <c r="E85" s="83">
        <f>'FEV-26'!D12</f>
        <v>0</v>
      </c>
      <c r="F85" s="84">
        <f>'FEV-26'!E12</f>
        <v>0</v>
      </c>
      <c r="G85" s="85">
        <f>'FEV-26'!F12</f>
        <v>0</v>
      </c>
      <c r="H85" s="85">
        <f t="shared" si="0"/>
        <v>0</v>
      </c>
      <c r="I85" s="83" t="s">
        <v>96</v>
      </c>
      <c r="J85" s="83" t="str">
        <f t="shared" si="1"/>
        <v/>
      </c>
      <c r="K85" s="85">
        <f t="shared" si="2"/>
        <v>0</v>
      </c>
      <c r="L85" s="83" t="str">
        <f t="shared" si="3"/>
        <v/>
      </c>
      <c r="M85" s="83">
        <f>'FEV-26'!H12</f>
        <v>0</v>
      </c>
      <c r="N85" s="92" t="str">
        <f ca="1">IF(BD!$C85="","",IF(AND(TODAY()&gt;BD!$C85,OR(BD!$D85="PENDENTE",BD!$D85="")),"VENCIDO",""))</f>
        <v/>
      </c>
      <c r="O85" s="82" t="str">
        <f ca="1">IF(N85 = "VENCIDO",BD!$B85,"")</f>
        <v/>
      </c>
      <c r="P85" s="82" t="str">
        <f ca="1">IF(N85 = "VENCIDO",BD!$C85,"")</f>
        <v/>
      </c>
      <c r="Q85" s="83" t="str">
        <f ca="1">IF(N85 = "VENCIDO",BD!$E85,"")</f>
        <v/>
      </c>
      <c r="R85" s="83" t="str">
        <f ca="1">IF(N85 = "VENCIDO",BD!$F85,"")</f>
        <v/>
      </c>
      <c r="S85" s="85" t="str">
        <f ca="1">IF(N85 = "VENCIDO",BD!$G85,"")</f>
        <v/>
      </c>
      <c r="T85" s="83" t="str">
        <f ca="1">IF(AND(TODAY()&gt;BD!$C85, OR(BD!$D85="PENDENTE", BD!$D85="")), TODAY()-BD!$C85, "")</f>
        <v/>
      </c>
    </row>
    <row r="86" spans="1:20" ht="14.25" customHeight="1" x14ac:dyDescent="0.35">
      <c r="A86" s="32"/>
      <c r="B86" s="82">
        <f>'FEV-26'!A13</f>
        <v>0</v>
      </c>
      <c r="C86" s="82">
        <f>'FEV-26'!B13</f>
        <v>0</v>
      </c>
      <c r="D86" s="82">
        <f>'FEV-26'!C13</f>
        <v>0</v>
      </c>
      <c r="E86" s="83">
        <f>'FEV-26'!D13</f>
        <v>0</v>
      </c>
      <c r="F86" s="84">
        <f>'FEV-26'!E13</f>
        <v>0</v>
      </c>
      <c r="G86" s="85">
        <f>'FEV-26'!F13</f>
        <v>0</v>
      </c>
      <c r="H86" s="85">
        <f t="shared" si="0"/>
        <v>0</v>
      </c>
      <c r="I86" s="83" t="s">
        <v>96</v>
      </c>
      <c r="J86" s="83" t="str">
        <f t="shared" si="1"/>
        <v/>
      </c>
      <c r="K86" s="85">
        <f t="shared" si="2"/>
        <v>0</v>
      </c>
      <c r="L86" s="83" t="str">
        <f t="shared" si="3"/>
        <v/>
      </c>
      <c r="M86" s="83">
        <f>'FEV-26'!H13</f>
        <v>0</v>
      </c>
      <c r="N86" s="92" t="str">
        <f ca="1">IF(BD!$C86="","",IF(AND(TODAY()&gt;BD!$C86,OR(BD!$D86="PENDENTE",BD!$D86="")),"VENCIDO",""))</f>
        <v/>
      </c>
      <c r="O86" s="82" t="str">
        <f ca="1">IF(N86 = "VENCIDO",BD!$B86,"")</f>
        <v/>
      </c>
      <c r="P86" s="82" t="str">
        <f ca="1">IF(N86 = "VENCIDO",BD!$C86,"")</f>
        <v/>
      </c>
      <c r="Q86" s="83" t="str">
        <f ca="1">IF(N86 = "VENCIDO",BD!$E86,"")</f>
        <v/>
      </c>
      <c r="R86" s="83" t="str">
        <f ca="1">IF(N86 = "VENCIDO",BD!$F86,"")</f>
        <v/>
      </c>
      <c r="S86" s="85" t="str">
        <f ca="1">IF(N86 = "VENCIDO",BD!$G86,"")</f>
        <v/>
      </c>
      <c r="T86" s="83" t="str">
        <f ca="1">IF(AND(TODAY()&gt;BD!$C86, OR(BD!$D86="PENDENTE", BD!$D86="")), TODAY()-BD!$C86, "")</f>
        <v/>
      </c>
    </row>
    <row r="87" spans="1:20" ht="14.25" customHeight="1" x14ac:dyDescent="0.35">
      <c r="A87" s="32"/>
      <c r="B87" s="82">
        <f>'FEV-26'!A14</f>
        <v>0</v>
      </c>
      <c r="C87" s="82">
        <f>'FEV-26'!B14</f>
        <v>0</v>
      </c>
      <c r="D87" s="82">
        <f>'FEV-26'!C14</f>
        <v>0</v>
      </c>
      <c r="E87" s="83">
        <f>'FEV-26'!D14</f>
        <v>0</v>
      </c>
      <c r="F87" s="84">
        <f>'FEV-26'!E14</f>
        <v>0</v>
      </c>
      <c r="G87" s="85">
        <f>'FEV-26'!F14</f>
        <v>0</v>
      </c>
      <c r="H87" s="85">
        <f t="shared" si="0"/>
        <v>0</v>
      </c>
      <c r="I87" s="83" t="s">
        <v>96</v>
      </c>
      <c r="J87" s="83" t="str">
        <f t="shared" si="1"/>
        <v/>
      </c>
      <c r="K87" s="85">
        <f t="shared" si="2"/>
        <v>0</v>
      </c>
      <c r="L87" s="83" t="str">
        <f t="shared" si="3"/>
        <v/>
      </c>
      <c r="M87" s="83">
        <f>'FEV-26'!H14</f>
        <v>0</v>
      </c>
      <c r="N87" s="92" t="str">
        <f ca="1">IF(BD!$C87="","",IF(AND(TODAY()&gt;BD!$C87,OR(BD!$D87="PENDENTE",BD!$D87="")),"VENCIDO",""))</f>
        <v/>
      </c>
      <c r="O87" s="82" t="str">
        <f ca="1">IF(N87 = "VENCIDO",BD!$B87,"")</f>
        <v/>
      </c>
      <c r="P87" s="82" t="str">
        <f ca="1">IF(N87 = "VENCIDO",BD!$C87,"")</f>
        <v/>
      </c>
      <c r="Q87" s="83" t="str">
        <f ca="1">IF(N87 = "VENCIDO",BD!$E87,"")</f>
        <v/>
      </c>
      <c r="R87" s="83" t="str">
        <f ca="1">IF(N87 = "VENCIDO",BD!$F87,"")</f>
        <v/>
      </c>
      <c r="S87" s="85" t="str">
        <f ca="1">IF(N87 = "VENCIDO",BD!$G87,"")</f>
        <v/>
      </c>
      <c r="T87" s="83" t="str">
        <f ca="1">IF(AND(TODAY()&gt;BD!$C87, OR(BD!$D87="PENDENTE", BD!$D87="")), TODAY()-BD!$C87, "")</f>
        <v/>
      </c>
    </row>
    <row r="88" spans="1:20" ht="14.25" customHeight="1" x14ac:dyDescent="0.35">
      <c r="A88" s="32"/>
      <c r="B88" s="82">
        <f>'FEV-26'!A15</f>
        <v>0</v>
      </c>
      <c r="C88" s="82">
        <f>'FEV-26'!B15</f>
        <v>0</v>
      </c>
      <c r="D88" s="82">
        <f>'FEV-26'!C15</f>
        <v>0</v>
      </c>
      <c r="E88" s="83">
        <f>'FEV-26'!D15</f>
        <v>0</v>
      </c>
      <c r="F88" s="84">
        <f>'FEV-26'!E15</f>
        <v>0</v>
      </c>
      <c r="G88" s="85">
        <f>'FEV-26'!F15</f>
        <v>0</v>
      </c>
      <c r="H88" s="85">
        <f t="shared" si="0"/>
        <v>0</v>
      </c>
      <c r="I88" s="83" t="s">
        <v>96</v>
      </c>
      <c r="J88" s="83" t="str">
        <f t="shared" si="1"/>
        <v/>
      </c>
      <c r="K88" s="85">
        <f t="shared" si="2"/>
        <v>0</v>
      </c>
      <c r="L88" s="83" t="str">
        <f t="shared" si="3"/>
        <v/>
      </c>
      <c r="M88" s="83">
        <f>'FEV-26'!H15</f>
        <v>0</v>
      </c>
      <c r="N88" s="92" t="str">
        <f ca="1">IF(BD!$C88="","",IF(AND(TODAY()&gt;BD!$C88,OR(BD!$D88="PENDENTE",BD!$D88="")),"VENCIDO",""))</f>
        <v/>
      </c>
      <c r="O88" s="82" t="str">
        <f ca="1">IF(N88 = "VENCIDO",BD!$B88,"")</f>
        <v/>
      </c>
      <c r="P88" s="82" t="str">
        <f ca="1">IF(N88 = "VENCIDO",BD!$C88,"")</f>
        <v/>
      </c>
      <c r="Q88" s="83" t="str">
        <f ca="1">IF(N88 = "VENCIDO",BD!$E88,"")</f>
        <v/>
      </c>
      <c r="R88" s="83" t="str">
        <f ca="1">IF(N88 = "VENCIDO",BD!$F88,"")</f>
        <v/>
      </c>
      <c r="S88" s="85" t="str">
        <f ca="1">IF(N88 = "VENCIDO",BD!$G88,"")</f>
        <v/>
      </c>
      <c r="T88" s="83" t="str">
        <f ca="1">IF(AND(TODAY()&gt;BD!$C88, OR(BD!$D88="PENDENTE", BD!$D88="")), TODAY()-BD!$C88, "")</f>
        <v/>
      </c>
    </row>
    <row r="89" spans="1:20" ht="14.25" customHeight="1" x14ac:dyDescent="0.35">
      <c r="A89" s="32"/>
      <c r="B89" s="82">
        <f>'FEV-26'!A16</f>
        <v>0</v>
      </c>
      <c r="C89" s="82">
        <f>'FEV-26'!B16</f>
        <v>0</v>
      </c>
      <c r="D89" s="82">
        <f>'FEV-26'!C16</f>
        <v>0</v>
      </c>
      <c r="E89" s="83">
        <f>'FEV-26'!D16</f>
        <v>0</v>
      </c>
      <c r="F89" s="84">
        <f>'FEV-26'!E16</f>
        <v>0</v>
      </c>
      <c r="G89" s="85">
        <f>'FEV-26'!F16</f>
        <v>0</v>
      </c>
      <c r="H89" s="85">
        <f t="shared" si="0"/>
        <v>0</v>
      </c>
      <c r="I89" s="83" t="s">
        <v>96</v>
      </c>
      <c r="J89" s="83" t="str">
        <f t="shared" si="1"/>
        <v/>
      </c>
      <c r="K89" s="85">
        <f t="shared" si="2"/>
        <v>0</v>
      </c>
      <c r="L89" s="83" t="str">
        <f t="shared" si="3"/>
        <v/>
      </c>
      <c r="M89" s="83">
        <f>'FEV-26'!H16</f>
        <v>0</v>
      </c>
      <c r="N89" s="92" t="str">
        <f ca="1">IF(BD!$C89="","",IF(AND(TODAY()&gt;BD!$C89,OR(BD!$D89="PENDENTE",BD!$D89="")),"VENCIDO",""))</f>
        <v/>
      </c>
      <c r="O89" s="82" t="str">
        <f ca="1">IF(N89 = "VENCIDO",BD!$B89,"")</f>
        <v/>
      </c>
      <c r="P89" s="82" t="str">
        <f ca="1">IF(N89 = "VENCIDO",BD!$C89,"")</f>
        <v/>
      </c>
      <c r="Q89" s="83" t="str">
        <f ca="1">IF(N89 = "VENCIDO",BD!$E89,"")</f>
        <v/>
      </c>
      <c r="R89" s="83" t="str">
        <f ca="1">IF(N89 = "VENCIDO",BD!$F89,"")</f>
        <v/>
      </c>
      <c r="S89" s="85" t="str">
        <f ca="1">IF(N89 = "VENCIDO",BD!$G89,"")</f>
        <v/>
      </c>
      <c r="T89" s="83" t="str">
        <f ca="1">IF(AND(TODAY()&gt;BD!$C89, OR(BD!$D89="PENDENTE", BD!$D89="")), TODAY()-BD!$C89, "")</f>
        <v/>
      </c>
    </row>
    <row r="90" spans="1:20" ht="14.25" customHeight="1" x14ac:dyDescent="0.35">
      <c r="A90" s="32"/>
      <c r="B90" s="82">
        <f>'FEV-26'!A17</f>
        <v>0</v>
      </c>
      <c r="C90" s="82">
        <f>'FEV-26'!B17</f>
        <v>0</v>
      </c>
      <c r="D90" s="82">
        <f>'FEV-26'!C17</f>
        <v>0</v>
      </c>
      <c r="E90" s="83">
        <f>'FEV-26'!D17</f>
        <v>0</v>
      </c>
      <c r="F90" s="84">
        <f>'FEV-26'!E17</f>
        <v>0</v>
      </c>
      <c r="G90" s="85">
        <f>'FEV-26'!F17</f>
        <v>0</v>
      </c>
      <c r="H90" s="85">
        <f t="shared" si="0"/>
        <v>0</v>
      </c>
      <c r="I90" s="83" t="s">
        <v>96</v>
      </c>
      <c r="J90" s="83" t="str">
        <f t="shared" si="1"/>
        <v/>
      </c>
      <c r="K90" s="85">
        <f t="shared" si="2"/>
        <v>0</v>
      </c>
      <c r="L90" s="83" t="str">
        <f t="shared" si="3"/>
        <v/>
      </c>
      <c r="M90" s="83">
        <f>'FEV-26'!H17</f>
        <v>0</v>
      </c>
      <c r="N90" s="92" t="str">
        <f ca="1">IF(BD!$C90="","",IF(AND(TODAY()&gt;BD!$C90,OR(BD!$D90="PENDENTE",BD!$D90="")),"VENCIDO",""))</f>
        <v/>
      </c>
      <c r="O90" s="82" t="str">
        <f ca="1">IF(N90 = "VENCIDO",BD!$B90,"")</f>
        <v/>
      </c>
      <c r="P90" s="82" t="str">
        <f ca="1">IF(N90 = "VENCIDO",BD!$C90,"")</f>
        <v/>
      </c>
      <c r="Q90" s="83" t="str">
        <f ca="1">IF(N90 = "VENCIDO",BD!$E90,"")</f>
        <v/>
      </c>
      <c r="R90" s="83" t="str">
        <f ca="1">IF(N90 = "VENCIDO",BD!$F90,"")</f>
        <v/>
      </c>
      <c r="S90" s="85" t="str">
        <f ca="1">IF(N90 = "VENCIDO",BD!$G90,"")</f>
        <v/>
      </c>
      <c r="T90" s="83" t="str">
        <f ca="1">IF(AND(TODAY()&gt;BD!$C90, OR(BD!$D90="PENDENTE", BD!$D90="")), TODAY()-BD!$C90, "")</f>
        <v/>
      </c>
    </row>
    <row r="91" spans="1:20" ht="14.25" customHeight="1" x14ac:dyDescent="0.35">
      <c r="A91" s="32"/>
      <c r="B91" s="82">
        <f>'FEV-26'!A18</f>
        <v>0</v>
      </c>
      <c r="C91" s="82">
        <f>'FEV-26'!B18</f>
        <v>0</v>
      </c>
      <c r="D91" s="82">
        <f>'FEV-26'!C18</f>
        <v>0</v>
      </c>
      <c r="E91" s="83">
        <f>'FEV-26'!D18</f>
        <v>0</v>
      </c>
      <c r="F91" s="84">
        <f>'FEV-26'!E18</f>
        <v>0</v>
      </c>
      <c r="G91" s="85">
        <f>'FEV-26'!F18</f>
        <v>0</v>
      </c>
      <c r="H91" s="85">
        <f t="shared" si="0"/>
        <v>0</v>
      </c>
      <c r="I91" s="83" t="s">
        <v>96</v>
      </c>
      <c r="J91" s="83" t="str">
        <f t="shared" si="1"/>
        <v/>
      </c>
      <c r="K91" s="85">
        <f t="shared" si="2"/>
        <v>0</v>
      </c>
      <c r="L91" s="83" t="str">
        <f t="shared" si="3"/>
        <v/>
      </c>
      <c r="M91" s="83">
        <f>'FEV-26'!H18</f>
        <v>0</v>
      </c>
      <c r="N91" s="92" t="str">
        <f ca="1">IF(BD!$C91="","",IF(AND(TODAY()&gt;BD!$C91,OR(BD!$D91="PENDENTE",BD!$D91="")),"VENCIDO",""))</f>
        <v/>
      </c>
      <c r="O91" s="82" t="str">
        <f ca="1">IF(N91 = "VENCIDO",BD!$B91,"")</f>
        <v/>
      </c>
      <c r="P91" s="82" t="str">
        <f ca="1">IF(N91 = "VENCIDO",BD!$C91,"")</f>
        <v/>
      </c>
      <c r="Q91" s="83" t="str">
        <f ca="1">IF(N91 = "VENCIDO",BD!$E91,"")</f>
        <v/>
      </c>
      <c r="R91" s="83" t="str">
        <f ca="1">IF(N91 = "VENCIDO",BD!$F91,"")</f>
        <v/>
      </c>
      <c r="S91" s="85" t="str">
        <f ca="1">IF(N91 = "VENCIDO",BD!$G91,"")</f>
        <v/>
      </c>
      <c r="T91" s="83" t="str">
        <f ca="1">IF(AND(TODAY()&gt;BD!$C91, OR(BD!$D91="PENDENTE", BD!$D91="")), TODAY()-BD!$C91, "")</f>
        <v/>
      </c>
    </row>
    <row r="92" spans="1:20" ht="14.25" customHeight="1" x14ac:dyDescent="0.35">
      <c r="A92" s="32"/>
      <c r="B92" s="82">
        <f>'FEV-26'!A19</f>
        <v>0</v>
      </c>
      <c r="C92" s="82">
        <f>'FEV-26'!B19</f>
        <v>0</v>
      </c>
      <c r="D92" s="82">
        <f>'FEV-26'!C19</f>
        <v>0</v>
      </c>
      <c r="E92" s="83">
        <f>'FEV-26'!D19</f>
        <v>0</v>
      </c>
      <c r="F92" s="84">
        <f>'FEV-26'!E19</f>
        <v>0</v>
      </c>
      <c r="G92" s="85">
        <f>'FEV-26'!F19</f>
        <v>0</v>
      </c>
      <c r="H92" s="85">
        <f t="shared" si="0"/>
        <v>0</v>
      </c>
      <c r="I92" s="83" t="s">
        <v>96</v>
      </c>
      <c r="J92" s="83" t="str">
        <f t="shared" si="1"/>
        <v/>
      </c>
      <c r="K92" s="85">
        <f t="shared" si="2"/>
        <v>0</v>
      </c>
      <c r="L92" s="83" t="str">
        <f t="shared" si="3"/>
        <v/>
      </c>
      <c r="M92" s="83">
        <f>'FEV-26'!H19</f>
        <v>0</v>
      </c>
      <c r="N92" s="92" t="str">
        <f ca="1">IF(BD!$C92="","",IF(AND(TODAY()&gt;BD!$C92,OR(BD!$D92="PENDENTE",BD!$D92="")),"VENCIDO",""))</f>
        <v/>
      </c>
      <c r="O92" s="82" t="str">
        <f ca="1">IF(N92 = "VENCIDO",BD!$B92,"")</f>
        <v/>
      </c>
      <c r="P92" s="82" t="str">
        <f ca="1">IF(N92 = "VENCIDO",BD!$C92,"")</f>
        <v/>
      </c>
      <c r="Q92" s="83" t="str">
        <f ca="1">IF(N92 = "VENCIDO",BD!$E92,"")</f>
        <v/>
      </c>
      <c r="R92" s="83" t="str">
        <f ca="1">IF(N92 = "VENCIDO",BD!$F92,"")</f>
        <v/>
      </c>
      <c r="S92" s="85" t="str">
        <f ca="1">IF(N92 = "VENCIDO",BD!$G92,"")</f>
        <v/>
      </c>
      <c r="T92" s="83" t="str">
        <f ca="1">IF(AND(TODAY()&gt;BD!$C92, OR(BD!$D92="PENDENTE", BD!$D92="")), TODAY()-BD!$C92, "")</f>
        <v/>
      </c>
    </row>
    <row r="93" spans="1:20" ht="14.25" customHeight="1" x14ac:dyDescent="0.35">
      <c r="A93" s="32"/>
      <c r="B93" s="82">
        <f>'FEV-26'!A20</f>
        <v>0</v>
      </c>
      <c r="C93" s="82">
        <f>'FEV-26'!B20</f>
        <v>0</v>
      </c>
      <c r="D93" s="82">
        <f>'FEV-26'!C20</f>
        <v>0</v>
      </c>
      <c r="E93" s="83">
        <f>'FEV-26'!D20</f>
        <v>0</v>
      </c>
      <c r="F93" s="84">
        <f>'FEV-26'!E20</f>
        <v>0</v>
      </c>
      <c r="G93" s="85">
        <f>'FEV-26'!F20</f>
        <v>0</v>
      </c>
      <c r="H93" s="85">
        <f t="shared" si="0"/>
        <v>0</v>
      </c>
      <c r="I93" s="83" t="s">
        <v>96</v>
      </c>
      <c r="J93" s="83" t="str">
        <f t="shared" si="1"/>
        <v/>
      </c>
      <c r="K93" s="85">
        <f t="shared" si="2"/>
        <v>0</v>
      </c>
      <c r="L93" s="83" t="str">
        <f t="shared" si="3"/>
        <v/>
      </c>
      <c r="M93" s="83">
        <f>'FEV-26'!H20</f>
        <v>0</v>
      </c>
      <c r="N93" s="92" t="str">
        <f ca="1">IF(BD!$C93="","",IF(AND(TODAY()&gt;BD!$C93,OR(BD!$D93="PENDENTE",BD!$D93="")),"VENCIDO",""))</f>
        <v/>
      </c>
      <c r="O93" s="82" t="str">
        <f ca="1">IF(N93 = "VENCIDO",BD!$B93,"")</f>
        <v/>
      </c>
      <c r="P93" s="82" t="str">
        <f ca="1">IF(N93 = "VENCIDO",BD!$C93,"")</f>
        <v/>
      </c>
      <c r="Q93" s="83" t="str">
        <f ca="1">IF(N93 = "VENCIDO",BD!$E93,"")</f>
        <v/>
      </c>
      <c r="R93" s="83" t="str">
        <f ca="1">IF(N93 = "VENCIDO",BD!$F93,"")</f>
        <v/>
      </c>
      <c r="S93" s="85" t="str">
        <f ca="1">IF(N93 = "VENCIDO",BD!$G93,"")</f>
        <v/>
      </c>
      <c r="T93" s="83" t="str">
        <f ca="1">IF(AND(TODAY()&gt;BD!$C93, OR(BD!$D93="PENDENTE", BD!$D93="")), TODAY()-BD!$C93, "")</f>
        <v/>
      </c>
    </row>
    <row r="94" spans="1:20" ht="14.25" customHeight="1" x14ac:dyDescent="0.35">
      <c r="A94" s="32"/>
      <c r="B94" s="82">
        <f>'FEV-26'!A21</f>
        <v>0</v>
      </c>
      <c r="C94" s="82">
        <f>'FEV-26'!B21</f>
        <v>0</v>
      </c>
      <c r="D94" s="82">
        <f>'FEV-26'!C21</f>
        <v>0</v>
      </c>
      <c r="E94" s="83">
        <f>'FEV-26'!D21</f>
        <v>0</v>
      </c>
      <c r="F94" s="84">
        <f>'FEV-26'!E21</f>
        <v>0</v>
      </c>
      <c r="G94" s="85">
        <f>'FEV-26'!F21</f>
        <v>0</v>
      </c>
      <c r="H94" s="85">
        <f t="shared" si="0"/>
        <v>0</v>
      </c>
      <c r="I94" s="83" t="s">
        <v>96</v>
      </c>
      <c r="J94" s="83" t="str">
        <f t="shared" si="1"/>
        <v/>
      </c>
      <c r="K94" s="85">
        <f t="shared" si="2"/>
        <v>0</v>
      </c>
      <c r="L94" s="83" t="str">
        <f t="shared" si="3"/>
        <v/>
      </c>
      <c r="M94" s="83">
        <f>'FEV-26'!H21</f>
        <v>0</v>
      </c>
      <c r="N94" s="92" t="str">
        <f ca="1">IF(BD!$C94="","",IF(AND(TODAY()&gt;BD!$C94,OR(BD!$D94="PENDENTE",BD!$D94="")),"VENCIDO",""))</f>
        <v/>
      </c>
      <c r="O94" s="82" t="str">
        <f ca="1">IF(N94 = "VENCIDO",BD!$B94,"")</f>
        <v/>
      </c>
      <c r="P94" s="82" t="str">
        <f ca="1">IF(N94 = "VENCIDO",BD!$C94,"")</f>
        <v/>
      </c>
      <c r="Q94" s="83" t="str">
        <f ca="1">IF(N94 = "VENCIDO",BD!$E94,"")</f>
        <v/>
      </c>
      <c r="R94" s="83" t="str">
        <f ca="1">IF(N94 = "VENCIDO",BD!$F94,"")</f>
        <v/>
      </c>
      <c r="S94" s="85" t="str">
        <f ca="1">IF(N94 = "VENCIDO",BD!$G94,"")</f>
        <v/>
      </c>
      <c r="T94" s="83" t="str">
        <f ca="1">IF(AND(TODAY()&gt;BD!$C94, OR(BD!$D94="PENDENTE", BD!$D94="")), TODAY()-BD!$C94, "")</f>
        <v/>
      </c>
    </row>
    <row r="95" spans="1:20" ht="14.25" customHeight="1" x14ac:dyDescent="0.35">
      <c r="A95" s="32"/>
      <c r="B95" s="82">
        <f>'FEV-26'!A22</f>
        <v>0</v>
      </c>
      <c r="C95" s="82">
        <f>'FEV-26'!B22</f>
        <v>0</v>
      </c>
      <c r="D95" s="82">
        <f>'FEV-26'!C22</f>
        <v>0</v>
      </c>
      <c r="E95" s="83">
        <f>'FEV-26'!D22</f>
        <v>0</v>
      </c>
      <c r="F95" s="84">
        <f>'FEV-26'!E22</f>
        <v>0</v>
      </c>
      <c r="G95" s="85">
        <f>'FEV-26'!F22</f>
        <v>0</v>
      </c>
      <c r="H95" s="85">
        <f t="shared" si="0"/>
        <v>0</v>
      </c>
      <c r="I95" s="83" t="s">
        <v>96</v>
      </c>
      <c r="J95" s="83" t="str">
        <f t="shared" si="1"/>
        <v/>
      </c>
      <c r="K95" s="85">
        <f t="shared" si="2"/>
        <v>0</v>
      </c>
      <c r="L95" s="83" t="str">
        <f t="shared" si="3"/>
        <v/>
      </c>
      <c r="M95" s="83">
        <f>'FEV-26'!H22</f>
        <v>0</v>
      </c>
      <c r="N95" s="92" t="str">
        <f ca="1">IF(BD!$C95="","",IF(AND(TODAY()&gt;BD!$C95,OR(BD!$D95="PENDENTE",BD!$D95="")),"VENCIDO",""))</f>
        <v/>
      </c>
      <c r="O95" s="82" t="str">
        <f ca="1">IF(N95 = "VENCIDO",BD!$B95,"")</f>
        <v/>
      </c>
      <c r="P95" s="82" t="str">
        <f ca="1">IF(N95 = "VENCIDO",BD!$C95,"")</f>
        <v/>
      </c>
      <c r="Q95" s="83" t="str">
        <f ca="1">IF(N95 = "VENCIDO",BD!$E95,"")</f>
        <v/>
      </c>
      <c r="R95" s="83" t="str">
        <f ca="1">IF(N95 = "VENCIDO",BD!$F95,"")</f>
        <v/>
      </c>
      <c r="S95" s="85" t="str">
        <f ca="1">IF(N95 = "VENCIDO",BD!$G95,"")</f>
        <v/>
      </c>
      <c r="T95" s="83" t="str">
        <f ca="1">IF(AND(TODAY()&gt;BD!$C95, OR(BD!$D95="PENDENTE", BD!$D95="")), TODAY()-BD!$C95, "")</f>
        <v/>
      </c>
    </row>
    <row r="96" spans="1:20" ht="14.25" customHeight="1" x14ac:dyDescent="0.35">
      <c r="A96" s="32"/>
      <c r="B96" s="82">
        <f>'FEV-26'!A23</f>
        <v>0</v>
      </c>
      <c r="C96" s="82">
        <f>'FEV-26'!B23</f>
        <v>0</v>
      </c>
      <c r="D96" s="82">
        <f>'FEV-26'!C23</f>
        <v>0</v>
      </c>
      <c r="E96" s="83">
        <f>'FEV-26'!D23</f>
        <v>0</v>
      </c>
      <c r="F96" s="84">
        <f>'FEV-26'!E23</f>
        <v>0</v>
      </c>
      <c r="G96" s="85">
        <f>'FEV-26'!F23</f>
        <v>0</v>
      </c>
      <c r="H96" s="85">
        <f t="shared" si="0"/>
        <v>0</v>
      </c>
      <c r="I96" s="83" t="s">
        <v>96</v>
      </c>
      <c r="J96" s="83" t="str">
        <f t="shared" si="1"/>
        <v/>
      </c>
      <c r="K96" s="85">
        <f t="shared" si="2"/>
        <v>0</v>
      </c>
      <c r="L96" s="83" t="str">
        <f t="shared" si="3"/>
        <v/>
      </c>
      <c r="M96" s="83">
        <f>'FEV-26'!H23</f>
        <v>0</v>
      </c>
      <c r="N96" s="92" t="str">
        <f ca="1">IF(BD!$C96="","",IF(AND(TODAY()&gt;BD!$C96,OR(BD!$D96="PENDENTE",BD!$D96="")),"VENCIDO",""))</f>
        <v/>
      </c>
      <c r="O96" s="82" t="str">
        <f ca="1">IF(N96 = "VENCIDO",BD!$B96,"")</f>
        <v/>
      </c>
      <c r="P96" s="82" t="str">
        <f ca="1">IF(N96 = "VENCIDO",BD!$C96,"")</f>
        <v/>
      </c>
      <c r="Q96" s="83" t="str">
        <f ca="1">IF(N96 = "VENCIDO",BD!$E96,"")</f>
        <v/>
      </c>
      <c r="R96" s="83" t="str">
        <f ca="1">IF(N96 = "VENCIDO",BD!$F96,"")</f>
        <v/>
      </c>
      <c r="S96" s="85" t="str">
        <f ca="1">IF(N96 = "VENCIDO",BD!$G96,"")</f>
        <v/>
      </c>
      <c r="T96" s="83" t="str">
        <f ca="1">IF(AND(TODAY()&gt;BD!$C96, OR(BD!$D96="PENDENTE", BD!$D96="")), TODAY()-BD!$C96, "")</f>
        <v/>
      </c>
    </row>
    <row r="97" spans="1:20" ht="14.25" customHeight="1" x14ac:dyDescent="0.35">
      <c r="A97" s="32"/>
      <c r="B97" s="82">
        <f>'FEV-26'!A24</f>
        <v>0</v>
      </c>
      <c r="C97" s="82">
        <f>'FEV-26'!B24</f>
        <v>0</v>
      </c>
      <c r="D97" s="82">
        <f>'FEV-26'!C24</f>
        <v>0</v>
      </c>
      <c r="E97" s="83">
        <f>'FEV-26'!D24</f>
        <v>0</v>
      </c>
      <c r="F97" s="84">
        <f>'FEV-26'!E24</f>
        <v>0</v>
      </c>
      <c r="G97" s="85">
        <f>'FEV-26'!F24</f>
        <v>0</v>
      </c>
      <c r="H97" s="85">
        <f t="shared" si="0"/>
        <v>0</v>
      </c>
      <c r="I97" s="83" t="s">
        <v>96</v>
      </c>
      <c r="J97" s="83" t="str">
        <f t="shared" si="1"/>
        <v/>
      </c>
      <c r="K97" s="85">
        <f t="shared" si="2"/>
        <v>0</v>
      </c>
      <c r="L97" s="83" t="str">
        <f t="shared" si="3"/>
        <v/>
      </c>
      <c r="M97" s="83">
        <f>'FEV-26'!H24</f>
        <v>0</v>
      </c>
      <c r="N97" s="92" t="str">
        <f ca="1">IF(BD!$C97="","",IF(AND(TODAY()&gt;BD!$C97,OR(BD!$D97="PENDENTE",BD!$D97="")),"VENCIDO",""))</f>
        <v/>
      </c>
      <c r="O97" s="82" t="str">
        <f ca="1">IF(N97 = "VENCIDO",BD!$B97,"")</f>
        <v/>
      </c>
      <c r="P97" s="82" t="str">
        <f ca="1">IF(N97 = "VENCIDO",BD!$C97,"")</f>
        <v/>
      </c>
      <c r="Q97" s="83" t="str">
        <f ca="1">IF(N97 = "VENCIDO",BD!$E97,"")</f>
        <v/>
      </c>
      <c r="R97" s="83" t="str">
        <f ca="1">IF(N97 = "VENCIDO",BD!$F97,"")</f>
        <v/>
      </c>
      <c r="S97" s="85" t="str">
        <f ca="1">IF(N97 = "VENCIDO",BD!$G97,"")</f>
        <v/>
      </c>
      <c r="T97" s="83" t="str">
        <f ca="1">IF(AND(TODAY()&gt;BD!$C97, OR(BD!$D97="PENDENTE", BD!$D97="")), TODAY()-BD!$C97, "")</f>
        <v/>
      </c>
    </row>
    <row r="98" spans="1:20" ht="14.25" customHeight="1" x14ac:dyDescent="0.35">
      <c r="A98" s="32"/>
      <c r="B98" s="82">
        <f>'FEV-26'!A25</f>
        <v>0</v>
      </c>
      <c r="C98" s="82">
        <f>'FEV-26'!B25</f>
        <v>0</v>
      </c>
      <c r="D98" s="82">
        <f>'FEV-26'!C25</f>
        <v>0</v>
      </c>
      <c r="E98" s="93">
        <f>'FEV-26'!D25</f>
        <v>0</v>
      </c>
      <c r="F98" s="84">
        <f>'FEV-26'!E25</f>
        <v>0</v>
      </c>
      <c r="G98" s="85">
        <f>'FEV-26'!F25</f>
        <v>0</v>
      </c>
      <c r="H98" s="85">
        <f t="shared" si="0"/>
        <v>0</v>
      </c>
      <c r="I98" s="83" t="s">
        <v>96</v>
      </c>
      <c r="J98" s="83" t="str">
        <f t="shared" si="1"/>
        <v/>
      </c>
      <c r="K98" s="85">
        <f t="shared" si="2"/>
        <v>0</v>
      </c>
      <c r="L98" s="83" t="str">
        <f t="shared" si="3"/>
        <v/>
      </c>
      <c r="M98" s="83">
        <f>'FEV-26'!H25</f>
        <v>0</v>
      </c>
      <c r="N98" s="92" t="str">
        <f ca="1">IF(BD!$C98="","",IF(AND(TODAY()&gt;BD!$C98,OR(BD!$D98="PENDENTE",BD!$D98="")),"VENCIDO",""))</f>
        <v/>
      </c>
      <c r="O98" s="82" t="str">
        <f ca="1">IF(N98 = "VENCIDO",BD!$B98,"")</f>
        <v/>
      </c>
      <c r="P98" s="82" t="str">
        <f ca="1">IF(N98 = "VENCIDO",BD!$C98,"")</f>
        <v/>
      </c>
      <c r="Q98" s="83" t="str">
        <f ca="1">IF(N98 = "VENCIDO",BD!$E98,"")</f>
        <v/>
      </c>
      <c r="R98" s="83" t="str">
        <f ca="1">IF(N98 = "VENCIDO",BD!$F98,"")</f>
        <v/>
      </c>
      <c r="S98" s="85" t="str">
        <f ca="1">IF(N98 = "VENCIDO",BD!$G98,"")</f>
        <v/>
      </c>
      <c r="T98" s="83" t="str">
        <f ca="1">IF(AND(TODAY()&gt;BD!$C98, OR(BD!$D98="PENDENTE", BD!$D98="")), TODAY()-BD!$C98, "")</f>
        <v/>
      </c>
    </row>
    <row r="99" spans="1:20" ht="14.25" customHeight="1" x14ac:dyDescent="0.35">
      <c r="A99" s="32"/>
      <c r="B99" s="82">
        <f>'FEV-26'!A26</f>
        <v>0</v>
      </c>
      <c r="C99" s="82">
        <f>'FEV-26'!B26</f>
        <v>0</v>
      </c>
      <c r="D99" s="82">
        <f>'FEV-26'!C26</f>
        <v>0</v>
      </c>
      <c r="E99" s="83">
        <f>'FEV-26'!D26</f>
        <v>0</v>
      </c>
      <c r="F99" s="84">
        <f>'FEV-26'!E26</f>
        <v>0</v>
      </c>
      <c r="G99" s="85">
        <f>'FEV-26'!F26</f>
        <v>0</v>
      </c>
      <c r="H99" s="85">
        <f t="shared" si="0"/>
        <v>0</v>
      </c>
      <c r="I99" s="83" t="s">
        <v>96</v>
      </c>
      <c r="J99" s="83" t="str">
        <f t="shared" si="1"/>
        <v/>
      </c>
      <c r="K99" s="85">
        <f t="shared" si="2"/>
        <v>0</v>
      </c>
      <c r="L99" s="83" t="str">
        <f t="shared" si="3"/>
        <v/>
      </c>
      <c r="M99" s="83">
        <f>'FEV-26'!H26</f>
        <v>0</v>
      </c>
      <c r="N99" s="92" t="str">
        <f ca="1">IF(BD!$C99="","",IF(AND(TODAY()&gt;BD!$C99,OR(BD!$D99="PENDENTE",BD!$D99="")),"VENCIDO",""))</f>
        <v/>
      </c>
      <c r="O99" s="82" t="str">
        <f ca="1">IF(N99 = "VENCIDO",BD!$B99,"")</f>
        <v/>
      </c>
      <c r="P99" s="82" t="str">
        <f ca="1">IF(N99 = "VENCIDO",BD!$C99,"")</f>
        <v/>
      </c>
      <c r="Q99" s="83" t="str">
        <f ca="1">IF(N99 = "VENCIDO",BD!$E99,"")</f>
        <v/>
      </c>
      <c r="R99" s="83" t="str">
        <f ca="1">IF(N99 = "VENCIDO",BD!$F99,"")</f>
        <v/>
      </c>
      <c r="S99" s="85" t="str">
        <f ca="1">IF(N99 = "VENCIDO",BD!$G99,"")</f>
        <v/>
      </c>
      <c r="T99" s="83" t="str">
        <f ca="1">IF(AND(TODAY()&gt;BD!$C99, OR(BD!$D99="PENDENTE", BD!$D99="")), TODAY()-BD!$C99, "")</f>
        <v/>
      </c>
    </row>
    <row r="100" spans="1:20" ht="14.25" customHeight="1" x14ac:dyDescent="0.35">
      <c r="A100" s="32"/>
      <c r="B100" s="82">
        <f>'FEV-26'!A27</f>
        <v>0</v>
      </c>
      <c r="C100" s="82">
        <f>'FEV-26'!B27</f>
        <v>0</v>
      </c>
      <c r="D100" s="82">
        <f>'FEV-26'!C27</f>
        <v>0</v>
      </c>
      <c r="E100" s="83">
        <f>'FEV-26'!D27</f>
        <v>0</v>
      </c>
      <c r="F100" s="84">
        <f>'FEV-26'!E27</f>
        <v>0</v>
      </c>
      <c r="G100" s="85">
        <f>'FEV-26'!F27</f>
        <v>0</v>
      </c>
      <c r="H100" s="85">
        <f t="shared" si="0"/>
        <v>0</v>
      </c>
      <c r="I100" s="83" t="s">
        <v>96</v>
      </c>
      <c r="J100" s="83" t="str">
        <f t="shared" si="1"/>
        <v/>
      </c>
      <c r="K100" s="85">
        <f t="shared" si="2"/>
        <v>0</v>
      </c>
      <c r="L100" s="83" t="str">
        <f t="shared" si="3"/>
        <v/>
      </c>
      <c r="M100" s="83">
        <f>'FEV-26'!H27</f>
        <v>0</v>
      </c>
      <c r="N100" s="92" t="str">
        <f ca="1">IF(BD!$C100="","",IF(AND(TODAY()&gt;BD!$C100,OR(BD!$D100="PENDENTE",BD!$D100="")),"VENCIDO",""))</f>
        <v/>
      </c>
      <c r="O100" s="82" t="str">
        <f ca="1">IF(N100 = "VENCIDO",BD!$B100,"")</f>
        <v/>
      </c>
      <c r="P100" s="82" t="str">
        <f ca="1">IF(N100 = "VENCIDO",BD!$C100,"")</f>
        <v/>
      </c>
      <c r="Q100" s="83" t="str">
        <f ca="1">IF(N100 = "VENCIDO",BD!$E100,"")</f>
        <v/>
      </c>
      <c r="R100" s="83" t="str">
        <f ca="1">IF(N100 = "VENCIDO",BD!$F100,"")</f>
        <v/>
      </c>
      <c r="S100" s="85" t="str">
        <f ca="1">IF(N100 = "VENCIDO",BD!$G100,"")</f>
        <v/>
      </c>
      <c r="T100" s="83" t="str">
        <f ca="1">IF(AND(TODAY()&gt;BD!$C100, OR(BD!$D100="PENDENTE", BD!$D100="")), TODAY()-BD!$C100, "")</f>
        <v/>
      </c>
    </row>
    <row r="101" spans="1:20" ht="14.25" customHeight="1" x14ac:dyDescent="0.35">
      <c r="A101" s="32"/>
      <c r="B101" s="82">
        <f>'FEV-26'!A28</f>
        <v>0</v>
      </c>
      <c r="C101" s="82">
        <f>'FEV-26'!B28</f>
        <v>0</v>
      </c>
      <c r="D101" s="82">
        <f>'FEV-26'!C28</f>
        <v>0</v>
      </c>
      <c r="E101" s="83">
        <f>'FEV-26'!D28</f>
        <v>0</v>
      </c>
      <c r="F101" s="84">
        <f>'FEV-26'!E28</f>
        <v>0</v>
      </c>
      <c r="G101" s="85">
        <f>'FEV-26'!F28</f>
        <v>0</v>
      </c>
      <c r="H101" s="85">
        <f t="shared" si="0"/>
        <v>0</v>
      </c>
      <c r="I101" s="83" t="s">
        <v>96</v>
      </c>
      <c r="J101" s="83" t="str">
        <f t="shared" si="1"/>
        <v/>
      </c>
      <c r="K101" s="85">
        <f t="shared" si="2"/>
        <v>0</v>
      </c>
      <c r="L101" s="83" t="str">
        <f t="shared" si="3"/>
        <v/>
      </c>
      <c r="M101" s="83">
        <f>'FEV-26'!H28</f>
        <v>0</v>
      </c>
      <c r="N101" s="92" t="str">
        <f ca="1">IF(BD!$C101="","",IF(AND(TODAY()&gt;BD!$C101,OR(BD!$D101="PENDENTE",BD!$D101="")),"VENCIDO",""))</f>
        <v/>
      </c>
      <c r="O101" s="82" t="str">
        <f ca="1">IF(N101 = "VENCIDO",BD!$B101,"")</f>
        <v/>
      </c>
      <c r="P101" s="82" t="str">
        <f ca="1">IF(N101 = "VENCIDO",BD!$C101,"")</f>
        <v/>
      </c>
      <c r="Q101" s="83" t="str">
        <f ca="1">IF(N101 = "VENCIDO",BD!$E101,"")</f>
        <v/>
      </c>
      <c r="R101" s="83" t="str">
        <f ca="1">IF(N101 = "VENCIDO",BD!$F101,"")</f>
        <v/>
      </c>
      <c r="S101" s="85" t="str">
        <f ca="1">IF(N101 = "VENCIDO",BD!$G101,"")</f>
        <v/>
      </c>
      <c r="T101" s="83" t="str">
        <f ca="1">IF(AND(TODAY()&gt;BD!$C101, OR(BD!$D101="PENDENTE", BD!$D101="")), TODAY()-BD!$C101, "")</f>
        <v/>
      </c>
    </row>
    <row r="102" spans="1:20" ht="14.25" customHeight="1" x14ac:dyDescent="0.35">
      <c r="A102" s="32"/>
      <c r="B102" s="82">
        <f>'FEV-26'!A29</f>
        <v>0</v>
      </c>
      <c r="C102" s="82">
        <f>'FEV-26'!B29</f>
        <v>0</v>
      </c>
      <c r="D102" s="82">
        <f>'FEV-26'!C29</f>
        <v>0</v>
      </c>
      <c r="E102" s="83">
        <f>'FEV-26'!D29</f>
        <v>0</v>
      </c>
      <c r="F102" s="84">
        <f>'FEV-26'!E29</f>
        <v>0</v>
      </c>
      <c r="G102" s="85">
        <f>'FEV-26'!F29</f>
        <v>0</v>
      </c>
      <c r="H102" s="85">
        <f t="shared" si="0"/>
        <v>0</v>
      </c>
      <c r="I102" s="83" t="s">
        <v>96</v>
      </c>
      <c r="J102" s="83" t="str">
        <f t="shared" si="1"/>
        <v/>
      </c>
      <c r="K102" s="85">
        <f t="shared" si="2"/>
        <v>0</v>
      </c>
      <c r="L102" s="83" t="str">
        <f t="shared" si="3"/>
        <v/>
      </c>
      <c r="M102" s="83">
        <f>'FEV-26'!H29</f>
        <v>0</v>
      </c>
      <c r="N102" s="92" t="str">
        <f ca="1">IF(BD!$C102="","",IF(AND(TODAY()&gt;BD!$C102,OR(BD!$D102="PENDENTE",BD!$D102="")),"VENCIDO",""))</f>
        <v/>
      </c>
      <c r="O102" s="82" t="str">
        <f ca="1">IF(N102 = "VENCIDO",BD!$B102,"")</f>
        <v/>
      </c>
      <c r="P102" s="82" t="str">
        <f ca="1">IF(N102 = "VENCIDO",BD!$C102,"")</f>
        <v/>
      </c>
      <c r="Q102" s="83" t="str">
        <f ca="1">IF(N102 = "VENCIDO",BD!$E102,"")</f>
        <v/>
      </c>
      <c r="R102" s="83" t="str">
        <f ca="1">IF(N102 = "VENCIDO",BD!$F102,"")</f>
        <v/>
      </c>
      <c r="S102" s="85" t="str">
        <f ca="1">IF(N102 = "VENCIDO",BD!$G102,"")</f>
        <v/>
      </c>
      <c r="T102" s="83" t="str">
        <f ca="1">IF(AND(TODAY()&gt;BD!$C102, OR(BD!$D102="PENDENTE", BD!$D102="")), TODAY()-BD!$C102, "")</f>
        <v/>
      </c>
    </row>
    <row r="103" spans="1:20" ht="14.25" customHeight="1" x14ac:dyDescent="0.35">
      <c r="A103" s="32"/>
      <c r="B103" s="82">
        <f>'FEV-26'!A30</f>
        <v>0</v>
      </c>
      <c r="C103" s="82">
        <f>'FEV-26'!B30</f>
        <v>0</v>
      </c>
      <c r="D103" s="82">
        <f>'FEV-26'!C30</f>
        <v>0</v>
      </c>
      <c r="E103" s="83">
        <f>'FEV-26'!D30</f>
        <v>0</v>
      </c>
      <c r="F103" s="84">
        <f>'FEV-26'!E30</f>
        <v>0</v>
      </c>
      <c r="G103" s="85">
        <f>'FEV-26'!F30</f>
        <v>0</v>
      </c>
      <c r="H103" s="85">
        <f t="shared" si="0"/>
        <v>0</v>
      </c>
      <c r="I103" s="83" t="s">
        <v>96</v>
      </c>
      <c r="J103" s="83" t="str">
        <f t="shared" si="1"/>
        <v/>
      </c>
      <c r="K103" s="85">
        <f t="shared" si="2"/>
        <v>0</v>
      </c>
      <c r="L103" s="83" t="str">
        <f t="shared" si="3"/>
        <v/>
      </c>
      <c r="M103" s="83">
        <f>'FEV-26'!H30</f>
        <v>0</v>
      </c>
      <c r="N103" s="92" t="str">
        <f ca="1">IF(BD!$C103="","",IF(AND(TODAY()&gt;BD!$C103,OR(BD!$D103="PENDENTE",BD!$D103="")),"VENCIDO",""))</f>
        <v/>
      </c>
      <c r="O103" s="82" t="str">
        <f ca="1">IF(N103 = "VENCIDO",BD!$B103,"")</f>
        <v/>
      </c>
      <c r="P103" s="82" t="str">
        <f ca="1">IF(N103 = "VENCIDO",BD!$C103,"")</f>
        <v/>
      </c>
      <c r="Q103" s="83" t="str">
        <f ca="1">IF(N103 = "VENCIDO",BD!$E103,"")</f>
        <v/>
      </c>
      <c r="R103" s="83" t="str">
        <f ca="1">IF(N103 = "VENCIDO",BD!$F103,"")</f>
        <v/>
      </c>
      <c r="S103" s="85" t="str">
        <f ca="1">IF(N103 = "VENCIDO",BD!$G103,"")</f>
        <v/>
      </c>
      <c r="T103" s="83" t="str">
        <f ca="1">IF(AND(TODAY()&gt;BD!$C103, OR(BD!$D103="PENDENTE", BD!$D103="")), TODAY()-BD!$C103, "")</f>
        <v/>
      </c>
    </row>
    <row r="104" spans="1:20" ht="14.25" customHeight="1" x14ac:dyDescent="0.35">
      <c r="A104" s="32"/>
      <c r="B104" s="82">
        <f>'FEV-26'!A31</f>
        <v>0</v>
      </c>
      <c r="C104" s="82">
        <f>'FEV-26'!B31</f>
        <v>0</v>
      </c>
      <c r="D104" s="82">
        <f>'FEV-26'!C31</f>
        <v>0</v>
      </c>
      <c r="E104" s="83">
        <f>'FEV-26'!D31</f>
        <v>0</v>
      </c>
      <c r="F104" s="84">
        <f>'FEV-26'!E31</f>
        <v>0</v>
      </c>
      <c r="G104" s="85">
        <f>'FEV-26'!F31</f>
        <v>0</v>
      </c>
      <c r="H104" s="85">
        <f t="shared" si="0"/>
        <v>0</v>
      </c>
      <c r="I104" s="83" t="s">
        <v>96</v>
      </c>
      <c r="J104" s="83" t="str">
        <f t="shared" si="1"/>
        <v/>
      </c>
      <c r="K104" s="85">
        <f t="shared" si="2"/>
        <v>0</v>
      </c>
      <c r="L104" s="83" t="str">
        <f t="shared" si="3"/>
        <v/>
      </c>
      <c r="M104" s="83">
        <f>'FEV-26'!H31</f>
        <v>0</v>
      </c>
      <c r="N104" s="92" t="str">
        <f ca="1">IF(BD!$C104="","",IF(AND(TODAY()&gt;BD!$C104,OR(BD!$D104="PENDENTE",BD!$D104="")),"VENCIDO",""))</f>
        <v/>
      </c>
      <c r="O104" s="82" t="str">
        <f ca="1">IF(N104 = "VENCIDO",BD!$B104,"")</f>
        <v/>
      </c>
      <c r="P104" s="82" t="str">
        <f ca="1">IF(N104 = "VENCIDO",BD!$C104,"")</f>
        <v/>
      </c>
      <c r="Q104" s="83" t="str">
        <f ca="1">IF(N104 = "VENCIDO",BD!$E104,"")</f>
        <v/>
      </c>
      <c r="R104" s="83" t="str">
        <f ca="1">IF(N104 = "VENCIDO",BD!$F104,"")</f>
        <v/>
      </c>
      <c r="S104" s="85" t="str">
        <f ca="1">IF(N104 = "VENCIDO",BD!$G104,"")</f>
        <v/>
      </c>
      <c r="T104" s="83" t="str">
        <f ca="1">IF(AND(TODAY()&gt;BD!$C104, OR(BD!$D104="PENDENTE", BD!$D104="")), TODAY()-BD!$C104, "")</f>
        <v/>
      </c>
    </row>
    <row r="105" spans="1:20" ht="14.25" customHeight="1" x14ac:dyDescent="0.35">
      <c r="A105" s="32"/>
      <c r="B105" s="82">
        <f>'FEV-26'!A32</f>
        <v>0</v>
      </c>
      <c r="C105" s="82">
        <f>'FEV-26'!B32</f>
        <v>0</v>
      </c>
      <c r="D105" s="82">
        <f>'FEV-26'!C32</f>
        <v>0</v>
      </c>
      <c r="E105" s="83">
        <f>'FEV-26'!D32</f>
        <v>0</v>
      </c>
      <c r="F105" s="84">
        <f>'FEV-26'!E32</f>
        <v>0</v>
      </c>
      <c r="G105" s="85">
        <f>'FEV-26'!F32</f>
        <v>0</v>
      </c>
      <c r="H105" s="85">
        <f t="shared" si="0"/>
        <v>0</v>
      </c>
      <c r="I105" s="83" t="s">
        <v>96</v>
      </c>
      <c r="J105" s="83" t="str">
        <f t="shared" si="1"/>
        <v/>
      </c>
      <c r="K105" s="85">
        <f t="shared" si="2"/>
        <v>0</v>
      </c>
      <c r="L105" s="83" t="str">
        <f t="shared" si="3"/>
        <v/>
      </c>
      <c r="M105" s="83">
        <f>'FEV-26'!H32</f>
        <v>0</v>
      </c>
      <c r="N105" s="92" t="str">
        <f ca="1">IF(BD!$C105="","",IF(AND(TODAY()&gt;BD!$C105,OR(BD!$D105="PENDENTE",BD!$D105="")),"VENCIDO",""))</f>
        <v/>
      </c>
      <c r="O105" s="82" t="str">
        <f ca="1">IF(N105 = "VENCIDO",BD!$B105,"")</f>
        <v/>
      </c>
      <c r="P105" s="82" t="str">
        <f ca="1">IF(N105 = "VENCIDO",BD!$C105,"")</f>
        <v/>
      </c>
      <c r="Q105" s="83" t="str">
        <f ca="1">IF(N105 = "VENCIDO",BD!$E105,"")</f>
        <v/>
      </c>
      <c r="R105" s="83" t="str">
        <f ca="1">IF(N105 = "VENCIDO",BD!$F105,"")</f>
        <v/>
      </c>
      <c r="S105" s="85" t="str">
        <f ca="1">IF(N105 = "VENCIDO",BD!$G105,"")</f>
        <v/>
      </c>
      <c r="T105" s="83" t="str">
        <f ca="1">IF(AND(TODAY()&gt;BD!$C105, OR(BD!$D105="PENDENTE", BD!$D105="")), TODAY()-BD!$C105, "")</f>
        <v/>
      </c>
    </row>
    <row r="106" spans="1:20" ht="14.25" customHeight="1" x14ac:dyDescent="0.35">
      <c r="A106" s="32"/>
      <c r="B106" s="82">
        <f>'FEV-26'!A33</f>
        <v>0</v>
      </c>
      <c r="C106" s="82">
        <f>'FEV-26'!B33</f>
        <v>0</v>
      </c>
      <c r="D106" s="82">
        <f>'FEV-26'!C33</f>
        <v>0</v>
      </c>
      <c r="E106" s="83">
        <f>'FEV-26'!D33</f>
        <v>0</v>
      </c>
      <c r="F106" s="84">
        <f>'FEV-26'!E33</f>
        <v>0</v>
      </c>
      <c r="G106" s="85">
        <f>'FEV-26'!F33</f>
        <v>0</v>
      </c>
      <c r="H106" s="85">
        <f t="shared" si="0"/>
        <v>0</v>
      </c>
      <c r="I106" s="83" t="s">
        <v>96</v>
      </c>
      <c r="J106" s="83" t="str">
        <f t="shared" si="1"/>
        <v/>
      </c>
      <c r="K106" s="85">
        <f t="shared" si="2"/>
        <v>0</v>
      </c>
      <c r="L106" s="83" t="str">
        <f t="shared" si="3"/>
        <v/>
      </c>
      <c r="M106" s="83">
        <f>'FEV-26'!H33</f>
        <v>0</v>
      </c>
      <c r="N106" s="92" t="str">
        <f ca="1">IF(BD!$C106="","",IF(AND(TODAY()&gt;BD!$C106,OR(BD!$D106="PENDENTE",BD!$D106="")),"VENCIDO",""))</f>
        <v/>
      </c>
      <c r="O106" s="82" t="str">
        <f ca="1">IF(N106 = "VENCIDO",BD!$B106,"")</f>
        <v/>
      </c>
      <c r="P106" s="82" t="str">
        <f ca="1">IF(N106 = "VENCIDO",BD!$C106,"")</f>
        <v/>
      </c>
      <c r="Q106" s="83" t="str">
        <f ca="1">IF(N106 = "VENCIDO",BD!$E106,"")</f>
        <v/>
      </c>
      <c r="R106" s="83" t="str">
        <f ca="1">IF(N106 = "VENCIDO",BD!$F106,"")</f>
        <v/>
      </c>
      <c r="S106" s="85" t="str">
        <f ca="1">IF(N106 = "VENCIDO",BD!$G106,"")</f>
        <v/>
      </c>
      <c r="T106" s="83" t="str">
        <f ca="1">IF(AND(TODAY()&gt;BD!$C106, OR(BD!$D106="PENDENTE", BD!$D106="")), TODAY()-BD!$C106, "")</f>
        <v/>
      </c>
    </row>
    <row r="107" spans="1:20" ht="14.25" customHeight="1" x14ac:dyDescent="0.35">
      <c r="A107" s="32"/>
      <c r="B107" s="82">
        <f>'FEV-26'!A34</f>
        <v>0</v>
      </c>
      <c r="C107" s="82">
        <f>'FEV-26'!B34</f>
        <v>0</v>
      </c>
      <c r="D107" s="82">
        <f>'FEV-26'!C34</f>
        <v>0</v>
      </c>
      <c r="E107" s="83">
        <f>'FEV-26'!D34</f>
        <v>0</v>
      </c>
      <c r="F107" s="84">
        <f>'FEV-26'!E34</f>
        <v>0</v>
      </c>
      <c r="G107" s="85">
        <f>'FEV-26'!F34</f>
        <v>0</v>
      </c>
      <c r="H107" s="85">
        <f t="shared" si="0"/>
        <v>0</v>
      </c>
      <c r="I107" s="83" t="s">
        <v>96</v>
      </c>
      <c r="J107" s="83" t="str">
        <f t="shared" si="1"/>
        <v/>
      </c>
      <c r="K107" s="85">
        <f t="shared" si="2"/>
        <v>0</v>
      </c>
      <c r="L107" s="83" t="str">
        <f t="shared" si="3"/>
        <v/>
      </c>
      <c r="M107" s="83">
        <f>'FEV-26'!H34</f>
        <v>0</v>
      </c>
      <c r="N107" s="92" t="str">
        <f ca="1">IF(BD!$C107="","",IF(AND(TODAY()&gt;BD!$C107,OR(BD!$D107="PENDENTE",BD!$D107="")),"VENCIDO",""))</f>
        <v/>
      </c>
      <c r="O107" s="82" t="str">
        <f ca="1">IF(N107 = "VENCIDO",BD!$B107,"")</f>
        <v/>
      </c>
      <c r="P107" s="82" t="str">
        <f ca="1">IF(N107 = "VENCIDO",BD!$C107,"")</f>
        <v/>
      </c>
      <c r="Q107" s="83" t="str">
        <f ca="1">IF(N107 = "VENCIDO",BD!$E107,"")</f>
        <v/>
      </c>
      <c r="R107" s="83" t="str">
        <f ca="1">IF(N107 = "VENCIDO",BD!$F107,"")</f>
        <v/>
      </c>
      <c r="S107" s="85" t="str">
        <f ca="1">IF(N107 = "VENCIDO",BD!$G107,"")</f>
        <v/>
      </c>
      <c r="T107" s="83" t="str">
        <f ca="1">IF(AND(TODAY()&gt;BD!$C107, OR(BD!$D107="PENDENTE", BD!$D107="")), TODAY()-BD!$C107, "")</f>
        <v/>
      </c>
    </row>
    <row r="108" spans="1:20" ht="14.25" customHeight="1" x14ac:dyDescent="0.35">
      <c r="A108" s="32"/>
      <c r="B108" s="82">
        <f>'FEV-26'!A35</f>
        <v>0</v>
      </c>
      <c r="C108" s="82">
        <f>'FEV-26'!B35</f>
        <v>0</v>
      </c>
      <c r="D108" s="82">
        <f>'FEV-26'!C35</f>
        <v>0</v>
      </c>
      <c r="E108" s="93">
        <f>'FEV-26'!D35</f>
        <v>0</v>
      </c>
      <c r="F108" s="84">
        <f>'FEV-26'!E35</f>
        <v>0</v>
      </c>
      <c r="G108" s="85">
        <f>'FEV-26'!F35</f>
        <v>0</v>
      </c>
      <c r="H108" s="85">
        <f t="shared" si="0"/>
        <v>0</v>
      </c>
      <c r="I108" s="83" t="s">
        <v>96</v>
      </c>
      <c r="J108" s="83" t="str">
        <f t="shared" si="1"/>
        <v/>
      </c>
      <c r="K108" s="85">
        <f t="shared" si="2"/>
        <v>0</v>
      </c>
      <c r="L108" s="83" t="str">
        <f t="shared" si="3"/>
        <v/>
      </c>
      <c r="M108" s="83">
        <f>'FEV-26'!H35</f>
        <v>0</v>
      </c>
      <c r="N108" s="92" t="str">
        <f ca="1">IF(BD!$C108="","",IF(AND(TODAY()&gt;BD!$C108,OR(BD!$D108="PENDENTE",BD!$D108="")),"VENCIDO",""))</f>
        <v/>
      </c>
      <c r="O108" s="82" t="str">
        <f ca="1">IF(N108 = "VENCIDO",BD!$B108,"")</f>
        <v/>
      </c>
      <c r="P108" s="82" t="str">
        <f ca="1">IF(N108 = "VENCIDO",BD!$C108,"")</f>
        <v/>
      </c>
      <c r="Q108" s="83" t="str">
        <f ca="1">IF(N108 = "VENCIDO",BD!$E108,"")</f>
        <v/>
      </c>
      <c r="R108" s="83" t="str">
        <f ca="1">IF(N108 = "VENCIDO",BD!$F108,"")</f>
        <v/>
      </c>
      <c r="S108" s="85" t="str">
        <f ca="1">IF(N108 = "VENCIDO",BD!$G108,"")</f>
        <v/>
      </c>
      <c r="T108" s="83" t="str">
        <f ca="1">IF(AND(TODAY()&gt;BD!$C108, OR(BD!$D108="PENDENTE", BD!$D108="")), TODAY()-BD!$C108, "")</f>
        <v/>
      </c>
    </row>
    <row r="109" spans="1:20" ht="14.25" customHeight="1" x14ac:dyDescent="0.35">
      <c r="A109" s="32"/>
      <c r="B109" s="82">
        <f>'FEV-26'!A36</f>
        <v>0</v>
      </c>
      <c r="C109" s="82">
        <f>'FEV-26'!B36</f>
        <v>0</v>
      </c>
      <c r="D109" s="82">
        <f>'FEV-26'!C36</f>
        <v>0</v>
      </c>
      <c r="E109" s="93">
        <f>'FEV-26'!D36</f>
        <v>0</v>
      </c>
      <c r="F109" s="84">
        <f>'FEV-26'!E36</f>
        <v>0</v>
      </c>
      <c r="G109" s="85">
        <f>'FEV-26'!F36</f>
        <v>0</v>
      </c>
      <c r="H109" s="85">
        <f t="shared" si="0"/>
        <v>0</v>
      </c>
      <c r="I109" s="83" t="s">
        <v>96</v>
      </c>
      <c r="J109" s="83" t="str">
        <f t="shared" si="1"/>
        <v/>
      </c>
      <c r="K109" s="85">
        <f t="shared" si="2"/>
        <v>0</v>
      </c>
      <c r="L109" s="83" t="str">
        <f t="shared" si="3"/>
        <v/>
      </c>
      <c r="M109" s="83">
        <f>'FEV-26'!H36</f>
        <v>0</v>
      </c>
      <c r="N109" s="92" t="str">
        <f ca="1">IF(BD!$C109="","",IF(AND(TODAY()&gt;BD!$C109,OR(BD!$D109="PENDENTE",BD!$D109="")),"VENCIDO",""))</f>
        <v/>
      </c>
      <c r="O109" s="82" t="str">
        <f ca="1">IF(N109 = "VENCIDO",BD!$B109,"")</f>
        <v/>
      </c>
      <c r="P109" s="82" t="str">
        <f ca="1">IF(N109 = "VENCIDO",BD!$C109,"")</f>
        <v/>
      </c>
      <c r="Q109" s="83" t="str">
        <f ca="1">IF(N109 = "VENCIDO",BD!$E109,"")</f>
        <v/>
      </c>
      <c r="R109" s="83" t="str">
        <f ca="1">IF(N109 = "VENCIDO",BD!$F109,"")</f>
        <v/>
      </c>
      <c r="S109" s="85" t="str">
        <f ca="1">IF(N109 = "VENCIDO",BD!$G109,"")</f>
        <v/>
      </c>
      <c r="T109" s="83" t="str">
        <f ca="1">IF(AND(TODAY()&gt;BD!$C109, OR(BD!$D109="PENDENTE", BD!$D109="")), TODAY()-BD!$C109, "")</f>
        <v/>
      </c>
    </row>
    <row r="110" spans="1:20" ht="14.25" customHeight="1" x14ac:dyDescent="0.35">
      <c r="A110" s="32"/>
      <c r="B110" s="82">
        <f>'FEV-26'!A37</f>
        <v>0</v>
      </c>
      <c r="C110" s="82">
        <f>'FEV-26'!B37</f>
        <v>0</v>
      </c>
      <c r="D110" s="82">
        <f>'FEV-26'!C37</f>
        <v>0</v>
      </c>
      <c r="E110" s="83">
        <f>'FEV-26'!D37</f>
        <v>0</v>
      </c>
      <c r="F110" s="84">
        <f>'FEV-26'!E37</f>
        <v>0</v>
      </c>
      <c r="G110" s="85">
        <f>'FEV-26'!F37</f>
        <v>0</v>
      </c>
      <c r="H110" s="85">
        <f t="shared" si="0"/>
        <v>0</v>
      </c>
      <c r="I110" s="83" t="s">
        <v>96</v>
      </c>
      <c r="J110" s="83" t="str">
        <f t="shared" si="1"/>
        <v/>
      </c>
      <c r="K110" s="85">
        <f t="shared" si="2"/>
        <v>0</v>
      </c>
      <c r="L110" s="83" t="str">
        <f t="shared" si="3"/>
        <v/>
      </c>
      <c r="M110" s="83">
        <f>'FEV-26'!H37</f>
        <v>0</v>
      </c>
      <c r="N110" s="92" t="str">
        <f ca="1">IF(BD!$C110="","",IF(AND(TODAY()&gt;BD!$C110,OR(BD!$D110="PENDENTE",BD!$D110="")),"VENCIDO",""))</f>
        <v/>
      </c>
      <c r="O110" s="82" t="str">
        <f ca="1">IF(N110 = "VENCIDO",BD!$B110,"")</f>
        <v/>
      </c>
      <c r="P110" s="82" t="str">
        <f ca="1">IF(N110 = "VENCIDO",BD!$C110,"")</f>
        <v/>
      </c>
      <c r="Q110" s="83" t="str">
        <f ca="1">IF(N110 = "VENCIDO",BD!$E110,"")</f>
        <v/>
      </c>
      <c r="R110" s="83" t="str">
        <f ca="1">IF(N110 = "VENCIDO",BD!$F110,"")</f>
        <v/>
      </c>
      <c r="S110" s="85" t="str">
        <f ca="1">IF(N110 = "VENCIDO",BD!$G110,"")</f>
        <v/>
      </c>
      <c r="T110" s="83" t="str">
        <f ca="1">IF(AND(TODAY()&gt;BD!$C110, OR(BD!$D110="PENDENTE", BD!$D110="")), TODAY()-BD!$C110, "")</f>
        <v/>
      </c>
    </row>
    <row r="111" spans="1:20" ht="14.25" customHeight="1" x14ac:dyDescent="0.35">
      <c r="A111" s="32"/>
      <c r="B111" s="82">
        <f>'FEV-26'!A38</f>
        <v>0</v>
      </c>
      <c r="C111" s="82">
        <f>'FEV-26'!B38</f>
        <v>0</v>
      </c>
      <c r="D111" s="82">
        <f>'FEV-26'!C38</f>
        <v>0</v>
      </c>
      <c r="E111" s="83">
        <f>'FEV-26'!D38</f>
        <v>0</v>
      </c>
      <c r="F111" s="84">
        <f>'FEV-26'!E38</f>
        <v>0</v>
      </c>
      <c r="G111" s="85">
        <f>'FEV-26'!F38</f>
        <v>0</v>
      </c>
      <c r="H111" s="85">
        <f t="shared" si="0"/>
        <v>0</v>
      </c>
      <c r="I111" s="83" t="s">
        <v>96</v>
      </c>
      <c r="J111" s="83" t="str">
        <f t="shared" si="1"/>
        <v/>
      </c>
      <c r="K111" s="85">
        <f t="shared" si="2"/>
        <v>0</v>
      </c>
      <c r="L111" s="83" t="str">
        <f t="shared" si="3"/>
        <v/>
      </c>
      <c r="M111" s="83">
        <f>'FEV-26'!H38</f>
        <v>0</v>
      </c>
      <c r="N111" s="92" t="str">
        <f ca="1">IF(BD!$C111="","",IF(AND(TODAY()&gt;BD!$C111,OR(BD!$D111="PENDENTE",BD!$D111="")),"VENCIDO",""))</f>
        <v/>
      </c>
      <c r="O111" s="82" t="str">
        <f ca="1">IF(N111 = "VENCIDO",BD!$B111,"")</f>
        <v/>
      </c>
      <c r="P111" s="82" t="str">
        <f ca="1">IF(N111 = "VENCIDO",BD!$C111,"")</f>
        <v/>
      </c>
      <c r="Q111" s="83" t="str">
        <f ca="1">IF(N111 = "VENCIDO",BD!$E111,"")</f>
        <v/>
      </c>
      <c r="R111" s="83" t="str">
        <f ca="1">IF(N111 = "VENCIDO",BD!$F111,"")</f>
        <v/>
      </c>
      <c r="S111" s="85" t="str">
        <f ca="1">IF(N111 = "VENCIDO",BD!$G111,"")</f>
        <v/>
      </c>
      <c r="T111" s="83" t="str">
        <f ca="1">IF(AND(TODAY()&gt;BD!$C111, OR(BD!$D111="PENDENTE", BD!$D111="")), TODAY()-BD!$C111, "")</f>
        <v/>
      </c>
    </row>
    <row r="112" spans="1:20" ht="14.25" customHeight="1" x14ac:dyDescent="0.35">
      <c r="A112" s="32"/>
      <c r="B112" s="82">
        <f>'FEV-26'!A39</f>
        <v>0</v>
      </c>
      <c r="C112" s="82">
        <f>'FEV-26'!B39</f>
        <v>0</v>
      </c>
      <c r="D112" s="82">
        <f>'FEV-26'!C39</f>
        <v>0</v>
      </c>
      <c r="E112" s="83">
        <f>'FEV-26'!D39</f>
        <v>0</v>
      </c>
      <c r="F112" s="84">
        <f>'FEV-26'!E39</f>
        <v>0</v>
      </c>
      <c r="G112" s="85">
        <f>'FEV-26'!F39</f>
        <v>0</v>
      </c>
      <c r="H112" s="85">
        <f t="shared" si="0"/>
        <v>0</v>
      </c>
      <c r="I112" s="83" t="s">
        <v>96</v>
      </c>
      <c r="J112" s="83" t="str">
        <f t="shared" si="1"/>
        <v/>
      </c>
      <c r="K112" s="85">
        <f t="shared" si="2"/>
        <v>0</v>
      </c>
      <c r="L112" s="83" t="str">
        <f t="shared" si="3"/>
        <v/>
      </c>
      <c r="M112" s="83">
        <f>'FEV-26'!H39</f>
        <v>0</v>
      </c>
      <c r="N112" s="92" t="str">
        <f ca="1">IF(BD!$C112="","",IF(AND(TODAY()&gt;BD!$C112,OR(BD!$D112="PENDENTE",BD!$D112="")),"VENCIDO",""))</f>
        <v/>
      </c>
      <c r="O112" s="82" t="str">
        <f ca="1">IF(N112 = "VENCIDO",BD!$B112,"")</f>
        <v/>
      </c>
      <c r="P112" s="82" t="str">
        <f ca="1">IF(N112 = "VENCIDO",BD!$C112,"")</f>
        <v/>
      </c>
      <c r="Q112" s="83" t="str">
        <f ca="1">IF(N112 = "VENCIDO",BD!$E112,"")</f>
        <v/>
      </c>
      <c r="R112" s="83" t="str">
        <f ca="1">IF(N112 = "VENCIDO",BD!$F112,"")</f>
        <v/>
      </c>
      <c r="S112" s="85" t="str">
        <f ca="1">IF(N112 = "VENCIDO",BD!$G112,"")</f>
        <v/>
      </c>
      <c r="T112" s="83" t="str">
        <f ca="1">IF(AND(TODAY()&gt;BD!$C112, OR(BD!$D112="PENDENTE", BD!$D112="")), TODAY()-BD!$C112, "")</f>
        <v/>
      </c>
    </row>
    <row r="113" spans="1:26" ht="14.25" customHeight="1" x14ac:dyDescent="0.35">
      <c r="A113" s="32"/>
      <c r="B113" s="82">
        <f>'FEV-26'!A40</f>
        <v>0</v>
      </c>
      <c r="C113" s="82">
        <f>'FEV-26'!B40</f>
        <v>0</v>
      </c>
      <c r="D113" s="82">
        <f>'FEV-26'!C40</f>
        <v>0</v>
      </c>
      <c r="E113" s="83">
        <f>'FEV-26'!D40</f>
        <v>0</v>
      </c>
      <c r="F113" s="84">
        <f>'FEV-26'!E40</f>
        <v>0</v>
      </c>
      <c r="G113" s="85">
        <f>'FEV-26'!F40</f>
        <v>0</v>
      </c>
      <c r="H113" s="85">
        <f t="shared" si="0"/>
        <v>0</v>
      </c>
      <c r="I113" s="83" t="s">
        <v>96</v>
      </c>
      <c r="J113" s="83" t="str">
        <f t="shared" si="1"/>
        <v/>
      </c>
      <c r="K113" s="85">
        <f t="shared" si="2"/>
        <v>0</v>
      </c>
      <c r="L113" s="83" t="str">
        <f t="shared" si="3"/>
        <v/>
      </c>
      <c r="M113" s="83">
        <f>'FEV-26'!H40</f>
        <v>0</v>
      </c>
      <c r="N113" s="92" t="str">
        <f ca="1">IF(BD!$C113="","",IF(AND(TODAY()&gt;BD!$C113,OR(BD!$D113="PENDENTE",BD!$D113="")),"VENCIDO",""))</f>
        <v/>
      </c>
      <c r="O113" s="82" t="str">
        <f ca="1">IF(N113 = "VENCIDO",BD!$B113,"")</f>
        <v/>
      </c>
      <c r="P113" s="82" t="str">
        <f ca="1">IF(N113 = "VENCIDO",BD!$C113,"")</f>
        <v/>
      </c>
      <c r="Q113" s="83" t="str">
        <f ca="1">IF(N113 = "VENCIDO",BD!$E113,"")</f>
        <v/>
      </c>
      <c r="R113" s="83" t="str">
        <f ca="1">IF(N113 = "VENCIDO",BD!$F113,"")</f>
        <v/>
      </c>
      <c r="S113" s="85" t="str">
        <f ca="1">IF(N113 = "VENCIDO",BD!$G113,"")</f>
        <v/>
      </c>
      <c r="T113" s="83" t="str">
        <f ca="1">IF(AND(TODAY()&gt;BD!$C113, OR(BD!$D113="PENDENTE", BD!$D113="")), TODAY()-BD!$C113, "")</f>
        <v/>
      </c>
    </row>
    <row r="114" spans="1:26" ht="14.25" customHeight="1" x14ac:dyDescent="0.35">
      <c r="A114" s="32"/>
      <c r="B114" s="82">
        <f>'FEV-26'!A41</f>
        <v>0</v>
      </c>
      <c r="C114" s="82">
        <f>'FEV-26'!B41</f>
        <v>0</v>
      </c>
      <c r="D114" s="82">
        <f>'FEV-26'!C41</f>
        <v>0</v>
      </c>
      <c r="E114" s="83">
        <f>'FEV-26'!D41</f>
        <v>0</v>
      </c>
      <c r="F114" s="84">
        <f>'FEV-26'!E41</f>
        <v>0</v>
      </c>
      <c r="G114" s="85">
        <f>'FEV-26'!F41</f>
        <v>0</v>
      </c>
      <c r="H114" s="85">
        <f t="shared" si="0"/>
        <v>0</v>
      </c>
      <c r="I114" s="83" t="s">
        <v>96</v>
      </c>
      <c r="J114" s="83" t="str">
        <f t="shared" si="1"/>
        <v/>
      </c>
      <c r="K114" s="85">
        <f t="shared" si="2"/>
        <v>0</v>
      </c>
      <c r="L114" s="83" t="str">
        <f t="shared" si="3"/>
        <v/>
      </c>
      <c r="M114" s="83">
        <f>'FEV-26'!H41</f>
        <v>0</v>
      </c>
      <c r="N114" s="92" t="str">
        <f ca="1">IF(BD!$C114="","",IF(AND(TODAY()&gt;BD!$C114,OR(BD!$D114="PENDENTE",BD!$D114="")),"VENCIDO",""))</f>
        <v/>
      </c>
      <c r="O114" s="82" t="str">
        <f ca="1">IF(N114 = "VENCIDO",BD!$B114,"")</f>
        <v/>
      </c>
      <c r="P114" s="82" t="str">
        <f ca="1">IF(N114 = "VENCIDO",BD!$C114,"")</f>
        <v/>
      </c>
      <c r="Q114" s="83" t="str">
        <f ca="1">IF(N114 = "VENCIDO",BD!$E114,"")</f>
        <v/>
      </c>
      <c r="R114" s="83" t="str">
        <f ca="1">IF(N114 = "VENCIDO",BD!$F114,"")</f>
        <v/>
      </c>
      <c r="S114" s="85" t="str">
        <f ca="1">IF(N114 = "VENCIDO",BD!$G114,"")</f>
        <v/>
      </c>
      <c r="T114" s="83" t="str">
        <f ca="1">IF(AND(TODAY()&gt;BD!$C114, OR(BD!$D114="PENDENTE", BD!$D114="")), TODAY()-BD!$C114, "")</f>
        <v/>
      </c>
    </row>
    <row r="115" spans="1:26" ht="14.25" customHeight="1" x14ac:dyDescent="0.35">
      <c r="A115" s="32"/>
      <c r="B115" s="82">
        <f>'FEV-26'!A42</f>
        <v>0</v>
      </c>
      <c r="C115" s="82">
        <f>'FEV-26'!B42</f>
        <v>0</v>
      </c>
      <c r="D115" s="82">
        <f>'FEV-26'!C42</f>
        <v>0</v>
      </c>
      <c r="E115" s="83">
        <f>'FEV-26'!D42</f>
        <v>0</v>
      </c>
      <c r="F115" s="84">
        <f>'FEV-26'!E42</f>
        <v>0</v>
      </c>
      <c r="G115" s="85">
        <f>'FEV-26'!F42</f>
        <v>0</v>
      </c>
      <c r="H115" s="85">
        <f t="shared" si="0"/>
        <v>0</v>
      </c>
      <c r="I115" s="83" t="s">
        <v>96</v>
      </c>
      <c r="J115" s="83" t="str">
        <f t="shared" si="1"/>
        <v/>
      </c>
      <c r="K115" s="85">
        <f t="shared" si="2"/>
        <v>0</v>
      </c>
      <c r="L115" s="83" t="str">
        <f t="shared" si="3"/>
        <v/>
      </c>
      <c r="M115" s="83">
        <f>'FEV-26'!H42</f>
        <v>0</v>
      </c>
      <c r="N115" s="92" t="str">
        <f ca="1">IF(BD!$C115="","",IF(AND(TODAY()&gt;BD!$C115,OR(BD!$D115="PENDENTE",BD!$D115="")),"VENCIDO",""))</f>
        <v/>
      </c>
      <c r="O115" s="82" t="str">
        <f ca="1">IF(N115 = "VENCIDO",BD!$B115,"")</f>
        <v/>
      </c>
      <c r="P115" s="82" t="str">
        <f ca="1">IF(N115 = "VENCIDO",BD!$C115,"")</f>
        <v/>
      </c>
      <c r="Q115" s="83" t="str">
        <f ca="1">IF(N115 = "VENCIDO",BD!$E115,"")</f>
        <v/>
      </c>
      <c r="R115" s="83" t="str">
        <f ca="1">IF(N115 = "VENCIDO",BD!$F115,"")</f>
        <v/>
      </c>
      <c r="S115" s="85" t="str">
        <f ca="1">IF(N115 = "VENCIDO",BD!$G115,"")</f>
        <v/>
      </c>
      <c r="T115" s="83" t="str">
        <f ca="1">IF(AND(TODAY()&gt;BD!$C115, OR(BD!$D115="PENDENTE", BD!$D115="")), TODAY()-BD!$C115, "")</f>
        <v/>
      </c>
    </row>
    <row r="116" spans="1:26" ht="14.25" customHeight="1" x14ac:dyDescent="0.35">
      <c r="A116" s="32"/>
      <c r="B116" s="82">
        <f>'FEV-26'!A43</f>
        <v>0</v>
      </c>
      <c r="C116" s="82">
        <f>'FEV-26'!B43</f>
        <v>0</v>
      </c>
      <c r="D116" s="82">
        <f>'FEV-26'!C43</f>
        <v>0</v>
      </c>
      <c r="E116" s="83">
        <f>'FEV-26'!D43</f>
        <v>0</v>
      </c>
      <c r="F116" s="84">
        <f>'FEV-26'!E43</f>
        <v>0</v>
      </c>
      <c r="G116" s="85">
        <f>'FEV-26'!F43</f>
        <v>0</v>
      </c>
      <c r="H116" s="85">
        <f t="shared" si="0"/>
        <v>0</v>
      </c>
      <c r="I116" s="83" t="s">
        <v>96</v>
      </c>
      <c r="J116" s="83" t="str">
        <f t="shared" si="1"/>
        <v/>
      </c>
      <c r="K116" s="85">
        <f t="shared" si="2"/>
        <v>0</v>
      </c>
      <c r="L116" s="83" t="str">
        <f t="shared" si="3"/>
        <v/>
      </c>
      <c r="M116" s="83">
        <f>'FEV-26'!H43</f>
        <v>0</v>
      </c>
      <c r="N116" s="92" t="str">
        <f ca="1">IF(BD!$C116="","",IF(AND(TODAY()&gt;BD!$C116,OR(BD!$D116="PENDENTE",BD!$D116="")),"VENCIDO",""))</f>
        <v/>
      </c>
      <c r="O116" s="82" t="str">
        <f ca="1">IF(N116 = "VENCIDO",BD!$B116,"")</f>
        <v/>
      </c>
      <c r="P116" s="82" t="str">
        <f ca="1">IF(N116 = "VENCIDO",BD!$C116,"")</f>
        <v/>
      </c>
      <c r="Q116" s="83" t="str">
        <f ca="1">IF(N116 = "VENCIDO",BD!$E116,"")</f>
        <v/>
      </c>
      <c r="R116" s="83" t="str">
        <f ca="1">IF(N116 = "VENCIDO",BD!$F116,"")</f>
        <v/>
      </c>
      <c r="S116" s="85" t="str">
        <f ca="1">IF(N116 = "VENCIDO",BD!$G116,"")</f>
        <v/>
      </c>
      <c r="T116" s="83" t="str">
        <f ca="1">IF(AND(TODAY()&gt;BD!$C116, OR(BD!$D116="PENDENTE", BD!$D116="")), TODAY()-BD!$C116, "")</f>
        <v/>
      </c>
    </row>
    <row r="117" spans="1:26" ht="14.25" customHeight="1" x14ac:dyDescent="0.35">
      <c r="A117" s="32"/>
      <c r="B117" s="82">
        <f>'FEV-26'!A44</f>
        <v>0</v>
      </c>
      <c r="C117" s="82">
        <f>'FEV-26'!B44</f>
        <v>0</v>
      </c>
      <c r="D117" s="82">
        <f>'FEV-26'!C44</f>
        <v>0</v>
      </c>
      <c r="E117" s="83">
        <f>'FEV-26'!D44</f>
        <v>0</v>
      </c>
      <c r="F117" s="84">
        <f>'FEV-26'!E44</f>
        <v>0</v>
      </c>
      <c r="G117" s="85">
        <f>'FEV-26'!F44</f>
        <v>0</v>
      </c>
      <c r="H117" s="85">
        <f t="shared" si="0"/>
        <v>0</v>
      </c>
      <c r="I117" s="83" t="s">
        <v>96</v>
      </c>
      <c r="J117" s="83" t="str">
        <f t="shared" si="1"/>
        <v/>
      </c>
      <c r="K117" s="85">
        <f t="shared" si="2"/>
        <v>0</v>
      </c>
      <c r="L117" s="83" t="str">
        <f t="shared" si="3"/>
        <v/>
      </c>
      <c r="M117" s="83">
        <f>'FEV-26'!H44</f>
        <v>0</v>
      </c>
      <c r="N117" s="92" t="str">
        <f ca="1">IF(BD!$C117="","",IF(AND(TODAY()&gt;BD!$C117,OR(BD!$D117="PENDENTE",BD!$D117="")),"VENCIDO",""))</f>
        <v/>
      </c>
      <c r="O117" s="82" t="str">
        <f ca="1">IF(N117 = "VENCIDO",BD!$B117,"")</f>
        <v/>
      </c>
      <c r="P117" s="82" t="str">
        <f ca="1">IF(N117 = "VENCIDO",BD!$C117,"")</f>
        <v/>
      </c>
      <c r="Q117" s="83" t="str">
        <f ca="1">IF(N117 = "VENCIDO",BD!$E117,"")</f>
        <v/>
      </c>
      <c r="R117" s="83" t="str">
        <f ca="1">IF(N117 = "VENCIDO",BD!$F117,"")</f>
        <v/>
      </c>
      <c r="S117" s="85" t="str">
        <f ca="1">IF(N117 = "VENCIDO",BD!$G117,"")</f>
        <v/>
      </c>
      <c r="T117" s="83" t="str">
        <f ca="1">IF(AND(TODAY()&gt;BD!$C117, OR(BD!$D117="PENDENTE", BD!$D117="")), TODAY()-BD!$C117, "")</f>
        <v/>
      </c>
      <c r="U117" s="32"/>
      <c r="V117" s="32"/>
      <c r="W117" s="32"/>
      <c r="X117" s="32"/>
      <c r="Y117" s="32"/>
      <c r="Z117" s="32"/>
    </row>
    <row r="118" spans="1:26" ht="14.25" customHeight="1" x14ac:dyDescent="0.35">
      <c r="A118" s="32"/>
      <c r="B118" s="82">
        <f>'FEV-26'!A45</f>
        <v>0</v>
      </c>
      <c r="C118" s="82">
        <f>'FEV-26'!B45</f>
        <v>0</v>
      </c>
      <c r="D118" s="82">
        <f>'FEV-26'!C45</f>
        <v>0</v>
      </c>
      <c r="E118" s="83">
        <f>'FEV-26'!D45</f>
        <v>0</v>
      </c>
      <c r="F118" s="84">
        <f>'FEV-26'!E45</f>
        <v>0</v>
      </c>
      <c r="G118" s="85">
        <f>'FEV-26'!F45</f>
        <v>0</v>
      </c>
      <c r="H118" s="85">
        <f t="shared" si="0"/>
        <v>0</v>
      </c>
      <c r="I118" s="83" t="s">
        <v>96</v>
      </c>
      <c r="J118" s="83" t="str">
        <f t="shared" si="1"/>
        <v/>
      </c>
      <c r="K118" s="85">
        <f t="shared" si="2"/>
        <v>0</v>
      </c>
      <c r="L118" s="83" t="str">
        <f t="shared" si="3"/>
        <v/>
      </c>
      <c r="M118" s="83">
        <f>'FEV-26'!H45</f>
        <v>0</v>
      </c>
      <c r="N118" s="92" t="str">
        <f ca="1">IF(BD!$C118="","",IF(AND(TODAY()&gt;BD!$C118,OR(BD!$D118="PENDENTE",BD!$D118="")),"VENCIDO",""))</f>
        <v/>
      </c>
      <c r="O118" s="82" t="str">
        <f ca="1">IF(N118 = "VENCIDO",BD!$B118,"")</f>
        <v/>
      </c>
      <c r="P118" s="82" t="str">
        <f ca="1">IF(N118 = "VENCIDO",BD!$C118,"")</f>
        <v/>
      </c>
      <c r="Q118" s="83" t="str">
        <f ca="1">IF(N118 = "VENCIDO",BD!$E118,"")</f>
        <v/>
      </c>
      <c r="R118" s="83" t="str">
        <f ca="1">IF(N118 = "VENCIDO",BD!$F118,"")</f>
        <v/>
      </c>
      <c r="S118" s="85" t="str">
        <f ca="1">IF(N118 = "VENCIDO",BD!$G118,"")</f>
        <v/>
      </c>
      <c r="T118" s="83" t="str">
        <f ca="1">IF(AND(TODAY()&gt;BD!$C118, OR(BD!$D118="PENDENTE", BD!$D118="")), TODAY()-BD!$C118, "")</f>
        <v/>
      </c>
    </row>
    <row r="119" spans="1:26" ht="14.25" customHeight="1" x14ac:dyDescent="0.35">
      <c r="A119" s="32"/>
      <c r="B119" s="82">
        <f>'FEV-26'!A46</f>
        <v>0</v>
      </c>
      <c r="C119" s="82">
        <f>'FEV-26'!B46</f>
        <v>0</v>
      </c>
      <c r="D119" s="82">
        <f>'FEV-26'!C46</f>
        <v>0</v>
      </c>
      <c r="E119" s="83">
        <f>'FEV-26'!D46</f>
        <v>0</v>
      </c>
      <c r="F119" s="84">
        <f>'FEV-26'!E46</f>
        <v>0</v>
      </c>
      <c r="G119" s="85">
        <f>'FEV-26'!F46</f>
        <v>0</v>
      </c>
      <c r="H119" s="85">
        <f t="shared" si="0"/>
        <v>0</v>
      </c>
      <c r="I119" s="83" t="s">
        <v>96</v>
      </c>
      <c r="J119" s="83" t="str">
        <f t="shared" si="1"/>
        <v/>
      </c>
      <c r="K119" s="85">
        <f t="shared" si="2"/>
        <v>0</v>
      </c>
      <c r="L119" s="83" t="str">
        <f t="shared" si="3"/>
        <v/>
      </c>
      <c r="M119" s="83">
        <f>'FEV-26'!H46</f>
        <v>0</v>
      </c>
      <c r="N119" s="92" t="str">
        <f ca="1">IF(BD!$C119="","",IF(AND(TODAY()&gt;BD!$C119,OR(BD!$D119="PENDENTE",BD!$D119="")),"VENCIDO",""))</f>
        <v/>
      </c>
      <c r="O119" s="82" t="str">
        <f ca="1">IF(N119 = "VENCIDO",BD!$B119,"")</f>
        <v/>
      </c>
      <c r="P119" s="82" t="str">
        <f ca="1">IF(N119 = "VENCIDO",BD!$C119,"")</f>
        <v/>
      </c>
      <c r="Q119" s="83" t="str">
        <f ca="1">IF(N119 = "VENCIDO",BD!$E119,"")</f>
        <v/>
      </c>
      <c r="R119" s="83" t="str">
        <f ca="1">IF(N119 = "VENCIDO",BD!$F119,"")</f>
        <v/>
      </c>
      <c r="S119" s="85" t="str">
        <f ca="1">IF(N119 = "VENCIDO",BD!$G119,"")</f>
        <v/>
      </c>
      <c r="T119" s="83" t="str">
        <f ca="1">IF(AND(TODAY()&gt;BD!$C119, OR(BD!$D119="PENDENTE", BD!$D119="")), TODAY()-BD!$C119, "")</f>
        <v/>
      </c>
    </row>
    <row r="120" spans="1:26" ht="14.25" customHeight="1" x14ac:dyDescent="0.35">
      <c r="A120" s="32"/>
      <c r="B120" s="82">
        <f>'FEV-26'!A47</f>
        <v>0</v>
      </c>
      <c r="C120" s="82">
        <f>'FEV-26'!B47</f>
        <v>0</v>
      </c>
      <c r="D120" s="82">
        <f>'FEV-26'!C47</f>
        <v>0</v>
      </c>
      <c r="E120" s="83">
        <f>'FEV-26'!D47</f>
        <v>0</v>
      </c>
      <c r="F120" s="84">
        <f>'FEV-26'!E47</f>
        <v>0</v>
      </c>
      <c r="G120" s="85">
        <f>'FEV-26'!F47</f>
        <v>0</v>
      </c>
      <c r="H120" s="85">
        <f t="shared" si="0"/>
        <v>0</v>
      </c>
      <c r="I120" s="83" t="s">
        <v>96</v>
      </c>
      <c r="J120" s="83" t="str">
        <f t="shared" si="1"/>
        <v/>
      </c>
      <c r="K120" s="85">
        <f t="shared" si="2"/>
        <v>0</v>
      </c>
      <c r="L120" s="83" t="str">
        <f t="shared" si="3"/>
        <v/>
      </c>
      <c r="M120" s="83">
        <f>'FEV-26'!H47</f>
        <v>0</v>
      </c>
      <c r="N120" s="92" t="str">
        <f ca="1">IF(BD!$C120="","",IF(AND(TODAY()&gt;BD!$C120,OR(BD!$D120="PENDENTE",BD!$D120="")),"VENCIDO",""))</f>
        <v/>
      </c>
      <c r="O120" s="82" t="str">
        <f ca="1">IF(N120 = "VENCIDO",BD!$B120,"")</f>
        <v/>
      </c>
      <c r="P120" s="82" t="str">
        <f ca="1">IF(N120 = "VENCIDO",BD!$C120,"")</f>
        <v/>
      </c>
      <c r="Q120" s="83" t="str">
        <f ca="1">IF(N120 = "VENCIDO",BD!$E120,"")</f>
        <v/>
      </c>
      <c r="R120" s="83" t="str">
        <f ca="1">IF(N120 = "VENCIDO",BD!$F120,"")</f>
        <v/>
      </c>
      <c r="S120" s="85" t="str">
        <f ca="1">IF(N120 = "VENCIDO",BD!$G120,"")</f>
        <v/>
      </c>
      <c r="T120" s="83" t="str">
        <f ca="1">IF(AND(TODAY()&gt;BD!$C120, OR(BD!$D120="PENDENTE", BD!$D120="")), TODAY()-BD!$C120, "")</f>
        <v/>
      </c>
    </row>
    <row r="121" spans="1:26" ht="14.25" customHeight="1" x14ac:dyDescent="0.35">
      <c r="A121" s="32"/>
      <c r="B121" s="82">
        <f>'FEV-26'!A48</f>
        <v>0</v>
      </c>
      <c r="C121" s="82">
        <f>'FEV-26'!B48</f>
        <v>0</v>
      </c>
      <c r="D121" s="82">
        <f>'FEV-26'!C48</f>
        <v>0</v>
      </c>
      <c r="E121" s="83">
        <f>'FEV-26'!D48</f>
        <v>0</v>
      </c>
      <c r="F121" s="84">
        <f>'FEV-26'!E48</f>
        <v>0</v>
      </c>
      <c r="G121" s="85">
        <f>'FEV-26'!F48</f>
        <v>0</v>
      </c>
      <c r="H121" s="85">
        <f t="shared" si="0"/>
        <v>0</v>
      </c>
      <c r="I121" s="83" t="s">
        <v>96</v>
      </c>
      <c r="J121" s="83" t="str">
        <f t="shared" si="1"/>
        <v/>
      </c>
      <c r="K121" s="85">
        <f t="shared" si="2"/>
        <v>0</v>
      </c>
      <c r="L121" s="83" t="str">
        <f t="shared" si="3"/>
        <v/>
      </c>
      <c r="M121" s="83">
        <f>'FEV-26'!H48</f>
        <v>0</v>
      </c>
      <c r="N121" s="92" t="str">
        <f ca="1">IF(BD!$C121="","",IF(AND(TODAY()&gt;BD!$C121,OR(BD!$D121="PENDENTE",BD!$D121="")),"VENCIDO",""))</f>
        <v/>
      </c>
      <c r="O121" s="82" t="str">
        <f ca="1">IF(N121 = "VENCIDO",BD!$B121,"")</f>
        <v/>
      </c>
      <c r="P121" s="82" t="str">
        <f ca="1">IF(N121 = "VENCIDO",BD!$C121,"")</f>
        <v/>
      </c>
      <c r="Q121" s="83" t="str">
        <f ca="1">IF(N121 = "VENCIDO",BD!$E121,"")</f>
        <v/>
      </c>
      <c r="R121" s="83" t="str">
        <f ca="1">IF(N121 = "VENCIDO",BD!$F121,"")</f>
        <v/>
      </c>
      <c r="S121" s="85" t="str">
        <f ca="1">IF(N121 = "VENCIDO",BD!$G121,"")</f>
        <v/>
      </c>
      <c r="T121" s="83" t="str">
        <f ca="1">IF(AND(TODAY()&gt;BD!$C121, OR(BD!$D121="PENDENTE", BD!$D121="")), TODAY()-BD!$C121, "")</f>
        <v/>
      </c>
    </row>
    <row r="122" spans="1:26" ht="14.25" customHeight="1" x14ac:dyDescent="0.35">
      <c r="A122" s="32"/>
      <c r="B122" s="82">
        <f>'FEV-26'!A49</f>
        <v>0</v>
      </c>
      <c r="C122" s="82">
        <f>'FEV-26'!B49</f>
        <v>0</v>
      </c>
      <c r="D122" s="82">
        <f>'FEV-26'!C49</f>
        <v>0</v>
      </c>
      <c r="E122" s="83">
        <f>'FEV-26'!D49</f>
        <v>0</v>
      </c>
      <c r="F122" s="84">
        <f>'FEV-26'!E49</f>
        <v>0</v>
      </c>
      <c r="G122" s="85">
        <f>'FEV-26'!F49</f>
        <v>0</v>
      </c>
      <c r="H122" s="85">
        <f t="shared" si="0"/>
        <v>0</v>
      </c>
      <c r="I122" s="83" t="s">
        <v>96</v>
      </c>
      <c r="J122" s="83" t="str">
        <f t="shared" si="1"/>
        <v/>
      </c>
      <c r="K122" s="85">
        <f t="shared" si="2"/>
        <v>0</v>
      </c>
      <c r="L122" s="83" t="str">
        <f t="shared" si="3"/>
        <v/>
      </c>
      <c r="M122" s="83">
        <f>'FEV-26'!H49</f>
        <v>0</v>
      </c>
      <c r="N122" s="92" t="str">
        <f ca="1">IF(BD!$C122="","",IF(AND(TODAY()&gt;BD!$C122,OR(BD!$D122="PENDENTE",BD!$D122="")),"VENCIDO",""))</f>
        <v/>
      </c>
      <c r="O122" s="82" t="str">
        <f ca="1">IF(N122 = "VENCIDO",BD!$B122,"")</f>
        <v/>
      </c>
      <c r="P122" s="82" t="str">
        <f ca="1">IF(N122 = "VENCIDO",BD!$C122,"")</f>
        <v/>
      </c>
      <c r="Q122" s="83" t="str">
        <f ca="1">IF(N122 = "VENCIDO",BD!$E122,"")</f>
        <v/>
      </c>
      <c r="R122" s="83" t="str">
        <f ca="1">IF(N122 = "VENCIDO",BD!$F122,"")</f>
        <v/>
      </c>
      <c r="S122" s="85" t="str">
        <f ca="1">IF(N122 = "VENCIDO",BD!$G122,"")</f>
        <v/>
      </c>
      <c r="T122" s="83" t="str">
        <f ca="1">IF(AND(TODAY()&gt;BD!$C122, OR(BD!$D122="PENDENTE", BD!$D122="")), TODAY()-BD!$C122, "")</f>
        <v/>
      </c>
    </row>
    <row r="123" spans="1:26" ht="14.25" customHeight="1" x14ac:dyDescent="0.35">
      <c r="A123" s="32"/>
      <c r="B123" s="82">
        <f>'FEV-26'!A50</f>
        <v>0</v>
      </c>
      <c r="C123" s="82">
        <f>'FEV-26'!B50</f>
        <v>0</v>
      </c>
      <c r="D123" s="82">
        <f>'FEV-26'!C50</f>
        <v>0</v>
      </c>
      <c r="E123" s="83">
        <f>'FEV-26'!D50</f>
        <v>0</v>
      </c>
      <c r="F123" s="84">
        <f>'FEV-26'!E50</f>
        <v>0</v>
      </c>
      <c r="G123" s="85">
        <f>'FEV-26'!F50</f>
        <v>0</v>
      </c>
      <c r="H123" s="85">
        <f t="shared" si="0"/>
        <v>0</v>
      </c>
      <c r="I123" s="83" t="s">
        <v>96</v>
      </c>
      <c r="J123" s="83" t="str">
        <f t="shared" si="1"/>
        <v/>
      </c>
      <c r="K123" s="85">
        <f t="shared" si="2"/>
        <v>0</v>
      </c>
      <c r="L123" s="83" t="str">
        <f t="shared" si="3"/>
        <v/>
      </c>
      <c r="M123" s="83">
        <f>'FEV-26'!H50</f>
        <v>0</v>
      </c>
      <c r="N123" s="92" t="str">
        <f ca="1">IF(BD!$C123="","",IF(AND(TODAY()&gt;BD!$C123,OR(BD!$D123="PENDENTE",BD!$D123="")),"VENCIDO",""))</f>
        <v/>
      </c>
      <c r="O123" s="82" t="str">
        <f ca="1">IF(N123 = "VENCIDO",BD!$B123,"")</f>
        <v/>
      </c>
      <c r="P123" s="82" t="str">
        <f ca="1">IF(N123 = "VENCIDO",BD!$C123,"")</f>
        <v/>
      </c>
      <c r="Q123" s="83" t="str">
        <f ca="1">IF(N123 = "VENCIDO",BD!$E123,"")</f>
        <v/>
      </c>
      <c r="R123" s="83" t="str">
        <f ca="1">IF(N123 = "VENCIDO",BD!$F123,"")</f>
        <v/>
      </c>
      <c r="S123" s="85" t="str">
        <f ca="1">IF(N123 = "VENCIDO",BD!$G123,"")</f>
        <v/>
      </c>
      <c r="T123" s="83" t="str">
        <f ca="1">IF(AND(TODAY()&gt;BD!$C123, OR(BD!$D123="PENDENTE", BD!$D123="")), TODAY()-BD!$C123, "")</f>
        <v/>
      </c>
    </row>
    <row r="124" spans="1:26" ht="14.25" customHeight="1" x14ac:dyDescent="0.35">
      <c r="A124" s="32"/>
      <c r="B124" s="82">
        <f>'FEV-26'!A51</f>
        <v>0</v>
      </c>
      <c r="C124" s="82">
        <f>'FEV-26'!B51</f>
        <v>0</v>
      </c>
      <c r="D124" s="82">
        <f>'FEV-26'!C51</f>
        <v>0</v>
      </c>
      <c r="E124" s="83">
        <f>'FEV-26'!D51</f>
        <v>0</v>
      </c>
      <c r="F124" s="84">
        <f>'FEV-26'!E51</f>
        <v>0</v>
      </c>
      <c r="G124" s="85">
        <f>'FEV-26'!F51</f>
        <v>0</v>
      </c>
      <c r="H124" s="85">
        <f t="shared" si="0"/>
        <v>0</v>
      </c>
      <c r="I124" s="83" t="s">
        <v>96</v>
      </c>
      <c r="J124" s="83" t="str">
        <f t="shared" si="1"/>
        <v/>
      </c>
      <c r="K124" s="85">
        <f t="shared" si="2"/>
        <v>0</v>
      </c>
      <c r="L124" s="83" t="str">
        <f t="shared" si="3"/>
        <v/>
      </c>
      <c r="M124" s="83">
        <f>'FEV-26'!H51</f>
        <v>0</v>
      </c>
      <c r="N124" s="92" t="str">
        <f ca="1">IF(BD!$C124="","",IF(AND(TODAY()&gt;BD!$C124,OR(BD!$D124="PENDENTE",BD!$D124="")),"VENCIDO",""))</f>
        <v/>
      </c>
      <c r="O124" s="82" t="str">
        <f ca="1">IF(N124 = "VENCIDO",BD!$B124,"")</f>
        <v/>
      </c>
      <c r="P124" s="82" t="str">
        <f ca="1">IF(N124 = "VENCIDO",BD!$C124,"")</f>
        <v/>
      </c>
      <c r="Q124" s="83" t="str">
        <f ca="1">IF(N124 = "VENCIDO",BD!$E124,"")</f>
        <v/>
      </c>
      <c r="R124" s="83" t="str">
        <f ca="1">IF(N124 = "VENCIDO",BD!$F124,"")</f>
        <v/>
      </c>
      <c r="S124" s="85" t="str">
        <f ca="1">IF(N124 = "VENCIDO",BD!$G124,"")</f>
        <v/>
      </c>
      <c r="T124" s="83" t="str">
        <f ca="1">IF(AND(TODAY()&gt;BD!$C124, OR(BD!$D124="PENDENTE", BD!$D124="")), TODAY()-BD!$C124, "")</f>
        <v/>
      </c>
    </row>
    <row r="125" spans="1:26" ht="14.25" customHeight="1" x14ac:dyDescent="0.35">
      <c r="A125" s="32"/>
      <c r="B125" s="82">
        <f>'FEV-26'!A52</f>
        <v>0</v>
      </c>
      <c r="C125" s="82">
        <f>'FEV-26'!B52</f>
        <v>0</v>
      </c>
      <c r="D125" s="82">
        <f>'FEV-26'!C52</f>
        <v>0</v>
      </c>
      <c r="E125" s="83">
        <f>'FEV-26'!D52</f>
        <v>0</v>
      </c>
      <c r="F125" s="84">
        <f>'FEV-26'!E52</f>
        <v>0</v>
      </c>
      <c r="G125" s="85">
        <f>'FEV-26'!F52</f>
        <v>0</v>
      </c>
      <c r="H125" s="85">
        <f t="shared" si="0"/>
        <v>0</v>
      </c>
      <c r="I125" s="83" t="s">
        <v>96</v>
      </c>
      <c r="J125" s="83" t="str">
        <f t="shared" si="1"/>
        <v/>
      </c>
      <c r="K125" s="85">
        <f t="shared" si="2"/>
        <v>0</v>
      </c>
      <c r="L125" s="83" t="str">
        <f t="shared" si="3"/>
        <v/>
      </c>
      <c r="M125" s="83">
        <f>'FEV-26'!H52</f>
        <v>0</v>
      </c>
      <c r="N125" s="92" t="str">
        <f ca="1">IF(BD!$C125="","",IF(AND(TODAY()&gt;BD!$C125,OR(BD!$D125="PENDENTE",BD!$D125="")),"VENCIDO",""))</f>
        <v/>
      </c>
      <c r="O125" s="82" t="str">
        <f ca="1">IF(N125 = "VENCIDO",BD!$B125,"")</f>
        <v/>
      </c>
      <c r="P125" s="82" t="str">
        <f ca="1">IF(N125 = "VENCIDO",BD!$C125,"")</f>
        <v/>
      </c>
      <c r="Q125" s="83" t="str">
        <f ca="1">IF(N125 = "VENCIDO",BD!$E125,"")</f>
        <v/>
      </c>
      <c r="R125" s="83" t="str">
        <f ca="1">IF(N125 = "VENCIDO",BD!$F125,"")</f>
        <v/>
      </c>
      <c r="S125" s="85" t="str">
        <f ca="1">IF(N125 = "VENCIDO",BD!$G125,"")</f>
        <v/>
      </c>
      <c r="T125" s="83" t="str">
        <f ca="1">IF(AND(TODAY()&gt;BD!$C125, OR(BD!$D125="PENDENTE", BD!$D125="")), TODAY()-BD!$C125, "")</f>
        <v/>
      </c>
    </row>
    <row r="126" spans="1:26" ht="14.25" customHeight="1" x14ac:dyDescent="0.35">
      <c r="A126" s="32"/>
      <c r="B126" s="82">
        <f>'FEV-26'!A53</f>
        <v>46079</v>
      </c>
      <c r="C126" s="82">
        <f>'FEV-26'!B53</f>
        <v>46080</v>
      </c>
      <c r="D126" s="82">
        <f>'FEV-26'!C53</f>
        <v>46077</v>
      </c>
      <c r="E126" s="83">
        <f>'FEV-26'!D53</f>
        <v>23685</v>
      </c>
      <c r="F126" s="84" t="str">
        <f>'FEV-26'!E53</f>
        <v xml:space="preserve">I&amp;M PAPEIS E EMBALAGENS  LTDA </v>
      </c>
      <c r="G126" s="85">
        <f>'FEV-26'!F53</f>
        <v>3981.74</v>
      </c>
      <c r="H126" s="85">
        <f t="shared" si="0"/>
        <v>3981.74</v>
      </c>
      <c r="I126" s="83" t="s">
        <v>96</v>
      </c>
      <c r="J126" s="83" t="str">
        <f t="shared" si="1"/>
        <v>FEV</v>
      </c>
      <c r="K126" s="85">
        <f t="shared" si="2"/>
        <v>0</v>
      </c>
      <c r="L126" s="83" t="str">
        <f t="shared" si="3"/>
        <v/>
      </c>
      <c r="M126" s="83">
        <f>'FEV-26'!H53</f>
        <v>0</v>
      </c>
      <c r="N126" s="92" t="str">
        <f ca="1">IF(BD!$C126="","",IF(AND(TODAY()&gt;BD!$C126,OR(BD!$D126="PENDENTE",BD!$D126="")),"VENCIDO",""))</f>
        <v/>
      </c>
      <c r="O126" s="82" t="str">
        <f ca="1">IF(N126 = "VENCIDO",BD!$B126,"")</f>
        <v/>
      </c>
      <c r="P126" s="82" t="str">
        <f ca="1">IF(N126 = "VENCIDO",BD!$C126,"")</f>
        <v/>
      </c>
      <c r="Q126" s="83" t="str">
        <f ca="1">IF(N126 = "VENCIDO",BD!$E126,"")</f>
        <v/>
      </c>
      <c r="R126" s="83" t="str">
        <f ca="1">IF(N126 = "VENCIDO",BD!$F126,"")</f>
        <v/>
      </c>
      <c r="S126" s="85" t="str">
        <f ca="1">IF(N126 = "VENCIDO",BD!$G126,"")</f>
        <v/>
      </c>
      <c r="T126" s="83" t="str">
        <f ca="1">IF(AND(TODAY()&gt;BD!$C126, OR(BD!$D126="PENDENTE", BD!$D126="")), TODAY()-BD!$C126, "")</f>
        <v/>
      </c>
    </row>
    <row r="127" spans="1:26" ht="14.25" customHeight="1" x14ac:dyDescent="0.35">
      <c r="A127" s="32"/>
      <c r="B127" s="82">
        <f>'FEV-26'!A54</f>
        <v>46079</v>
      </c>
      <c r="C127" s="82">
        <f>'FEV-26'!B54</f>
        <v>46107</v>
      </c>
      <c r="D127" s="82">
        <f>'FEV-26'!C54</f>
        <v>46106</v>
      </c>
      <c r="E127" s="83">
        <f>'FEV-26'!D54</f>
        <v>23686</v>
      </c>
      <c r="F127" s="84" t="str">
        <f>'FEV-26'!E54</f>
        <v xml:space="preserve">UNIFRAX BRASIL LTDA </v>
      </c>
      <c r="G127" s="85">
        <f>'FEV-26'!F54</f>
        <v>6208</v>
      </c>
      <c r="H127" s="85">
        <f t="shared" si="0"/>
        <v>6208</v>
      </c>
      <c r="I127" s="83" t="s">
        <v>96</v>
      </c>
      <c r="J127" s="83" t="str">
        <f t="shared" si="1"/>
        <v>MAR</v>
      </c>
      <c r="K127" s="85">
        <f t="shared" si="2"/>
        <v>0</v>
      </c>
      <c r="L127" s="83" t="str">
        <f t="shared" si="3"/>
        <v/>
      </c>
      <c r="M127" s="83">
        <f>'FEV-26'!H54</f>
        <v>0</v>
      </c>
      <c r="N127" s="92" t="str">
        <f ca="1">IF(BD!$C127="","",IF(AND(TODAY()&gt;BD!$C127,OR(BD!$D127="PENDENTE",BD!$D127="")),"VENCIDO",""))</f>
        <v/>
      </c>
      <c r="O127" s="82" t="str">
        <f ca="1">IF(N127 = "VENCIDO",BD!$B127,"")</f>
        <v/>
      </c>
      <c r="P127" s="82" t="str">
        <f ca="1">IF(N127 = "VENCIDO",BD!$C127,"")</f>
        <v/>
      </c>
      <c r="Q127" s="83" t="str">
        <f ca="1">IF(N127 = "VENCIDO",BD!$E127,"")</f>
        <v/>
      </c>
      <c r="R127" s="83" t="str">
        <f ca="1">IF(N127 = "VENCIDO",BD!$F127,"")</f>
        <v/>
      </c>
      <c r="S127" s="85" t="str">
        <f ca="1">IF(N127 = "VENCIDO",BD!$G127,"")</f>
        <v/>
      </c>
      <c r="T127" s="83" t="str">
        <f ca="1">IF(AND(TODAY()&gt;BD!$C127, OR(BD!$D127="PENDENTE", BD!$D127="")), TODAY()-BD!$C127, "")</f>
        <v/>
      </c>
    </row>
    <row r="128" spans="1:26" ht="14.25" customHeight="1" x14ac:dyDescent="0.35">
      <c r="A128" s="32"/>
      <c r="B128" s="82">
        <f>'FEV-26'!A55</f>
        <v>46079</v>
      </c>
      <c r="C128" s="82">
        <f>'FEV-26'!B55</f>
        <v>46107</v>
      </c>
      <c r="D128" s="82">
        <f>'FEV-26'!C55</f>
        <v>46104</v>
      </c>
      <c r="E128" s="83">
        <f>'FEV-26'!D55</f>
        <v>23687</v>
      </c>
      <c r="F128" s="84" t="str">
        <f>'FEV-26'!E55</f>
        <v>METALBAST EQUIPAMENTOS E MAQUINAS LTDA</v>
      </c>
      <c r="G128" s="85">
        <f>'FEV-26'!F55</f>
        <v>1288</v>
      </c>
      <c r="H128" s="85">
        <f t="shared" si="0"/>
        <v>1288</v>
      </c>
      <c r="I128" s="83" t="s">
        <v>96</v>
      </c>
      <c r="J128" s="83" t="str">
        <f t="shared" si="1"/>
        <v>MAR</v>
      </c>
      <c r="K128" s="85">
        <f t="shared" si="2"/>
        <v>0</v>
      </c>
      <c r="L128" s="83" t="str">
        <f t="shared" si="3"/>
        <v/>
      </c>
      <c r="M128" s="83">
        <f>'FEV-26'!H55</f>
        <v>0</v>
      </c>
      <c r="N128" s="92" t="str">
        <f ca="1">IF(BD!$C128="","",IF(AND(TODAY()&gt;BD!$C128,OR(BD!$D128="PENDENTE",BD!$D128="")),"VENCIDO",""))</f>
        <v/>
      </c>
      <c r="O128" s="82" t="str">
        <f ca="1">IF(N128 = "VENCIDO",BD!$B128,"")</f>
        <v/>
      </c>
      <c r="P128" s="82" t="str">
        <f ca="1">IF(N128 = "VENCIDO",BD!$C128,"")</f>
        <v/>
      </c>
      <c r="Q128" s="83" t="str">
        <f ca="1">IF(N128 = "VENCIDO",BD!$E128,"")</f>
        <v/>
      </c>
      <c r="R128" s="83" t="str">
        <f ca="1">IF(N128 = "VENCIDO",BD!$F128,"")</f>
        <v/>
      </c>
      <c r="S128" s="85" t="str">
        <f ca="1">IF(N128 = "VENCIDO",BD!$G128,"")</f>
        <v/>
      </c>
      <c r="T128" s="83" t="str">
        <f ca="1">IF(AND(TODAY()&gt;BD!$C128, OR(BD!$D128="PENDENTE", BD!$D128="")), TODAY()-BD!$C128, "")</f>
        <v/>
      </c>
    </row>
    <row r="129" spans="1:20" ht="14.25" customHeight="1" x14ac:dyDescent="0.35">
      <c r="A129" s="32"/>
      <c r="B129" s="82">
        <f>'FEV-26'!A56</f>
        <v>0</v>
      </c>
      <c r="C129" s="82">
        <f>'FEV-26'!B56</f>
        <v>0</v>
      </c>
      <c r="D129" s="82">
        <f>'FEV-26'!C56</f>
        <v>0</v>
      </c>
      <c r="E129" s="83">
        <f>'FEV-26'!D56</f>
        <v>0</v>
      </c>
      <c r="F129" s="84">
        <f>'FEV-26'!E56</f>
        <v>0</v>
      </c>
      <c r="G129" s="85">
        <f>'FEV-26'!F56</f>
        <v>0</v>
      </c>
      <c r="H129" s="85">
        <f t="shared" si="0"/>
        <v>0</v>
      </c>
      <c r="I129" s="83" t="s">
        <v>96</v>
      </c>
      <c r="J129" s="83" t="str">
        <f t="shared" si="1"/>
        <v/>
      </c>
      <c r="K129" s="85">
        <f t="shared" si="2"/>
        <v>0</v>
      </c>
      <c r="L129" s="83" t="str">
        <f t="shared" si="3"/>
        <v/>
      </c>
      <c r="M129" s="83">
        <f>'FEV-26'!H56</f>
        <v>0</v>
      </c>
      <c r="N129" s="92" t="str">
        <f ca="1">IF(BD!$C129="","",IF(AND(TODAY()&gt;BD!$C129,OR(BD!$D129="PENDENTE",BD!$D129="")),"VENCIDO",""))</f>
        <v/>
      </c>
      <c r="O129" s="82" t="str">
        <f ca="1">IF(N129 = "VENCIDO",BD!$B129,"")</f>
        <v/>
      </c>
      <c r="P129" s="82" t="str">
        <f ca="1">IF(N129 = "VENCIDO",BD!$C129,"")</f>
        <v/>
      </c>
      <c r="Q129" s="83" t="str">
        <f ca="1">IF(N129 = "VENCIDO",BD!$E129,"")</f>
        <v/>
      </c>
      <c r="R129" s="83" t="str">
        <f ca="1">IF(N129 = "VENCIDO",BD!$F129,"")</f>
        <v/>
      </c>
      <c r="S129" s="85" t="str">
        <f ca="1">IF(N129 = "VENCIDO",BD!$G129,"")</f>
        <v/>
      </c>
      <c r="T129" s="83" t="str">
        <f ca="1">IF(AND(TODAY()&gt;BD!$C129, OR(BD!$D129="PENDENTE", BD!$D129="")), TODAY()-BD!$C129, "")</f>
        <v/>
      </c>
    </row>
    <row r="130" spans="1:20" ht="14.25" customHeight="1" x14ac:dyDescent="0.35">
      <c r="A130" s="32"/>
      <c r="B130" s="82">
        <f>'FEV-26'!A57</f>
        <v>0</v>
      </c>
      <c r="C130" s="82">
        <f>'FEV-26'!B57</f>
        <v>0</v>
      </c>
      <c r="D130" s="82">
        <f>'FEV-26'!C57</f>
        <v>0</v>
      </c>
      <c r="E130" s="83">
        <f>'FEV-26'!D57</f>
        <v>0</v>
      </c>
      <c r="F130" s="84">
        <f>'FEV-26'!E57</f>
        <v>0</v>
      </c>
      <c r="G130" s="85">
        <f>'FEV-26'!F57</f>
        <v>0</v>
      </c>
      <c r="H130" s="85">
        <f t="shared" si="0"/>
        <v>0</v>
      </c>
      <c r="I130" s="83" t="s">
        <v>96</v>
      </c>
      <c r="J130" s="83" t="str">
        <f t="shared" si="1"/>
        <v/>
      </c>
      <c r="K130" s="85">
        <f t="shared" si="2"/>
        <v>0</v>
      </c>
      <c r="L130" s="83" t="str">
        <f t="shared" si="3"/>
        <v/>
      </c>
      <c r="M130" s="83">
        <f>'FEV-26'!H57</f>
        <v>0</v>
      </c>
      <c r="N130" s="92" t="str">
        <f ca="1">IF(BD!$C130="","",IF(AND(TODAY()&gt;BD!$C130,OR(BD!$D130="PENDENTE",BD!$D130="")),"VENCIDO",""))</f>
        <v/>
      </c>
      <c r="O130" s="82" t="str">
        <f ca="1">IF(N130 = "VENCIDO",BD!$B130,"")</f>
        <v/>
      </c>
      <c r="P130" s="82" t="str">
        <f ca="1">IF(N130 = "VENCIDO",BD!$C130,"")</f>
        <v/>
      </c>
      <c r="Q130" s="83" t="str">
        <f ca="1">IF(N130 = "VENCIDO",BD!$E130,"")</f>
        <v/>
      </c>
      <c r="R130" s="83" t="str">
        <f ca="1">IF(N130 = "VENCIDO",BD!$F130,"")</f>
        <v/>
      </c>
      <c r="S130" s="85" t="str">
        <f ca="1">IF(N130 = "VENCIDO",BD!$G130,"")</f>
        <v/>
      </c>
      <c r="T130" s="83" t="str">
        <f ca="1">IF(AND(TODAY()&gt;BD!$C130, OR(BD!$D130="PENDENTE", BD!$D130="")), TODAY()-BD!$C130, "")</f>
        <v/>
      </c>
    </row>
    <row r="131" spans="1:20" ht="14.25" customHeight="1" x14ac:dyDescent="0.35">
      <c r="A131" s="32"/>
      <c r="B131" s="82">
        <f>'FEV-26'!A58</f>
        <v>0</v>
      </c>
      <c r="C131" s="82">
        <f>'FEV-26'!B58</f>
        <v>0</v>
      </c>
      <c r="D131" s="82">
        <f>'FEV-26'!C58</f>
        <v>0</v>
      </c>
      <c r="E131" s="83">
        <f>'FEV-26'!D58</f>
        <v>0</v>
      </c>
      <c r="F131" s="84">
        <f>'FEV-26'!E58</f>
        <v>0</v>
      </c>
      <c r="G131" s="85">
        <f>'FEV-26'!F58</f>
        <v>0</v>
      </c>
      <c r="H131" s="85">
        <f t="shared" si="0"/>
        <v>0</v>
      </c>
      <c r="I131" s="83" t="s">
        <v>96</v>
      </c>
      <c r="J131" s="83" t="str">
        <f t="shared" si="1"/>
        <v/>
      </c>
      <c r="K131" s="85">
        <f t="shared" si="2"/>
        <v>0</v>
      </c>
      <c r="L131" s="83" t="str">
        <f t="shared" si="3"/>
        <v/>
      </c>
      <c r="M131" s="83">
        <f>'FEV-26'!H58</f>
        <v>0</v>
      </c>
      <c r="N131" s="92" t="str">
        <f ca="1">IF(BD!$C131="","",IF(AND(TODAY()&gt;BD!$C131,OR(BD!$D131="PENDENTE",BD!$D131="")),"VENCIDO",""))</f>
        <v/>
      </c>
      <c r="O131" s="82" t="str">
        <f ca="1">IF(N131 = "VENCIDO",BD!$B131,"")</f>
        <v/>
      </c>
      <c r="P131" s="82" t="str">
        <f ca="1">IF(N131 = "VENCIDO",BD!$C131,"")</f>
        <v/>
      </c>
      <c r="Q131" s="83" t="str">
        <f ca="1">IF(N131 = "VENCIDO",BD!$E131,"")</f>
        <v/>
      </c>
      <c r="R131" s="83" t="str">
        <f ca="1">IF(N131 = "VENCIDO",BD!$F131,"")</f>
        <v/>
      </c>
      <c r="S131" s="85" t="str">
        <f ca="1">IF(N131 = "VENCIDO",BD!$G131,"")</f>
        <v/>
      </c>
      <c r="T131" s="83" t="str">
        <f ca="1">IF(AND(TODAY()&gt;BD!$C131, OR(BD!$D131="PENDENTE", BD!$D131="")), TODAY()-BD!$C131, "")</f>
        <v/>
      </c>
    </row>
    <row r="132" spans="1:20" ht="14.25" customHeight="1" x14ac:dyDescent="0.35">
      <c r="A132" s="32"/>
      <c r="B132" s="82">
        <f>'FEV-26'!A59</f>
        <v>0</v>
      </c>
      <c r="C132" s="82">
        <f>'FEV-26'!B59</f>
        <v>0</v>
      </c>
      <c r="D132" s="82">
        <f>'FEV-26'!C59</f>
        <v>0</v>
      </c>
      <c r="E132" s="83">
        <f>'FEV-26'!D59</f>
        <v>0</v>
      </c>
      <c r="F132" s="84">
        <f>'FEV-26'!E59</f>
        <v>0</v>
      </c>
      <c r="G132" s="85">
        <f>'FEV-26'!F59</f>
        <v>0</v>
      </c>
      <c r="H132" s="85">
        <f t="shared" si="0"/>
        <v>0</v>
      </c>
      <c r="I132" s="83" t="s">
        <v>96</v>
      </c>
      <c r="J132" s="83" t="str">
        <f t="shared" si="1"/>
        <v/>
      </c>
      <c r="K132" s="85">
        <f t="shared" si="2"/>
        <v>0</v>
      </c>
      <c r="L132" s="83" t="str">
        <f t="shared" si="3"/>
        <v/>
      </c>
      <c r="M132" s="83">
        <f>'FEV-26'!H59</f>
        <v>0</v>
      </c>
      <c r="N132" s="92" t="str">
        <f ca="1">IF(BD!$C132="","",IF(AND(TODAY()&gt;BD!$C132,OR(BD!$D132="PENDENTE",BD!$D132="")),"VENCIDO",""))</f>
        <v/>
      </c>
      <c r="O132" s="82" t="str">
        <f ca="1">IF(N132 = "VENCIDO",BD!$B132,"")</f>
        <v/>
      </c>
      <c r="P132" s="82" t="str">
        <f ca="1">IF(N132 = "VENCIDO",BD!$C132,"")</f>
        <v/>
      </c>
      <c r="Q132" s="83" t="str">
        <f ca="1">IF(N132 = "VENCIDO",BD!$E132,"")</f>
        <v/>
      </c>
      <c r="R132" s="83" t="str">
        <f ca="1">IF(N132 = "VENCIDO",BD!$F132,"")</f>
        <v/>
      </c>
      <c r="S132" s="85" t="str">
        <f ca="1">IF(N132 = "VENCIDO",BD!$G132,"")</f>
        <v/>
      </c>
      <c r="T132" s="83" t="str">
        <f ca="1">IF(AND(TODAY()&gt;BD!$C132, OR(BD!$D132="PENDENTE", BD!$D132="")), TODAY()-BD!$C132, "")</f>
        <v/>
      </c>
    </row>
    <row r="133" spans="1:20" ht="14.25" customHeight="1" x14ac:dyDescent="0.35">
      <c r="A133" s="32"/>
      <c r="B133" s="82">
        <f>'FEV-26'!A60</f>
        <v>0</v>
      </c>
      <c r="C133" s="82">
        <f>'FEV-26'!B60</f>
        <v>0</v>
      </c>
      <c r="D133" s="82">
        <f>'FEV-26'!C60</f>
        <v>0</v>
      </c>
      <c r="E133" s="83">
        <f>'FEV-26'!D60</f>
        <v>0</v>
      </c>
      <c r="F133" s="84">
        <f>'FEV-26'!E60</f>
        <v>0</v>
      </c>
      <c r="G133" s="85">
        <f>'FEV-26'!F60</f>
        <v>0</v>
      </c>
      <c r="H133" s="85">
        <f t="shared" si="0"/>
        <v>0</v>
      </c>
      <c r="I133" s="83" t="s">
        <v>96</v>
      </c>
      <c r="J133" s="83" t="str">
        <f t="shared" si="1"/>
        <v/>
      </c>
      <c r="K133" s="85">
        <f t="shared" si="2"/>
        <v>0</v>
      </c>
      <c r="L133" s="83" t="str">
        <f t="shared" si="3"/>
        <v/>
      </c>
      <c r="M133" s="83">
        <f>'FEV-26'!H60</f>
        <v>0</v>
      </c>
      <c r="N133" s="92" t="str">
        <f ca="1">IF(BD!$C133="","",IF(AND(TODAY()&gt;BD!$C133,OR(BD!$D133="PENDENTE",BD!$D133="")),"VENCIDO",""))</f>
        <v/>
      </c>
      <c r="O133" s="82" t="str">
        <f ca="1">IF(N133 = "VENCIDO",BD!$B133,"")</f>
        <v/>
      </c>
      <c r="P133" s="82" t="str">
        <f ca="1">IF(N133 = "VENCIDO",BD!$C133,"")</f>
        <v/>
      </c>
      <c r="Q133" s="83" t="str">
        <f ca="1">IF(N133 = "VENCIDO",BD!$E133,"")</f>
        <v/>
      </c>
      <c r="R133" s="83" t="str">
        <f ca="1">IF(N133 = "VENCIDO",BD!$F133,"")</f>
        <v/>
      </c>
      <c r="S133" s="85" t="str">
        <f ca="1">IF(N133 = "VENCIDO",BD!$G133,"")</f>
        <v/>
      </c>
      <c r="T133" s="83" t="str">
        <f ca="1">IF(AND(TODAY()&gt;BD!$C133, OR(BD!$D133="PENDENTE", BD!$D133="")), TODAY()-BD!$C133, "")</f>
        <v/>
      </c>
    </row>
    <row r="134" spans="1:20" ht="14.25" customHeight="1" x14ac:dyDescent="0.35">
      <c r="A134" s="32"/>
      <c r="B134" s="82">
        <f>'FEV-26'!A61</f>
        <v>0</v>
      </c>
      <c r="C134" s="82">
        <f>'FEV-26'!B61</f>
        <v>0</v>
      </c>
      <c r="D134" s="82">
        <f>'FEV-26'!C61</f>
        <v>0</v>
      </c>
      <c r="E134" s="83">
        <f>'FEV-26'!D61</f>
        <v>0</v>
      </c>
      <c r="F134" s="84">
        <f>'FEV-26'!E61</f>
        <v>0</v>
      </c>
      <c r="G134" s="85">
        <f>'FEV-26'!F61</f>
        <v>0</v>
      </c>
      <c r="H134" s="85">
        <f t="shared" si="0"/>
        <v>0</v>
      </c>
      <c r="I134" s="83" t="s">
        <v>96</v>
      </c>
      <c r="J134" s="83" t="str">
        <f t="shared" si="1"/>
        <v/>
      </c>
      <c r="K134" s="85">
        <f t="shared" si="2"/>
        <v>0</v>
      </c>
      <c r="L134" s="83" t="str">
        <f t="shared" si="3"/>
        <v/>
      </c>
      <c r="M134" s="83">
        <f>'FEV-26'!H61</f>
        <v>0</v>
      </c>
      <c r="N134" s="92" t="str">
        <f ca="1">IF(BD!$C134="","",IF(AND(TODAY()&gt;BD!$C134,OR(BD!$D134="PENDENTE",BD!$D134="")),"VENCIDO",""))</f>
        <v/>
      </c>
      <c r="O134" s="82" t="str">
        <f ca="1">IF(N134 = "VENCIDO",BD!$B134,"")</f>
        <v/>
      </c>
      <c r="P134" s="82" t="str">
        <f ca="1">IF(N134 = "VENCIDO",BD!$C134,"")</f>
        <v/>
      </c>
      <c r="Q134" s="83" t="str">
        <f ca="1">IF(N134 = "VENCIDO",BD!$E134,"")</f>
        <v/>
      </c>
      <c r="R134" s="83" t="str">
        <f ca="1">IF(N134 = "VENCIDO",BD!$F134,"")</f>
        <v/>
      </c>
      <c r="S134" s="85" t="str">
        <f ca="1">IF(N134 = "VENCIDO",BD!$G134,"")</f>
        <v/>
      </c>
      <c r="T134" s="83" t="str">
        <f ca="1">IF(AND(TODAY()&gt;BD!$C134, OR(BD!$D134="PENDENTE", BD!$D134="")), TODAY()-BD!$C134, "")</f>
        <v/>
      </c>
    </row>
    <row r="135" spans="1:20" ht="14.25" customHeight="1" x14ac:dyDescent="0.35">
      <c r="A135" s="32"/>
      <c r="B135" s="82">
        <f>'FEV-26'!A62</f>
        <v>0</v>
      </c>
      <c r="C135" s="82">
        <f>'FEV-26'!B62</f>
        <v>0</v>
      </c>
      <c r="D135" s="82">
        <f>'FEV-26'!C62</f>
        <v>0</v>
      </c>
      <c r="E135" s="83">
        <f>'FEV-26'!D62</f>
        <v>0</v>
      </c>
      <c r="F135" s="84">
        <f>'FEV-26'!E62</f>
        <v>0</v>
      </c>
      <c r="G135" s="85">
        <f>'FEV-26'!F62</f>
        <v>0</v>
      </c>
      <c r="H135" s="85">
        <f t="shared" si="0"/>
        <v>0</v>
      </c>
      <c r="I135" s="83" t="s">
        <v>96</v>
      </c>
      <c r="J135" s="83" t="str">
        <f t="shared" si="1"/>
        <v/>
      </c>
      <c r="K135" s="85">
        <f t="shared" si="2"/>
        <v>0</v>
      </c>
      <c r="L135" s="83" t="str">
        <f t="shared" si="3"/>
        <v/>
      </c>
      <c r="M135" s="83">
        <f>'FEV-26'!H62</f>
        <v>0</v>
      </c>
      <c r="N135" s="92" t="str">
        <f ca="1">IF(BD!$C135="","",IF(AND(TODAY()&gt;BD!$C135,OR(BD!$D135="PENDENTE",BD!$D135="")),"VENCIDO",""))</f>
        <v/>
      </c>
      <c r="O135" s="82" t="str">
        <f ca="1">IF(N135 = "VENCIDO",BD!$B135,"")</f>
        <v/>
      </c>
      <c r="P135" s="82" t="str">
        <f ca="1">IF(N135 = "VENCIDO",BD!$C135,"")</f>
        <v/>
      </c>
      <c r="Q135" s="83" t="str">
        <f ca="1">IF(N135 = "VENCIDO",BD!$E135,"")</f>
        <v/>
      </c>
      <c r="R135" s="83" t="str">
        <f ca="1">IF(N135 = "VENCIDO",BD!$F135,"")</f>
        <v/>
      </c>
      <c r="S135" s="85" t="str">
        <f ca="1">IF(N135 = "VENCIDO",BD!$G135,"")</f>
        <v/>
      </c>
      <c r="T135" s="83" t="str">
        <f ca="1">IF(AND(TODAY()&gt;BD!$C135, OR(BD!$D135="PENDENTE", BD!$D135="")), TODAY()-BD!$C135, "")</f>
        <v/>
      </c>
    </row>
    <row r="136" spans="1:20" ht="14.25" customHeight="1" x14ac:dyDescent="0.35">
      <c r="A136" s="32"/>
      <c r="B136" s="82">
        <f>'FEV-26'!A63</f>
        <v>0</v>
      </c>
      <c r="C136" s="82">
        <f>'FEV-26'!B63</f>
        <v>0</v>
      </c>
      <c r="D136" s="82">
        <f>'FEV-26'!C63</f>
        <v>0</v>
      </c>
      <c r="E136" s="83">
        <f>'FEV-26'!D63</f>
        <v>0</v>
      </c>
      <c r="F136" s="84">
        <f>'FEV-26'!E63</f>
        <v>0</v>
      </c>
      <c r="G136" s="85">
        <f>'FEV-26'!F63</f>
        <v>0</v>
      </c>
      <c r="H136" s="85">
        <f t="shared" si="0"/>
        <v>0</v>
      </c>
      <c r="I136" s="83" t="s">
        <v>96</v>
      </c>
      <c r="J136" s="83" t="str">
        <f t="shared" si="1"/>
        <v/>
      </c>
      <c r="K136" s="85">
        <f t="shared" si="2"/>
        <v>0</v>
      </c>
      <c r="L136" s="83" t="str">
        <f t="shared" si="3"/>
        <v/>
      </c>
      <c r="M136" s="83">
        <f>'FEV-26'!H63</f>
        <v>0</v>
      </c>
      <c r="N136" s="92" t="str">
        <f ca="1">IF(BD!$C136="","",IF(AND(TODAY()&gt;BD!$C136,OR(BD!$D136="PENDENTE",BD!$D136="")),"VENCIDO",""))</f>
        <v/>
      </c>
      <c r="O136" s="82" t="str">
        <f ca="1">IF(N136 = "VENCIDO",BD!$B136,"")</f>
        <v/>
      </c>
      <c r="P136" s="82" t="str">
        <f ca="1">IF(N136 = "VENCIDO",BD!$C136,"")</f>
        <v/>
      </c>
      <c r="Q136" s="83" t="str">
        <f ca="1">IF(N136 = "VENCIDO",BD!$E136,"")</f>
        <v/>
      </c>
      <c r="R136" s="83" t="str">
        <f ca="1">IF(N136 = "VENCIDO",BD!$F136,"")</f>
        <v/>
      </c>
      <c r="S136" s="85" t="str">
        <f ca="1">IF(N136 = "VENCIDO",BD!$G136,"")</f>
        <v/>
      </c>
      <c r="T136" s="83" t="str">
        <f ca="1">IF(AND(TODAY()&gt;BD!$C136, OR(BD!$D136="PENDENTE", BD!$D136="")), TODAY()-BD!$C136, "")</f>
        <v/>
      </c>
    </row>
    <row r="137" spans="1:20" ht="14.25" customHeight="1" x14ac:dyDescent="0.35">
      <c r="A137" s="32"/>
      <c r="B137" s="82">
        <f>'FEV-26'!A64</f>
        <v>0</v>
      </c>
      <c r="C137" s="82">
        <f>'FEV-26'!B64</f>
        <v>0</v>
      </c>
      <c r="D137" s="82">
        <f>'FEV-26'!C64</f>
        <v>0</v>
      </c>
      <c r="E137" s="83">
        <f>'FEV-26'!D64</f>
        <v>0</v>
      </c>
      <c r="F137" s="84">
        <f>'FEV-26'!E64</f>
        <v>0</v>
      </c>
      <c r="G137" s="85">
        <f>'FEV-26'!F64</f>
        <v>0</v>
      </c>
      <c r="H137" s="85">
        <f t="shared" si="0"/>
        <v>0</v>
      </c>
      <c r="I137" s="83" t="s">
        <v>96</v>
      </c>
      <c r="J137" s="83" t="str">
        <f t="shared" si="1"/>
        <v/>
      </c>
      <c r="K137" s="85">
        <f t="shared" si="2"/>
        <v>0</v>
      </c>
      <c r="L137" s="83" t="str">
        <f t="shared" si="3"/>
        <v/>
      </c>
      <c r="M137" s="83">
        <f>'FEV-26'!H64</f>
        <v>0</v>
      </c>
      <c r="N137" s="92" t="str">
        <f ca="1">IF(BD!$C137="","",IF(AND(TODAY()&gt;BD!$C137,OR(BD!$D137="PENDENTE",BD!$D137="")),"VENCIDO",""))</f>
        <v/>
      </c>
      <c r="O137" s="82" t="str">
        <f ca="1">IF(N137 = "VENCIDO",BD!$B137,"")</f>
        <v/>
      </c>
      <c r="P137" s="82" t="str">
        <f ca="1">IF(N137 = "VENCIDO",BD!$C137,"")</f>
        <v/>
      </c>
      <c r="Q137" s="83" t="str">
        <f ca="1">IF(N137 = "VENCIDO",BD!$E137,"")</f>
        <v/>
      </c>
      <c r="R137" s="83" t="str">
        <f ca="1">IF(N137 = "VENCIDO",BD!$F137,"")</f>
        <v/>
      </c>
      <c r="S137" s="85" t="str">
        <f ca="1">IF(N137 = "VENCIDO",BD!$G137,"")</f>
        <v/>
      </c>
      <c r="T137" s="83" t="str">
        <f ca="1">IF(AND(TODAY()&gt;BD!$C137, OR(BD!$D137="PENDENTE", BD!$D137="")), TODAY()-BD!$C137, "")</f>
        <v/>
      </c>
    </row>
    <row r="138" spans="1:20" ht="14.25" customHeight="1" x14ac:dyDescent="0.35">
      <c r="A138" s="32"/>
      <c r="B138" s="82">
        <f>'FEV-26'!A65</f>
        <v>0</v>
      </c>
      <c r="C138" s="82">
        <f>'FEV-26'!B65</f>
        <v>0</v>
      </c>
      <c r="D138" s="82">
        <f>'FEV-26'!C65</f>
        <v>0</v>
      </c>
      <c r="E138" s="83">
        <f>'FEV-26'!D65</f>
        <v>0</v>
      </c>
      <c r="F138" s="84">
        <f>'FEV-26'!E65</f>
        <v>0</v>
      </c>
      <c r="G138" s="85">
        <f>'FEV-26'!F65</f>
        <v>0</v>
      </c>
      <c r="H138" s="85">
        <f t="shared" si="0"/>
        <v>0</v>
      </c>
      <c r="I138" s="83" t="s">
        <v>96</v>
      </c>
      <c r="J138" s="83" t="str">
        <f t="shared" si="1"/>
        <v/>
      </c>
      <c r="K138" s="85">
        <f t="shared" si="2"/>
        <v>0</v>
      </c>
      <c r="L138" s="83" t="str">
        <f t="shared" si="3"/>
        <v/>
      </c>
      <c r="M138" s="83">
        <f>'FEV-26'!H65</f>
        <v>0</v>
      </c>
      <c r="N138" s="92" t="str">
        <f ca="1">IF(BD!$C138="","",IF(AND(TODAY()&gt;BD!$C138,OR(BD!$D138="PENDENTE",BD!$D138="")),"VENCIDO",""))</f>
        <v/>
      </c>
      <c r="O138" s="82" t="str">
        <f ca="1">IF(N138 = "VENCIDO",BD!$B138,"")</f>
        <v/>
      </c>
      <c r="P138" s="82" t="str">
        <f ca="1">IF(N138 = "VENCIDO",BD!$C138,"")</f>
        <v/>
      </c>
      <c r="Q138" s="83" t="str">
        <f ca="1">IF(N138 = "VENCIDO",BD!$E138,"")</f>
        <v/>
      </c>
      <c r="R138" s="83" t="str">
        <f ca="1">IF(N138 = "VENCIDO",BD!$F138,"")</f>
        <v/>
      </c>
      <c r="S138" s="85" t="str">
        <f ca="1">IF(N138 = "VENCIDO",BD!$G138,"")</f>
        <v/>
      </c>
      <c r="T138" s="83" t="str">
        <f ca="1">IF(AND(TODAY()&gt;BD!$C138, OR(BD!$D138="PENDENTE", BD!$D138="")), TODAY()-BD!$C138, "")</f>
        <v/>
      </c>
    </row>
    <row r="139" spans="1:20" ht="14.25" customHeight="1" x14ac:dyDescent="0.35">
      <c r="A139" s="32"/>
      <c r="B139" s="82">
        <f>'FEV-26'!A66</f>
        <v>0</v>
      </c>
      <c r="C139" s="82">
        <f>'FEV-26'!B66</f>
        <v>0</v>
      </c>
      <c r="D139" s="82">
        <f>'FEV-26'!C66</f>
        <v>0</v>
      </c>
      <c r="E139" s="83">
        <f>'FEV-26'!D66</f>
        <v>0</v>
      </c>
      <c r="F139" s="84">
        <f>'FEV-26'!E66</f>
        <v>0</v>
      </c>
      <c r="G139" s="85">
        <f>'FEV-26'!F66</f>
        <v>0</v>
      </c>
      <c r="H139" s="85">
        <f t="shared" si="0"/>
        <v>0</v>
      </c>
      <c r="I139" s="83" t="s">
        <v>96</v>
      </c>
      <c r="J139" s="83" t="str">
        <f t="shared" si="1"/>
        <v/>
      </c>
      <c r="K139" s="85">
        <f t="shared" si="2"/>
        <v>0</v>
      </c>
      <c r="L139" s="83" t="str">
        <f t="shared" si="3"/>
        <v/>
      </c>
      <c r="M139" s="83">
        <f>'FEV-26'!H66</f>
        <v>0</v>
      </c>
      <c r="N139" s="92" t="str">
        <f ca="1">IF(BD!$C139="","",IF(AND(TODAY()&gt;BD!$C139,OR(BD!$D139="PENDENTE",BD!$D139="")),"VENCIDO",""))</f>
        <v/>
      </c>
      <c r="O139" s="82" t="str">
        <f ca="1">IF(N139 = "VENCIDO",BD!$B139,"")</f>
        <v/>
      </c>
      <c r="P139" s="82" t="str">
        <f ca="1">IF(N139 = "VENCIDO",BD!$C139,"")</f>
        <v/>
      </c>
      <c r="Q139" s="83" t="str">
        <f ca="1">IF(N139 = "VENCIDO",BD!$E139,"")</f>
        <v/>
      </c>
      <c r="R139" s="83" t="str">
        <f ca="1">IF(N139 = "VENCIDO",BD!$F139,"")</f>
        <v/>
      </c>
      <c r="S139" s="85" t="str">
        <f ca="1">IF(N139 = "VENCIDO",BD!$G139,"")</f>
        <v/>
      </c>
      <c r="T139" s="83" t="str">
        <f ca="1">IF(AND(TODAY()&gt;BD!$C139, OR(BD!$D139="PENDENTE", BD!$D139="")), TODAY()-BD!$C139, "")</f>
        <v/>
      </c>
    </row>
    <row r="140" spans="1:20" ht="14.25" customHeight="1" x14ac:dyDescent="0.35">
      <c r="A140" s="32"/>
      <c r="B140" s="82">
        <f>'FEV-26'!A67</f>
        <v>0</v>
      </c>
      <c r="C140" s="82">
        <f>'FEV-26'!B67</f>
        <v>0</v>
      </c>
      <c r="D140" s="82">
        <f>'FEV-26'!C67</f>
        <v>0</v>
      </c>
      <c r="E140" s="83">
        <f>'FEV-26'!D67</f>
        <v>0</v>
      </c>
      <c r="F140" s="84">
        <f>'FEV-26'!E67</f>
        <v>0</v>
      </c>
      <c r="G140" s="85">
        <f>'FEV-26'!F67</f>
        <v>0</v>
      </c>
      <c r="H140" s="85">
        <f t="shared" si="0"/>
        <v>0</v>
      </c>
      <c r="I140" s="83" t="s">
        <v>96</v>
      </c>
      <c r="J140" s="83" t="str">
        <f t="shared" si="1"/>
        <v/>
      </c>
      <c r="K140" s="85">
        <f t="shared" si="2"/>
        <v>0</v>
      </c>
      <c r="L140" s="83" t="str">
        <f t="shared" si="3"/>
        <v/>
      </c>
      <c r="M140" s="83">
        <f>'FEV-26'!H67</f>
        <v>0</v>
      </c>
      <c r="N140" s="92" t="str">
        <f ca="1">IF(BD!$C140="","",IF(AND(TODAY()&gt;BD!$C140,OR(BD!$D140="PENDENTE",BD!$D140="")),"VENCIDO",""))</f>
        <v/>
      </c>
      <c r="O140" s="82" t="str">
        <f ca="1">IF(N140 = "VENCIDO",BD!$B140,"")</f>
        <v/>
      </c>
      <c r="P140" s="82" t="str">
        <f ca="1">IF(N140 = "VENCIDO",BD!$C140,"")</f>
        <v/>
      </c>
      <c r="Q140" s="83" t="str">
        <f ca="1">IF(N140 = "VENCIDO",BD!$E140,"")</f>
        <v/>
      </c>
      <c r="R140" s="83" t="str">
        <f ca="1">IF(N140 = "VENCIDO",BD!$F140,"")</f>
        <v/>
      </c>
      <c r="S140" s="85" t="str">
        <f ca="1">IF(N140 = "VENCIDO",BD!$G140,"")</f>
        <v/>
      </c>
      <c r="T140" s="83" t="str">
        <f ca="1">IF(AND(TODAY()&gt;BD!$C140, OR(BD!$D140="PENDENTE", BD!$D140="")), TODAY()-BD!$C140, "")</f>
        <v/>
      </c>
    </row>
    <row r="141" spans="1:20" ht="14.25" customHeight="1" x14ac:dyDescent="0.35">
      <c r="A141" s="32"/>
      <c r="B141" s="82">
        <f>'FEV-26'!A68</f>
        <v>0</v>
      </c>
      <c r="C141" s="82">
        <f>'FEV-26'!B68</f>
        <v>0</v>
      </c>
      <c r="D141" s="82">
        <f>'FEV-26'!C68</f>
        <v>0</v>
      </c>
      <c r="E141" s="83">
        <f>'FEV-26'!D68</f>
        <v>0</v>
      </c>
      <c r="F141" s="84">
        <f>'FEV-26'!E68</f>
        <v>0</v>
      </c>
      <c r="G141" s="85">
        <f>'FEV-26'!F68</f>
        <v>0</v>
      </c>
      <c r="H141" s="85">
        <f t="shared" si="0"/>
        <v>0</v>
      </c>
      <c r="I141" s="83" t="s">
        <v>96</v>
      </c>
      <c r="J141" s="83" t="str">
        <f t="shared" si="1"/>
        <v/>
      </c>
      <c r="K141" s="85">
        <f t="shared" si="2"/>
        <v>0</v>
      </c>
      <c r="L141" s="83" t="str">
        <f t="shared" si="3"/>
        <v/>
      </c>
      <c r="M141" s="83">
        <f>'FEV-26'!H68</f>
        <v>0</v>
      </c>
      <c r="N141" s="92" t="str">
        <f ca="1">IF(BD!$C141="","",IF(AND(TODAY()&gt;BD!$C141,OR(BD!$D141="PENDENTE",BD!$D141="")),"VENCIDO",""))</f>
        <v/>
      </c>
      <c r="O141" s="82" t="str">
        <f ca="1">IF(N141 = "VENCIDO",BD!$B141,"")</f>
        <v/>
      </c>
      <c r="P141" s="82" t="str">
        <f ca="1">IF(N141 = "VENCIDO",BD!$C141,"")</f>
        <v/>
      </c>
      <c r="Q141" s="83" t="str">
        <f ca="1">IF(N141 = "VENCIDO",BD!$E141,"")</f>
        <v/>
      </c>
      <c r="R141" s="83" t="str">
        <f ca="1">IF(N141 = "VENCIDO",BD!$F141,"")</f>
        <v/>
      </c>
      <c r="S141" s="85" t="str">
        <f ca="1">IF(N141 = "VENCIDO",BD!$G141,"")</f>
        <v/>
      </c>
      <c r="T141" s="83" t="str">
        <f ca="1">IF(AND(TODAY()&gt;BD!$C141, OR(BD!$D141="PENDENTE", BD!$D141="")), TODAY()-BD!$C141, "")</f>
        <v/>
      </c>
    </row>
    <row r="142" spans="1:20" ht="14.25" customHeight="1" x14ac:dyDescent="0.35">
      <c r="A142" s="32"/>
      <c r="B142" s="82">
        <f>'FEV-26'!A69</f>
        <v>0</v>
      </c>
      <c r="C142" s="82">
        <f>'FEV-26'!B69</f>
        <v>0</v>
      </c>
      <c r="D142" s="82">
        <f>'FEV-26'!C69</f>
        <v>0</v>
      </c>
      <c r="E142" s="83">
        <f>'FEV-26'!D69</f>
        <v>0</v>
      </c>
      <c r="F142" s="84">
        <f>'FEV-26'!E69</f>
        <v>0</v>
      </c>
      <c r="G142" s="85">
        <f>'FEV-26'!F69</f>
        <v>0</v>
      </c>
      <c r="H142" s="85">
        <f t="shared" si="0"/>
        <v>0</v>
      </c>
      <c r="I142" s="83" t="s">
        <v>96</v>
      </c>
      <c r="J142" s="83" t="str">
        <f t="shared" si="1"/>
        <v/>
      </c>
      <c r="K142" s="85">
        <f t="shared" si="2"/>
        <v>0</v>
      </c>
      <c r="L142" s="83" t="str">
        <f t="shared" si="3"/>
        <v/>
      </c>
      <c r="M142" s="83">
        <f>'FEV-26'!H69</f>
        <v>0</v>
      </c>
      <c r="N142" s="92" t="str">
        <f ca="1">IF(BD!$C142="","",IF(AND(TODAY()&gt;BD!$C142,OR(BD!$D142="PENDENTE",BD!$D142="")),"VENCIDO",""))</f>
        <v/>
      </c>
      <c r="O142" s="82" t="str">
        <f ca="1">IF(N142 = "VENCIDO",BD!$B142,"")</f>
        <v/>
      </c>
      <c r="P142" s="82" t="str">
        <f ca="1">IF(N142 = "VENCIDO",BD!$C142,"")</f>
        <v/>
      </c>
      <c r="Q142" s="83" t="str">
        <f ca="1">IF(N142 = "VENCIDO",BD!$E142,"")</f>
        <v/>
      </c>
      <c r="R142" s="83" t="str">
        <f ca="1">IF(N142 = "VENCIDO",BD!$F142,"")</f>
        <v/>
      </c>
      <c r="S142" s="85" t="str">
        <f ca="1">IF(N142 = "VENCIDO",BD!$G142,"")</f>
        <v/>
      </c>
      <c r="T142" s="83" t="str">
        <f ca="1">IF(AND(TODAY()&gt;BD!$C142, OR(BD!$D142="PENDENTE", BD!$D142="")), TODAY()-BD!$C142, "")</f>
        <v/>
      </c>
    </row>
    <row r="143" spans="1:20" ht="14.25" customHeight="1" x14ac:dyDescent="0.35">
      <c r="A143" s="32"/>
      <c r="B143" s="82">
        <f>'FEV-26'!A70</f>
        <v>0</v>
      </c>
      <c r="C143" s="82">
        <f>'FEV-26'!B70</f>
        <v>0</v>
      </c>
      <c r="D143" s="82">
        <f>'FEV-26'!C70</f>
        <v>0</v>
      </c>
      <c r="E143" s="83">
        <f>'FEV-26'!D70</f>
        <v>0</v>
      </c>
      <c r="F143" s="84">
        <f>'FEV-26'!E70</f>
        <v>0</v>
      </c>
      <c r="G143" s="85">
        <f>'FEV-26'!F70</f>
        <v>0</v>
      </c>
      <c r="H143" s="85">
        <f t="shared" si="0"/>
        <v>0</v>
      </c>
      <c r="I143" s="83" t="s">
        <v>96</v>
      </c>
      <c r="J143" s="83" t="str">
        <f t="shared" si="1"/>
        <v/>
      </c>
      <c r="K143" s="85">
        <f t="shared" si="2"/>
        <v>0</v>
      </c>
      <c r="L143" s="83" t="str">
        <f t="shared" si="3"/>
        <v/>
      </c>
      <c r="M143" s="83">
        <f>'FEV-26'!H70</f>
        <v>0</v>
      </c>
      <c r="N143" s="92" t="str">
        <f ca="1">IF(BD!$C143="","",IF(AND(TODAY()&gt;BD!$C143,OR(BD!$D143="PENDENTE",BD!$D143="")),"VENCIDO",""))</f>
        <v/>
      </c>
      <c r="O143" s="82" t="str">
        <f ca="1">IF(N143 = "VENCIDO",BD!$B143,"")</f>
        <v/>
      </c>
      <c r="P143" s="82" t="str">
        <f ca="1">IF(N143 = "VENCIDO",BD!$C143,"")</f>
        <v/>
      </c>
      <c r="Q143" s="83" t="str">
        <f ca="1">IF(N143 = "VENCIDO",BD!$E143,"")</f>
        <v/>
      </c>
      <c r="R143" s="83" t="str">
        <f ca="1">IF(N143 = "VENCIDO",BD!$F143,"")</f>
        <v/>
      </c>
      <c r="S143" s="85" t="str">
        <f ca="1">IF(N143 = "VENCIDO",BD!$G143,"")</f>
        <v/>
      </c>
      <c r="T143" s="83" t="str">
        <f ca="1">IF(AND(TODAY()&gt;BD!$C143, OR(BD!$D143="PENDENTE", BD!$D143="")), TODAY()-BD!$C143, "")</f>
        <v/>
      </c>
    </row>
    <row r="144" spans="1:20" ht="14.25" customHeight="1" x14ac:dyDescent="0.35">
      <c r="A144" s="32"/>
      <c r="B144" s="82">
        <f>'FEV-26'!A71</f>
        <v>0</v>
      </c>
      <c r="C144" s="82">
        <f>'FEV-26'!B71</f>
        <v>0</v>
      </c>
      <c r="D144" s="82">
        <f>'FEV-26'!C71</f>
        <v>0</v>
      </c>
      <c r="E144" s="83">
        <f>'FEV-26'!D71</f>
        <v>0</v>
      </c>
      <c r="F144" s="84">
        <f>'FEV-26'!E71</f>
        <v>0</v>
      </c>
      <c r="G144" s="85">
        <f>'FEV-26'!F71</f>
        <v>0</v>
      </c>
      <c r="H144" s="85">
        <f t="shared" si="0"/>
        <v>0</v>
      </c>
      <c r="I144" s="83" t="s">
        <v>96</v>
      </c>
      <c r="J144" s="83" t="str">
        <f t="shared" si="1"/>
        <v/>
      </c>
      <c r="K144" s="85">
        <f t="shared" si="2"/>
        <v>0</v>
      </c>
      <c r="L144" s="83" t="str">
        <f t="shared" si="3"/>
        <v/>
      </c>
      <c r="M144" s="83">
        <f>'FEV-26'!H71</f>
        <v>0</v>
      </c>
      <c r="N144" s="92" t="str">
        <f ca="1">IF(BD!$C144="","",IF(AND(TODAY()&gt;BD!$C144,OR(BD!$D144="PENDENTE",BD!$D144="")),"VENCIDO",""))</f>
        <v/>
      </c>
      <c r="O144" s="82" t="str">
        <f ca="1">IF(N144 = "VENCIDO",BD!$B144,"")</f>
        <v/>
      </c>
      <c r="P144" s="82" t="str">
        <f ca="1">IF(N144 = "VENCIDO",BD!$C144,"")</f>
        <v/>
      </c>
      <c r="Q144" s="83" t="str">
        <f ca="1">IF(N144 = "VENCIDO",BD!$E144,"")</f>
        <v/>
      </c>
      <c r="R144" s="83" t="str">
        <f ca="1">IF(N144 = "VENCIDO",BD!$F144,"")</f>
        <v/>
      </c>
      <c r="S144" s="85" t="str">
        <f ca="1">IF(N144 = "VENCIDO",BD!$G144,"")</f>
        <v/>
      </c>
      <c r="T144" s="83" t="str">
        <f ca="1">IF(AND(TODAY()&gt;BD!$C144, OR(BD!$D144="PENDENTE", BD!$D144="")), TODAY()-BD!$C144, "")</f>
        <v/>
      </c>
    </row>
    <row r="145" spans="1:20" ht="14.25" customHeight="1" x14ac:dyDescent="0.35">
      <c r="A145" s="32"/>
      <c r="B145" s="82">
        <f>'FEV-26'!A72</f>
        <v>0</v>
      </c>
      <c r="C145" s="82">
        <f>'FEV-26'!B72</f>
        <v>0</v>
      </c>
      <c r="D145" s="82">
        <f>'FEV-26'!C72</f>
        <v>0</v>
      </c>
      <c r="E145" s="83">
        <f>'FEV-26'!D72</f>
        <v>0</v>
      </c>
      <c r="F145" s="84">
        <f>'FEV-26'!E72</f>
        <v>0</v>
      </c>
      <c r="G145" s="85">
        <f>'FEV-26'!F72</f>
        <v>0</v>
      </c>
      <c r="H145" s="85">
        <f t="shared" si="0"/>
        <v>0</v>
      </c>
      <c r="I145" s="83" t="s">
        <v>96</v>
      </c>
      <c r="J145" s="83" t="str">
        <f t="shared" si="1"/>
        <v/>
      </c>
      <c r="K145" s="85">
        <f t="shared" si="2"/>
        <v>0</v>
      </c>
      <c r="L145" s="83" t="str">
        <f t="shared" si="3"/>
        <v/>
      </c>
      <c r="M145" s="83">
        <f>'FEV-26'!H72</f>
        <v>0</v>
      </c>
      <c r="N145" s="92" t="str">
        <f ca="1">IF(BD!$C145="","",IF(AND(TODAY()&gt;BD!$C145,OR(BD!$D145="PENDENTE",BD!$D145="")),"VENCIDO",""))</f>
        <v/>
      </c>
      <c r="O145" s="82" t="str">
        <f ca="1">IF(N145 = "VENCIDO",BD!$B145,"")</f>
        <v/>
      </c>
      <c r="P145" s="82" t="str">
        <f ca="1">IF(N145 = "VENCIDO",BD!$C145,"")</f>
        <v/>
      </c>
      <c r="Q145" s="83" t="str">
        <f ca="1">IF(N145 = "VENCIDO",BD!$E145,"")</f>
        <v/>
      </c>
      <c r="R145" s="83" t="str">
        <f ca="1">IF(N145 = "VENCIDO",BD!$F145,"")</f>
        <v/>
      </c>
      <c r="S145" s="85" t="str">
        <f ca="1">IF(N145 = "VENCIDO",BD!$G145,"")</f>
        <v/>
      </c>
      <c r="T145" s="83" t="str">
        <f ca="1">IF(AND(TODAY()&gt;BD!$C145, OR(BD!$D145="PENDENTE", BD!$D145="")), TODAY()-BD!$C145, "")</f>
        <v/>
      </c>
    </row>
    <row r="146" spans="1:20" ht="14.25" customHeight="1" x14ac:dyDescent="0.35">
      <c r="A146" s="32"/>
      <c r="B146" s="82">
        <f>'FEV-26'!A73</f>
        <v>0</v>
      </c>
      <c r="C146" s="82">
        <f>'FEV-26'!B73</f>
        <v>0</v>
      </c>
      <c r="D146" s="82">
        <f>'FEV-26'!C73</f>
        <v>0</v>
      </c>
      <c r="E146" s="83">
        <f>'FEV-26'!D73</f>
        <v>0</v>
      </c>
      <c r="F146" s="84">
        <f>'FEV-26'!E73</f>
        <v>0</v>
      </c>
      <c r="G146" s="85">
        <f>'FEV-26'!F73</f>
        <v>0</v>
      </c>
      <c r="H146" s="85">
        <f t="shared" si="0"/>
        <v>0</v>
      </c>
      <c r="I146" s="83" t="s">
        <v>96</v>
      </c>
      <c r="J146" s="83" t="str">
        <f t="shared" si="1"/>
        <v/>
      </c>
      <c r="K146" s="85">
        <f t="shared" si="2"/>
        <v>0</v>
      </c>
      <c r="L146" s="83" t="str">
        <f t="shared" si="3"/>
        <v/>
      </c>
      <c r="M146" s="83">
        <f>'FEV-26'!H73</f>
        <v>0</v>
      </c>
      <c r="N146" s="92" t="str">
        <f ca="1">IF(BD!$C146="","",IF(AND(TODAY()&gt;BD!$C146,OR(BD!$D146="PENDENTE",BD!$D146="")),"VENCIDO",""))</f>
        <v/>
      </c>
      <c r="O146" s="82" t="str">
        <f ca="1">IF(N146 = "VENCIDO",BD!$B146,"")</f>
        <v/>
      </c>
      <c r="P146" s="82" t="str">
        <f ca="1">IF(N146 = "VENCIDO",BD!$C146,"")</f>
        <v/>
      </c>
      <c r="Q146" s="83" t="str">
        <f ca="1">IF(N146 = "VENCIDO",BD!$E146,"")</f>
        <v/>
      </c>
      <c r="R146" s="83" t="str">
        <f ca="1">IF(N146 = "VENCIDO",BD!$F146,"")</f>
        <v/>
      </c>
      <c r="S146" s="85" t="str">
        <f ca="1">IF(N146 = "VENCIDO",BD!$G146,"")</f>
        <v/>
      </c>
      <c r="T146" s="83" t="str">
        <f ca="1">IF(AND(TODAY()&gt;BD!$C146, OR(BD!$D146="PENDENTE", BD!$D146="")), TODAY()-BD!$C146, "")</f>
        <v/>
      </c>
    </row>
    <row r="147" spans="1:20" ht="14.25" customHeight="1" x14ac:dyDescent="0.35">
      <c r="A147" s="32"/>
      <c r="B147" s="82">
        <f>'FEV-26'!A74</f>
        <v>0</v>
      </c>
      <c r="C147" s="82">
        <f>'FEV-26'!B74</f>
        <v>0</v>
      </c>
      <c r="D147" s="82">
        <f>'FEV-26'!C74</f>
        <v>0</v>
      </c>
      <c r="E147" s="83">
        <f>'FEV-26'!D74</f>
        <v>0</v>
      </c>
      <c r="F147" s="84">
        <f>'FEV-26'!E74</f>
        <v>0</v>
      </c>
      <c r="G147" s="85">
        <f>'FEV-26'!F74</f>
        <v>0</v>
      </c>
      <c r="H147" s="85">
        <f t="shared" si="0"/>
        <v>0</v>
      </c>
      <c r="I147" s="83" t="s">
        <v>96</v>
      </c>
      <c r="J147" s="83" t="str">
        <f t="shared" si="1"/>
        <v/>
      </c>
      <c r="K147" s="85">
        <f t="shared" si="2"/>
        <v>0</v>
      </c>
      <c r="L147" s="83" t="str">
        <f t="shared" si="3"/>
        <v/>
      </c>
      <c r="M147" s="83">
        <f>'FEV-26'!H74</f>
        <v>0</v>
      </c>
      <c r="N147" s="92" t="str">
        <f ca="1">IF(BD!$C147="","",IF(AND(TODAY()&gt;BD!$C147,OR(BD!$D147="PENDENTE",BD!$D147="")),"VENCIDO",""))</f>
        <v/>
      </c>
      <c r="O147" s="82" t="str">
        <f ca="1">IF(N147 = "VENCIDO",BD!$B147,"")</f>
        <v/>
      </c>
      <c r="P147" s="82" t="str">
        <f ca="1">IF(N147 = "VENCIDO",BD!$C147,"")</f>
        <v/>
      </c>
      <c r="Q147" s="83" t="str">
        <f ca="1">IF(N147 = "VENCIDO",BD!$E147,"")</f>
        <v/>
      </c>
      <c r="R147" s="83" t="str">
        <f ca="1">IF(N147 = "VENCIDO",BD!$F147,"")</f>
        <v/>
      </c>
      <c r="S147" s="85" t="str">
        <f ca="1">IF(N147 = "VENCIDO",BD!$G147,"")</f>
        <v/>
      </c>
      <c r="T147" s="83" t="str">
        <f ca="1">IF(AND(TODAY()&gt;BD!$C147, OR(BD!$D147="PENDENTE", BD!$D147="")), TODAY()-BD!$C147, "")</f>
        <v/>
      </c>
    </row>
    <row r="148" spans="1:20" ht="14.25" customHeight="1" x14ac:dyDescent="0.35">
      <c r="A148" s="32"/>
      <c r="B148" s="82">
        <f>'FEV-26'!A75</f>
        <v>0</v>
      </c>
      <c r="C148" s="82">
        <f>'FEV-26'!B75</f>
        <v>0</v>
      </c>
      <c r="D148" s="82">
        <f>'FEV-26'!C75</f>
        <v>0</v>
      </c>
      <c r="E148" s="83">
        <f>'FEV-26'!D75</f>
        <v>0</v>
      </c>
      <c r="F148" s="84">
        <f>'FEV-26'!E75</f>
        <v>0</v>
      </c>
      <c r="G148" s="85">
        <f>'FEV-26'!F75</f>
        <v>0</v>
      </c>
      <c r="H148" s="85">
        <f t="shared" si="0"/>
        <v>0</v>
      </c>
      <c r="I148" s="83" t="s">
        <v>96</v>
      </c>
      <c r="J148" s="83" t="str">
        <f t="shared" si="1"/>
        <v/>
      </c>
      <c r="K148" s="85">
        <f t="shared" si="2"/>
        <v>0</v>
      </c>
      <c r="L148" s="83" t="str">
        <f t="shared" si="3"/>
        <v/>
      </c>
      <c r="M148" s="83">
        <f>'FEV-26'!H75</f>
        <v>0</v>
      </c>
      <c r="N148" s="92" t="str">
        <f ca="1">IF(BD!$C148="","",IF(AND(TODAY()&gt;BD!$C148,OR(BD!$D148="PENDENTE",BD!$D148="")),"VENCIDO",""))</f>
        <v/>
      </c>
      <c r="O148" s="82" t="str">
        <f ca="1">IF(N148 = "VENCIDO",BD!$B148,"")</f>
        <v/>
      </c>
      <c r="P148" s="82" t="str">
        <f ca="1">IF(N148 = "VENCIDO",BD!$C148,"")</f>
        <v/>
      </c>
      <c r="Q148" s="83" t="str">
        <f ca="1">IF(N148 = "VENCIDO",BD!$E148,"")</f>
        <v/>
      </c>
      <c r="R148" s="83" t="str">
        <f ca="1">IF(N148 = "VENCIDO",BD!$F148,"")</f>
        <v/>
      </c>
      <c r="S148" s="85" t="str">
        <f ca="1">IF(N148 = "VENCIDO",BD!$G148,"")</f>
        <v/>
      </c>
      <c r="T148" s="83" t="str">
        <f ca="1">IF(AND(TODAY()&gt;BD!$C148, OR(BD!$D148="PENDENTE", BD!$D148="")), TODAY()-BD!$C148, "")</f>
        <v/>
      </c>
    </row>
    <row r="149" spans="1:20" ht="14.25" customHeight="1" x14ac:dyDescent="0.35">
      <c r="A149" s="32"/>
      <c r="B149" s="82">
        <f>'FEV-26'!A76</f>
        <v>0</v>
      </c>
      <c r="C149" s="82">
        <f>'FEV-26'!B76</f>
        <v>0</v>
      </c>
      <c r="D149" s="82">
        <f>'FEV-26'!C76</f>
        <v>0</v>
      </c>
      <c r="E149" s="83">
        <f>'FEV-26'!D76</f>
        <v>0</v>
      </c>
      <c r="F149" s="84">
        <f>'FEV-26'!E76</f>
        <v>0</v>
      </c>
      <c r="G149" s="85">
        <f>'FEV-26'!F76</f>
        <v>0</v>
      </c>
      <c r="H149" s="85">
        <f t="shared" si="0"/>
        <v>0</v>
      </c>
      <c r="I149" s="83" t="s">
        <v>96</v>
      </c>
      <c r="J149" s="83" t="str">
        <f t="shared" si="1"/>
        <v/>
      </c>
      <c r="K149" s="85">
        <f t="shared" si="2"/>
        <v>0</v>
      </c>
      <c r="L149" s="83" t="str">
        <f t="shared" si="3"/>
        <v/>
      </c>
      <c r="M149" s="83">
        <f>'FEV-26'!H76</f>
        <v>0</v>
      </c>
      <c r="N149" s="92" t="str">
        <f ca="1">IF(BD!$C149="","",IF(AND(TODAY()&gt;BD!$C149,OR(BD!$D149="PENDENTE",BD!$D149="")),"VENCIDO",""))</f>
        <v/>
      </c>
      <c r="O149" s="82" t="str">
        <f ca="1">IF(N149 = "VENCIDO",BD!$B149,"")</f>
        <v/>
      </c>
      <c r="P149" s="82" t="str">
        <f ca="1">IF(N149 = "VENCIDO",BD!$C149,"")</f>
        <v/>
      </c>
      <c r="Q149" s="83" t="str">
        <f ca="1">IF(N149 = "VENCIDO",BD!$E149,"")</f>
        <v/>
      </c>
      <c r="R149" s="83" t="str">
        <f ca="1">IF(N149 = "VENCIDO",BD!$F149,"")</f>
        <v/>
      </c>
      <c r="S149" s="85" t="str">
        <f ca="1">IF(N149 = "VENCIDO",BD!$G149,"")</f>
        <v/>
      </c>
      <c r="T149" s="83" t="str">
        <f ca="1">IF(AND(TODAY()&gt;BD!$C149, OR(BD!$D149="PENDENTE", BD!$D149="")), TODAY()-BD!$C149, "")</f>
        <v/>
      </c>
    </row>
    <row r="150" spans="1:20" ht="14.25" customHeight="1" x14ac:dyDescent="0.35">
      <c r="A150" s="32"/>
      <c r="B150" s="82">
        <f>'MAR-26'!A3</f>
        <v>0</v>
      </c>
      <c r="C150" s="82">
        <f>'MAR-26'!B3</f>
        <v>0</v>
      </c>
      <c r="D150" s="82">
        <f>'MAR-26'!C3</f>
        <v>0</v>
      </c>
      <c r="E150" s="83">
        <f>'MAR-26'!D3</f>
        <v>0</v>
      </c>
      <c r="F150" s="84">
        <f>'MAR-26'!E3</f>
        <v>0</v>
      </c>
      <c r="G150" s="85">
        <f>'MAR-26'!F3</f>
        <v>0</v>
      </c>
      <c r="H150" s="85">
        <f t="shared" si="0"/>
        <v>0</v>
      </c>
      <c r="I150" s="83" t="s">
        <v>97</v>
      </c>
      <c r="J150" s="83" t="str">
        <f t="shared" si="1"/>
        <v/>
      </c>
      <c r="K150" s="85">
        <f t="shared" si="2"/>
        <v>0</v>
      </c>
      <c r="L150" s="83" t="str">
        <f t="shared" si="3"/>
        <v/>
      </c>
      <c r="M150" s="83">
        <f>'MAR-26'!H3</f>
        <v>0</v>
      </c>
      <c r="N150" s="92" t="str">
        <f ca="1">IF(BD!$C150="","",IF(AND(TODAY()&gt;BD!$C150,OR(BD!$D150="PENDENTE",BD!$D150="")),"VENCIDO",""))</f>
        <v/>
      </c>
      <c r="O150" s="82" t="str">
        <f ca="1">IF(N150 = "VENCIDO",BD!$B150,"")</f>
        <v/>
      </c>
      <c r="P150" s="82" t="str">
        <f ca="1">IF(N150 = "VENCIDO",BD!$C150,"")</f>
        <v/>
      </c>
      <c r="Q150" s="83" t="str">
        <f ca="1">IF(N150 = "VENCIDO",BD!$E150,"")</f>
        <v/>
      </c>
      <c r="R150" s="83" t="str">
        <f ca="1">IF(N150 = "VENCIDO",BD!$F150,"")</f>
        <v/>
      </c>
      <c r="S150" s="85" t="str">
        <f ca="1">IF(N150 = "VENCIDO",BD!$G150,"")</f>
        <v/>
      </c>
      <c r="T150" s="83" t="str">
        <f ca="1">IF(AND(TODAY()&gt;BD!$C150, OR(BD!$D150="PENDENTE", BD!$D150="")), TODAY()-BD!$C150, "")</f>
        <v/>
      </c>
    </row>
    <row r="151" spans="1:20" ht="14.25" customHeight="1" x14ac:dyDescent="0.35">
      <c r="A151" s="32"/>
      <c r="B151" s="82">
        <f>'MAR-26'!A4</f>
        <v>0</v>
      </c>
      <c r="C151" s="82">
        <f>'MAR-26'!B4</f>
        <v>0</v>
      </c>
      <c r="D151" s="82">
        <f>'MAR-26'!C4</f>
        <v>0</v>
      </c>
      <c r="E151" s="83">
        <f>'MAR-26'!D4</f>
        <v>0</v>
      </c>
      <c r="F151" s="84">
        <f>'MAR-26'!E4</f>
        <v>0</v>
      </c>
      <c r="G151" s="85">
        <f>'MAR-26'!F4</f>
        <v>0</v>
      </c>
      <c r="H151" s="85">
        <f t="shared" si="0"/>
        <v>0</v>
      </c>
      <c r="I151" s="83" t="s">
        <v>97</v>
      </c>
      <c r="J151" s="83" t="str">
        <f t="shared" si="1"/>
        <v/>
      </c>
      <c r="K151" s="85">
        <f t="shared" si="2"/>
        <v>0</v>
      </c>
      <c r="L151" s="83" t="str">
        <f t="shared" si="3"/>
        <v/>
      </c>
      <c r="M151" s="83">
        <f>'MAR-26'!H4</f>
        <v>0</v>
      </c>
      <c r="N151" s="92" t="str">
        <f ca="1">IF(BD!$C151="","",IF(AND(TODAY()&gt;BD!$C151,OR(BD!$D151="PENDENTE",BD!$D151="")),"VENCIDO",""))</f>
        <v/>
      </c>
      <c r="O151" s="82" t="str">
        <f ca="1">IF(N151 = "VENCIDO",BD!$B151,"")</f>
        <v/>
      </c>
      <c r="P151" s="82" t="str">
        <f ca="1">IF(N151 = "VENCIDO",BD!$C151,"")</f>
        <v/>
      </c>
      <c r="Q151" s="83" t="str">
        <f ca="1">IF(N151 = "VENCIDO",BD!$E151,"")</f>
        <v/>
      </c>
      <c r="R151" s="83" t="str">
        <f ca="1">IF(N151 = "VENCIDO",BD!$F151,"")</f>
        <v/>
      </c>
      <c r="S151" s="85" t="str">
        <f ca="1">IF(N151 = "VENCIDO",BD!$G151,"")</f>
        <v/>
      </c>
      <c r="T151" s="83" t="str">
        <f ca="1">IF(AND(TODAY()&gt;BD!$C151, OR(BD!$D151="PENDENTE", BD!$D151="")), TODAY()-BD!$C151, "")</f>
        <v/>
      </c>
    </row>
    <row r="152" spans="1:20" ht="14.25" customHeight="1" x14ac:dyDescent="0.35">
      <c r="A152" s="32"/>
      <c r="B152" s="82">
        <f>'MAR-26'!A5</f>
        <v>0</v>
      </c>
      <c r="C152" s="82">
        <f>'MAR-26'!B5</f>
        <v>0</v>
      </c>
      <c r="D152" s="82">
        <f>'MAR-26'!C5</f>
        <v>0</v>
      </c>
      <c r="E152" s="83">
        <f>'MAR-26'!D5</f>
        <v>0</v>
      </c>
      <c r="F152" s="84">
        <f>'MAR-26'!E5</f>
        <v>0</v>
      </c>
      <c r="G152" s="85">
        <f>'MAR-26'!F5</f>
        <v>0</v>
      </c>
      <c r="H152" s="85">
        <f t="shared" si="0"/>
        <v>0</v>
      </c>
      <c r="I152" s="83" t="s">
        <v>97</v>
      </c>
      <c r="J152" s="83" t="str">
        <f t="shared" si="1"/>
        <v/>
      </c>
      <c r="K152" s="85">
        <f t="shared" si="2"/>
        <v>0</v>
      </c>
      <c r="L152" s="83" t="str">
        <f t="shared" si="3"/>
        <v/>
      </c>
      <c r="M152" s="83">
        <f>'MAR-26'!H5</f>
        <v>0</v>
      </c>
      <c r="N152" s="92" t="str">
        <f ca="1">IF(BD!$C152="","",IF(AND(TODAY()&gt;BD!$C152,OR(BD!$D152="PENDENTE",BD!$D152="")),"VENCIDO",""))</f>
        <v/>
      </c>
      <c r="O152" s="82" t="str">
        <f ca="1">IF(N152 = "VENCIDO",BD!$B152,"")</f>
        <v/>
      </c>
      <c r="P152" s="82" t="str">
        <f ca="1">IF(N152 = "VENCIDO",BD!$C152,"")</f>
        <v/>
      </c>
      <c r="Q152" s="83" t="str">
        <f ca="1">IF(N152 = "VENCIDO",BD!$E152,"")</f>
        <v/>
      </c>
      <c r="R152" s="83" t="str">
        <f ca="1">IF(N152 = "VENCIDO",BD!$F152,"")</f>
        <v/>
      </c>
      <c r="S152" s="85" t="str">
        <f ca="1">IF(N152 = "VENCIDO",BD!$G152,"")</f>
        <v/>
      </c>
      <c r="T152" s="83" t="str">
        <f ca="1">IF(AND(TODAY()&gt;BD!$C152, OR(BD!$D152="PENDENTE", BD!$D152="")), TODAY()-BD!$C152, "")</f>
        <v/>
      </c>
    </row>
    <row r="153" spans="1:20" ht="14.25" customHeight="1" x14ac:dyDescent="0.35">
      <c r="A153" s="32"/>
      <c r="B153" s="82">
        <f>'MAR-26'!A6</f>
        <v>0</v>
      </c>
      <c r="C153" s="82">
        <f>'MAR-26'!B6</f>
        <v>0</v>
      </c>
      <c r="D153" s="82">
        <f>'MAR-26'!C6</f>
        <v>0</v>
      </c>
      <c r="E153" s="83">
        <f>'MAR-26'!D6</f>
        <v>0</v>
      </c>
      <c r="F153" s="84">
        <f>'MAR-26'!E6</f>
        <v>0</v>
      </c>
      <c r="G153" s="85">
        <f>'MAR-26'!F6</f>
        <v>0</v>
      </c>
      <c r="H153" s="85">
        <f t="shared" si="0"/>
        <v>0</v>
      </c>
      <c r="I153" s="83" t="s">
        <v>97</v>
      </c>
      <c r="J153" s="83" t="str">
        <f t="shared" si="1"/>
        <v/>
      </c>
      <c r="K153" s="85">
        <f t="shared" si="2"/>
        <v>0</v>
      </c>
      <c r="L153" s="83" t="str">
        <f t="shared" si="3"/>
        <v/>
      </c>
      <c r="M153" s="83">
        <f>'MAR-26'!H6</f>
        <v>0</v>
      </c>
      <c r="N153" s="92" t="str">
        <f ca="1">IF(BD!$C153="","",IF(AND(TODAY()&gt;BD!$C153,OR(BD!$D153="PENDENTE",BD!$D153="")),"VENCIDO",""))</f>
        <v/>
      </c>
      <c r="O153" s="82" t="str">
        <f ca="1">IF(N153 = "VENCIDO",BD!$B153,"")</f>
        <v/>
      </c>
      <c r="P153" s="82" t="str">
        <f ca="1">IF(N153 = "VENCIDO",BD!$C153,"")</f>
        <v/>
      </c>
      <c r="Q153" s="83" t="str">
        <f ca="1">IF(N153 = "VENCIDO",BD!$E153,"")</f>
        <v/>
      </c>
      <c r="R153" s="83" t="str">
        <f ca="1">IF(N153 = "VENCIDO",BD!$F153,"")</f>
        <v/>
      </c>
      <c r="S153" s="85" t="str">
        <f ca="1">IF(N153 = "VENCIDO",BD!$G153,"")</f>
        <v/>
      </c>
      <c r="T153" s="83" t="str">
        <f ca="1">IF(AND(TODAY()&gt;BD!$C153, OR(BD!$D153="PENDENTE", BD!$D153="")), TODAY()-BD!$C153, "")</f>
        <v/>
      </c>
    </row>
    <row r="154" spans="1:20" ht="14.25" customHeight="1" x14ac:dyDescent="0.35">
      <c r="A154" s="32"/>
      <c r="B154" s="82">
        <f>'MAR-26'!A7</f>
        <v>0</v>
      </c>
      <c r="C154" s="82">
        <f>'MAR-26'!B7</f>
        <v>0</v>
      </c>
      <c r="D154" s="82">
        <f>'MAR-26'!C7</f>
        <v>0</v>
      </c>
      <c r="E154" s="83">
        <f>'MAR-26'!D7</f>
        <v>0</v>
      </c>
      <c r="F154" s="84">
        <f>'MAR-26'!E7</f>
        <v>0</v>
      </c>
      <c r="G154" s="85">
        <f>'MAR-26'!F7</f>
        <v>0</v>
      </c>
      <c r="H154" s="85">
        <f t="shared" si="0"/>
        <v>0</v>
      </c>
      <c r="I154" s="83" t="s">
        <v>97</v>
      </c>
      <c r="J154" s="83" t="str">
        <f t="shared" si="1"/>
        <v/>
      </c>
      <c r="K154" s="85">
        <f t="shared" si="2"/>
        <v>0</v>
      </c>
      <c r="L154" s="83" t="str">
        <f t="shared" si="3"/>
        <v/>
      </c>
      <c r="M154" s="83">
        <f>'MAR-26'!H7</f>
        <v>0</v>
      </c>
      <c r="N154" s="92" t="str">
        <f ca="1">IF(BD!$C154="","",IF(AND(TODAY()&gt;BD!$C154,OR(BD!$D154="PENDENTE",BD!$D154="")),"VENCIDO",""))</f>
        <v/>
      </c>
      <c r="O154" s="82" t="str">
        <f ca="1">IF(N154 = "VENCIDO",BD!$B154,"")</f>
        <v/>
      </c>
      <c r="P154" s="82" t="str">
        <f ca="1">IF(N154 = "VENCIDO",BD!$C154,"")</f>
        <v/>
      </c>
      <c r="Q154" s="83" t="str">
        <f ca="1">IF(N154 = "VENCIDO",BD!$E154,"")</f>
        <v/>
      </c>
      <c r="R154" s="83" t="str">
        <f ca="1">IF(N154 = "VENCIDO",BD!$F154,"")</f>
        <v/>
      </c>
      <c r="S154" s="85" t="str">
        <f ca="1">IF(N154 = "VENCIDO",BD!$G154,"")</f>
        <v/>
      </c>
      <c r="T154" s="83" t="str">
        <f ca="1">IF(AND(TODAY()&gt;BD!$C154, OR(BD!$D154="PENDENTE", BD!$D154="")), TODAY()-BD!$C154, "")</f>
        <v/>
      </c>
    </row>
    <row r="155" spans="1:20" ht="14.25" customHeight="1" x14ac:dyDescent="0.35">
      <c r="A155" s="32"/>
      <c r="B155" s="82">
        <f>'MAR-26'!A8</f>
        <v>0</v>
      </c>
      <c r="C155" s="82">
        <f>'MAR-26'!B8</f>
        <v>0</v>
      </c>
      <c r="D155" s="82">
        <f>'MAR-26'!C8</f>
        <v>0</v>
      </c>
      <c r="E155" s="83">
        <f>'MAR-26'!D8</f>
        <v>0</v>
      </c>
      <c r="F155" s="84">
        <f>'MAR-26'!E8</f>
        <v>0</v>
      </c>
      <c r="G155" s="85">
        <f>'MAR-26'!F8</f>
        <v>0</v>
      </c>
      <c r="H155" s="85">
        <f t="shared" si="0"/>
        <v>0</v>
      </c>
      <c r="I155" s="83" t="s">
        <v>97</v>
      </c>
      <c r="J155" s="83" t="str">
        <f t="shared" si="1"/>
        <v/>
      </c>
      <c r="K155" s="85">
        <f t="shared" si="2"/>
        <v>0</v>
      </c>
      <c r="L155" s="83" t="str">
        <f t="shared" si="3"/>
        <v/>
      </c>
      <c r="M155" s="83">
        <f>'MAR-26'!H8</f>
        <v>0</v>
      </c>
      <c r="N155" s="92" t="str">
        <f ca="1">IF(BD!$C155="","",IF(AND(TODAY()&gt;BD!$C155,OR(BD!$D155="PENDENTE",BD!$D155="")),"VENCIDO",""))</f>
        <v/>
      </c>
      <c r="O155" s="82" t="str">
        <f ca="1">IF(N155 = "VENCIDO",BD!$B155,"")</f>
        <v/>
      </c>
      <c r="P155" s="82" t="str">
        <f ca="1">IF(N155 = "VENCIDO",BD!$C155,"")</f>
        <v/>
      </c>
      <c r="Q155" s="83" t="str">
        <f ca="1">IF(N155 = "VENCIDO",BD!$E155,"")</f>
        <v/>
      </c>
      <c r="R155" s="83" t="str">
        <f ca="1">IF(N155 = "VENCIDO",BD!$F155,"")</f>
        <v/>
      </c>
      <c r="S155" s="85" t="str">
        <f ca="1">IF(N155 = "VENCIDO",BD!$G155,"")</f>
        <v/>
      </c>
      <c r="T155" s="83" t="str">
        <f ca="1">IF(AND(TODAY()&gt;BD!$C155, OR(BD!$D155="PENDENTE", BD!$D155="")), TODAY()-BD!$C155, "")</f>
        <v/>
      </c>
    </row>
    <row r="156" spans="1:20" ht="14.25" customHeight="1" x14ac:dyDescent="0.35">
      <c r="A156" s="32"/>
      <c r="B156" s="82">
        <f>'MAR-26'!A9</f>
        <v>0</v>
      </c>
      <c r="C156" s="82">
        <f>'MAR-26'!B9</f>
        <v>0</v>
      </c>
      <c r="D156" s="82">
        <f>'MAR-26'!C9</f>
        <v>0</v>
      </c>
      <c r="E156" s="83">
        <f>'MAR-26'!D9</f>
        <v>0</v>
      </c>
      <c r="F156" s="84">
        <f>'MAR-26'!E9</f>
        <v>0</v>
      </c>
      <c r="G156" s="85">
        <f>'MAR-26'!F9</f>
        <v>0</v>
      </c>
      <c r="H156" s="85">
        <f t="shared" si="0"/>
        <v>0</v>
      </c>
      <c r="I156" s="83" t="s">
        <v>97</v>
      </c>
      <c r="J156" s="83" t="str">
        <f t="shared" si="1"/>
        <v/>
      </c>
      <c r="K156" s="85">
        <f t="shared" si="2"/>
        <v>0</v>
      </c>
      <c r="L156" s="83" t="str">
        <f t="shared" si="3"/>
        <v/>
      </c>
      <c r="M156" s="83">
        <f>'MAR-26'!H9</f>
        <v>0</v>
      </c>
      <c r="N156" s="92" t="str">
        <f ca="1">IF(BD!$C156="","",IF(AND(TODAY()&gt;BD!$C156,OR(BD!$D156="PENDENTE",BD!$D156="")),"VENCIDO",""))</f>
        <v/>
      </c>
      <c r="O156" s="82" t="str">
        <f ca="1">IF(N156 = "VENCIDO",BD!$B156,"")</f>
        <v/>
      </c>
      <c r="P156" s="82" t="str">
        <f ca="1">IF(N156 = "VENCIDO",BD!$C156,"")</f>
        <v/>
      </c>
      <c r="Q156" s="83" t="str">
        <f ca="1">IF(N156 = "VENCIDO",BD!$E156,"")</f>
        <v/>
      </c>
      <c r="R156" s="83" t="str">
        <f ca="1">IF(N156 = "VENCIDO",BD!$F156,"")</f>
        <v/>
      </c>
      <c r="S156" s="85" t="str">
        <f ca="1">IF(N156 = "VENCIDO",BD!$G156,"")</f>
        <v/>
      </c>
      <c r="T156" s="83" t="str">
        <f ca="1">IF(AND(TODAY()&gt;BD!$C156, OR(BD!$D156="PENDENTE", BD!$D156="")), TODAY()-BD!$C156, "")</f>
        <v/>
      </c>
    </row>
    <row r="157" spans="1:20" ht="14.25" customHeight="1" x14ac:dyDescent="0.35">
      <c r="A157" s="32"/>
      <c r="B157" s="82">
        <f>'MAR-26'!A10</f>
        <v>0</v>
      </c>
      <c r="C157" s="82">
        <f>'MAR-26'!B10</f>
        <v>0</v>
      </c>
      <c r="D157" s="82">
        <f>'MAR-26'!C10</f>
        <v>0</v>
      </c>
      <c r="E157" s="83">
        <f>'MAR-26'!D10</f>
        <v>0</v>
      </c>
      <c r="F157" s="84">
        <f>'MAR-26'!E10</f>
        <v>0</v>
      </c>
      <c r="G157" s="85">
        <f>'MAR-26'!F10</f>
        <v>0</v>
      </c>
      <c r="H157" s="85">
        <f t="shared" si="0"/>
        <v>0</v>
      </c>
      <c r="I157" s="83" t="s">
        <v>97</v>
      </c>
      <c r="J157" s="83" t="str">
        <f t="shared" si="1"/>
        <v/>
      </c>
      <c r="K157" s="85">
        <f t="shared" si="2"/>
        <v>0</v>
      </c>
      <c r="L157" s="83" t="str">
        <f t="shared" si="3"/>
        <v/>
      </c>
      <c r="M157" s="83">
        <f>'MAR-26'!H10</f>
        <v>0</v>
      </c>
      <c r="N157" s="92" t="str">
        <f ca="1">IF(BD!$C157="","",IF(AND(TODAY()&gt;BD!$C157,OR(BD!$D157="PENDENTE",BD!$D157="")),"VENCIDO",""))</f>
        <v/>
      </c>
      <c r="O157" s="82" t="str">
        <f ca="1">IF(N157 = "VENCIDO",BD!$B157,"")</f>
        <v/>
      </c>
      <c r="P157" s="82" t="str">
        <f ca="1">IF(N157 = "VENCIDO",BD!$C157,"")</f>
        <v/>
      </c>
      <c r="Q157" s="83" t="str">
        <f ca="1">IF(N157 = "VENCIDO",BD!$E157,"")</f>
        <v/>
      </c>
      <c r="R157" s="83" t="str">
        <f ca="1">IF(N157 = "VENCIDO",BD!$F157,"")</f>
        <v/>
      </c>
      <c r="S157" s="85" t="str">
        <f ca="1">IF(N157 = "VENCIDO",BD!$G157,"")</f>
        <v/>
      </c>
      <c r="T157" s="83" t="str">
        <f ca="1">IF(AND(TODAY()&gt;BD!$C157, OR(BD!$D157="PENDENTE", BD!$D157="")), TODAY()-BD!$C157, "")</f>
        <v/>
      </c>
    </row>
    <row r="158" spans="1:20" ht="14.25" customHeight="1" x14ac:dyDescent="0.35">
      <c r="A158" s="32"/>
      <c r="B158" s="82">
        <f>'MAR-26'!A11</f>
        <v>0</v>
      </c>
      <c r="C158" s="82">
        <f>'MAR-26'!B11</f>
        <v>0</v>
      </c>
      <c r="D158" s="82">
        <f>'MAR-26'!C11</f>
        <v>0</v>
      </c>
      <c r="E158" s="83">
        <f>'MAR-26'!D11</f>
        <v>0</v>
      </c>
      <c r="F158" s="84">
        <f>'MAR-26'!E11</f>
        <v>0</v>
      </c>
      <c r="G158" s="85">
        <f>'MAR-26'!F11</f>
        <v>0</v>
      </c>
      <c r="H158" s="85">
        <f t="shared" si="0"/>
        <v>0</v>
      </c>
      <c r="I158" s="83" t="s">
        <v>97</v>
      </c>
      <c r="J158" s="83" t="str">
        <f t="shared" si="1"/>
        <v/>
      </c>
      <c r="K158" s="85">
        <f t="shared" si="2"/>
        <v>0</v>
      </c>
      <c r="L158" s="83" t="str">
        <f t="shared" si="3"/>
        <v/>
      </c>
      <c r="M158" s="83">
        <f>'MAR-26'!H11</f>
        <v>0</v>
      </c>
      <c r="N158" s="92" t="str">
        <f ca="1">IF(BD!$C158="","",IF(AND(TODAY()&gt;BD!$C158,OR(BD!$D158="PENDENTE",BD!$D158="")),"VENCIDO",""))</f>
        <v/>
      </c>
      <c r="O158" s="82" t="str">
        <f ca="1">IF(N158 = "VENCIDO",BD!$B158,"")</f>
        <v/>
      </c>
      <c r="P158" s="82" t="str">
        <f ca="1">IF(N158 = "VENCIDO",BD!$C158,"")</f>
        <v/>
      </c>
      <c r="Q158" s="83" t="str">
        <f ca="1">IF(N158 = "VENCIDO",BD!$E158,"")</f>
        <v/>
      </c>
      <c r="R158" s="83" t="str">
        <f ca="1">IF(N158 = "VENCIDO",BD!$F158,"")</f>
        <v/>
      </c>
      <c r="S158" s="85" t="str">
        <f ca="1">IF(N158 = "VENCIDO",BD!$G158,"")</f>
        <v/>
      </c>
      <c r="T158" s="83" t="str">
        <f ca="1">IF(AND(TODAY()&gt;BD!$C158, OR(BD!$D158="PENDENTE", BD!$D158="")), TODAY()-BD!$C158, "")</f>
        <v/>
      </c>
    </row>
    <row r="159" spans="1:20" ht="14.25" customHeight="1" x14ac:dyDescent="0.35">
      <c r="A159" s="32"/>
      <c r="B159" s="82">
        <f>'MAR-26'!A12</f>
        <v>0</v>
      </c>
      <c r="C159" s="82">
        <f>'MAR-26'!B12</f>
        <v>0</v>
      </c>
      <c r="D159" s="82">
        <f>'MAR-26'!C12</f>
        <v>0</v>
      </c>
      <c r="E159" s="83">
        <f>'MAR-26'!D12</f>
        <v>0</v>
      </c>
      <c r="F159" s="84">
        <f>'MAR-26'!E12</f>
        <v>0</v>
      </c>
      <c r="G159" s="85">
        <f>'MAR-26'!F12</f>
        <v>0</v>
      </c>
      <c r="H159" s="85">
        <f t="shared" si="0"/>
        <v>0</v>
      </c>
      <c r="I159" s="83" t="s">
        <v>97</v>
      </c>
      <c r="J159" s="83" t="str">
        <f t="shared" si="1"/>
        <v/>
      </c>
      <c r="K159" s="85">
        <f t="shared" si="2"/>
        <v>0</v>
      </c>
      <c r="L159" s="83" t="str">
        <f t="shared" si="3"/>
        <v/>
      </c>
      <c r="M159" s="83">
        <f>'MAR-26'!H12</f>
        <v>0</v>
      </c>
      <c r="N159" s="92" t="str">
        <f ca="1">IF(BD!$C159="","",IF(AND(TODAY()&gt;BD!$C159,OR(BD!$D159="PENDENTE",BD!$D159="")),"VENCIDO",""))</f>
        <v/>
      </c>
      <c r="O159" s="82" t="str">
        <f ca="1">IF(N159 = "VENCIDO",BD!$B159,"")</f>
        <v/>
      </c>
      <c r="P159" s="82" t="str">
        <f ca="1">IF(N159 = "VENCIDO",BD!$C159,"")</f>
        <v/>
      </c>
      <c r="Q159" s="83" t="str">
        <f ca="1">IF(N159 = "VENCIDO",BD!$E159,"")</f>
        <v/>
      </c>
      <c r="R159" s="83" t="str">
        <f ca="1">IF(N159 = "VENCIDO",BD!$F159,"")</f>
        <v/>
      </c>
      <c r="S159" s="85" t="str">
        <f ca="1">IF(N159 = "VENCIDO",BD!$G159,"")</f>
        <v/>
      </c>
      <c r="T159" s="83" t="str">
        <f ca="1">IF(AND(TODAY()&gt;BD!$C159, OR(BD!$D159="PENDENTE", BD!$D159="")), TODAY()-BD!$C159, "")</f>
        <v/>
      </c>
    </row>
    <row r="160" spans="1:20" ht="14.25" customHeight="1" x14ac:dyDescent="0.35">
      <c r="A160" s="32"/>
      <c r="B160" s="82">
        <f>'MAR-26'!A13</f>
        <v>0</v>
      </c>
      <c r="C160" s="82">
        <f>'MAR-26'!B13</f>
        <v>0</v>
      </c>
      <c r="D160" s="82">
        <f>'MAR-26'!C13</f>
        <v>0</v>
      </c>
      <c r="E160" s="83">
        <f>'MAR-26'!D13</f>
        <v>0</v>
      </c>
      <c r="F160" s="84">
        <f>'MAR-26'!E13</f>
        <v>0</v>
      </c>
      <c r="G160" s="85">
        <f>'MAR-26'!F13</f>
        <v>0</v>
      </c>
      <c r="H160" s="85">
        <f t="shared" si="0"/>
        <v>0</v>
      </c>
      <c r="I160" s="83" t="s">
        <v>97</v>
      </c>
      <c r="J160" s="83" t="str">
        <f t="shared" si="1"/>
        <v/>
      </c>
      <c r="K160" s="85">
        <f t="shared" si="2"/>
        <v>0</v>
      </c>
      <c r="L160" s="83" t="str">
        <f t="shared" si="3"/>
        <v/>
      </c>
      <c r="M160" s="83">
        <f>'MAR-26'!H13</f>
        <v>0</v>
      </c>
      <c r="N160" s="92" t="str">
        <f ca="1">IF(BD!$C160="","",IF(AND(TODAY()&gt;BD!$C160,OR(BD!$D160="PENDENTE",BD!$D160="")),"VENCIDO",""))</f>
        <v/>
      </c>
      <c r="O160" s="82" t="str">
        <f ca="1">IF(N160 = "VENCIDO",BD!$B160,"")</f>
        <v/>
      </c>
      <c r="P160" s="82" t="str">
        <f ca="1">IF(N160 = "VENCIDO",BD!$C160,"")</f>
        <v/>
      </c>
      <c r="Q160" s="83" t="str">
        <f ca="1">IF(N160 = "VENCIDO",BD!$E160,"")</f>
        <v/>
      </c>
      <c r="R160" s="83" t="str">
        <f ca="1">IF(N160 = "VENCIDO",BD!$F160,"")</f>
        <v/>
      </c>
      <c r="S160" s="85" t="str">
        <f ca="1">IF(N160 = "VENCIDO",BD!$G160,"")</f>
        <v/>
      </c>
      <c r="T160" s="83" t="str">
        <f ca="1">IF(AND(TODAY()&gt;BD!$C160, OR(BD!$D160="PENDENTE", BD!$D160="")), TODAY()-BD!$C160, "")</f>
        <v/>
      </c>
    </row>
    <row r="161" spans="1:20" ht="14.25" customHeight="1" x14ac:dyDescent="0.35">
      <c r="A161" s="32"/>
      <c r="B161" s="82">
        <f>'MAR-26'!A14</f>
        <v>0</v>
      </c>
      <c r="C161" s="82">
        <f>'MAR-26'!B14</f>
        <v>0</v>
      </c>
      <c r="D161" s="82">
        <f>'MAR-26'!C14</f>
        <v>0</v>
      </c>
      <c r="E161" s="83">
        <f>'MAR-26'!D14</f>
        <v>0</v>
      </c>
      <c r="F161" s="84">
        <f>'MAR-26'!E14</f>
        <v>0</v>
      </c>
      <c r="G161" s="85">
        <f>'MAR-26'!F14</f>
        <v>0</v>
      </c>
      <c r="H161" s="85">
        <f t="shared" si="0"/>
        <v>0</v>
      </c>
      <c r="I161" s="83" t="s">
        <v>97</v>
      </c>
      <c r="J161" s="83" t="str">
        <f t="shared" si="1"/>
        <v/>
      </c>
      <c r="K161" s="85">
        <f t="shared" si="2"/>
        <v>0</v>
      </c>
      <c r="L161" s="83" t="str">
        <f t="shared" si="3"/>
        <v/>
      </c>
      <c r="M161" s="83">
        <f>'MAR-26'!H14</f>
        <v>0</v>
      </c>
      <c r="N161" s="92" t="str">
        <f ca="1">IF(BD!$C161="","",IF(AND(TODAY()&gt;BD!$C161,OR(BD!$D161="PENDENTE",BD!$D161="")),"VENCIDO",""))</f>
        <v/>
      </c>
      <c r="O161" s="82" t="str">
        <f ca="1">IF(N161 = "VENCIDO",BD!$B161,"")</f>
        <v/>
      </c>
      <c r="P161" s="82" t="str">
        <f ca="1">IF(N161 = "VENCIDO",BD!$C161,"")</f>
        <v/>
      </c>
      <c r="Q161" s="83" t="str">
        <f ca="1">IF(N161 = "VENCIDO",BD!$E161,"")</f>
        <v/>
      </c>
      <c r="R161" s="83" t="str">
        <f ca="1">IF(N161 = "VENCIDO",BD!$F161,"")</f>
        <v/>
      </c>
      <c r="S161" s="85" t="str">
        <f ca="1">IF(N161 = "VENCIDO",BD!$G161,"")</f>
        <v/>
      </c>
      <c r="T161" s="83" t="str">
        <f ca="1">IF(AND(TODAY()&gt;BD!$C161, OR(BD!$D161="PENDENTE", BD!$D161="")), TODAY()-BD!$C161, "")</f>
        <v/>
      </c>
    </row>
    <row r="162" spans="1:20" ht="14.25" customHeight="1" x14ac:dyDescent="0.35">
      <c r="A162" s="32"/>
      <c r="B162" s="82">
        <f>'MAR-26'!A15</f>
        <v>0</v>
      </c>
      <c r="C162" s="82">
        <f>'MAR-26'!B15</f>
        <v>0</v>
      </c>
      <c r="D162" s="82">
        <f>'MAR-26'!C15</f>
        <v>0</v>
      </c>
      <c r="E162" s="83">
        <f>'MAR-26'!D15</f>
        <v>0</v>
      </c>
      <c r="F162" s="84">
        <f>'MAR-26'!E15</f>
        <v>0</v>
      </c>
      <c r="G162" s="85">
        <f>'MAR-26'!F15</f>
        <v>0</v>
      </c>
      <c r="H162" s="85">
        <f t="shared" si="0"/>
        <v>0</v>
      </c>
      <c r="I162" s="83" t="s">
        <v>97</v>
      </c>
      <c r="J162" s="83" t="str">
        <f t="shared" si="1"/>
        <v/>
      </c>
      <c r="K162" s="85">
        <f t="shared" si="2"/>
        <v>0</v>
      </c>
      <c r="L162" s="83" t="str">
        <f t="shared" si="3"/>
        <v/>
      </c>
      <c r="M162" s="83">
        <f>'MAR-26'!H15</f>
        <v>0</v>
      </c>
      <c r="N162" s="92" t="str">
        <f ca="1">IF(BD!$C162="","",IF(AND(TODAY()&gt;BD!$C162,OR(BD!$D162="PENDENTE",BD!$D162="")),"VENCIDO",""))</f>
        <v/>
      </c>
      <c r="O162" s="82" t="str">
        <f ca="1">IF(N162 = "VENCIDO",BD!$B162,"")</f>
        <v/>
      </c>
      <c r="P162" s="82" t="str">
        <f ca="1">IF(N162 = "VENCIDO",BD!$C162,"")</f>
        <v/>
      </c>
      <c r="Q162" s="83" t="str">
        <f ca="1">IF(N162 = "VENCIDO",BD!$E162,"")</f>
        <v/>
      </c>
      <c r="R162" s="83" t="str">
        <f ca="1">IF(N162 = "VENCIDO",BD!$F162,"")</f>
        <v/>
      </c>
      <c r="S162" s="85" t="str">
        <f ca="1">IF(N162 = "VENCIDO",BD!$G162,"")</f>
        <v/>
      </c>
      <c r="T162" s="83" t="str">
        <f ca="1">IF(AND(TODAY()&gt;BD!$C162, OR(BD!$D162="PENDENTE", BD!$D162="")), TODAY()-BD!$C162, "")</f>
        <v/>
      </c>
    </row>
    <row r="163" spans="1:20" ht="14.25" customHeight="1" x14ac:dyDescent="0.35">
      <c r="A163" s="32"/>
      <c r="B163" s="82">
        <f>'MAR-26'!A16</f>
        <v>0</v>
      </c>
      <c r="C163" s="82">
        <f>'MAR-26'!B16</f>
        <v>0</v>
      </c>
      <c r="D163" s="82">
        <f>'MAR-26'!C16</f>
        <v>0</v>
      </c>
      <c r="E163" s="83">
        <f>'MAR-26'!D16</f>
        <v>0</v>
      </c>
      <c r="F163" s="84">
        <f>'MAR-26'!E16</f>
        <v>0</v>
      </c>
      <c r="G163" s="85">
        <f>'MAR-26'!F16</f>
        <v>0</v>
      </c>
      <c r="H163" s="85">
        <f t="shared" si="0"/>
        <v>0</v>
      </c>
      <c r="I163" s="83" t="s">
        <v>97</v>
      </c>
      <c r="J163" s="83" t="str">
        <f t="shared" si="1"/>
        <v/>
      </c>
      <c r="K163" s="85">
        <f t="shared" si="2"/>
        <v>0</v>
      </c>
      <c r="L163" s="83" t="str">
        <f t="shared" si="3"/>
        <v/>
      </c>
      <c r="M163" s="83">
        <f>'MAR-26'!H16</f>
        <v>0</v>
      </c>
      <c r="N163" s="92" t="str">
        <f ca="1">IF(BD!$C163="","",IF(AND(TODAY()&gt;BD!$C163,OR(BD!$D163="PENDENTE",BD!$D163="")),"VENCIDO",""))</f>
        <v/>
      </c>
      <c r="O163" s="82" t="str">
        <f ca="1">IF(N163 = "VENCIDO",BD!$B163,"")</f>
        <v/>
      </c>
      <c r="P163" s="82" t="str">
        <f ca="1">IF(N163 = "VENCIDO",BD!$C163,"")</f>
        <v/>
      </c>
      <c r="Q163" s="83" t="str">
        <f ca="1">IF(N163 = "VENCIDO",BD!$E163,"")</f>
        <v/>
      </c>
      <c r="R163" s="83" t="str">
        <f ca="1">IF(N163 = "VENCIDO",BD!$F163,"")</f>
        <v/>
      </c>
      <c r="S163" s="85" t="str">
        <f ca="1">IF(N163 = "VENCIDO",BD!$G163,"")</f>
        <v/>
      </c>
      <c r="T163" s="83" t="str">
        <f ca="1">IF(AND(TODAY()&gt;BD!$C163, OR(BD!$D163="PENDENTE", BD!$D163="")), TODAY()-BD!$C163, "")</f>
        <v/>
      </c>
    </row>
    <row r="164" spans="1:20" ht="14.25" customHeight="1" x14ac:dyDescent="0.35">
      <c r="A164" s="32"/>
      <c r="B164" s="82">
        <f>'MAR-26'!A17</f>
        <v>0</v>
      </c>
      <c r="C164" s="82">
        <f>'MAR-26'!B17</f>
        <v>0</v>
      </c>
      <c r="D164" s="82">
        <f>'MAR-26'!C17</f>
        <v>0</v>
      </c>
      <c r="E164" s="83">
        <f>'MAR-26'!D17</f>
        <v>0</v>
      </c>
      <c r="F164" s="84">
        <f>'MAR-26'!E17</f>
        <v>0</v>
      </c>
      <c r="G164" s="85">
        <f>'MAR-26'!F17</f>
        <v>0</v>
      </c>
      <c r="H164" s="85">
        <f t="shared" si="0"/>
        <v>0</v>
      </c>
      <c r="I164" s="83" t="s">
        <v>97</v>
      </c>
      <c r="J164" s="83" t="str">
        <f t="shared" si="1"/>
        <v/>
      </c>
      <c r="K164" s="85">
        <f t="shared" si="2"/>
        <v>0</v>
      </c>
      <c r="L164" s="83" t="str">
        <f t="shared" si="3"/>
        <v/>
      </c>
      <c r="M164" s="83">
        <f>'MAR-26'!H17</f>
        <v>0</v>
      </c>
      <c r="N164" s="92" t="str">
        <f ca="1">IF(BD!$C164="","",IF(AND(TODAY()&gt;BD!$C164,OR(BD!$D164="PENDENTE",BD!$D164="")),"VENCIDO",""))</f>
        <v/>
      </c>
      <c r="O164" s="82" t="str">
        <f ca="1">IF(N164 = "VENCIDO",BD!$B164,"")</f>
        <v/>
      </c>
      <c r="P164" s="82" t="str">
        <f ca="1">IF(N164 = "VENCIDO",BD!$C164,"")</f>
        <v/>
      </c>
      <c r="Q164" s="83" t="str">
        <f ca="1">IF(N164 = "VENCIDO",BD!$E164,"")</f>
        <v/>
      </c>
      <c r="R164" s="83" t="str">
        <f ca="1">IF(N164 = "VENCIDO",BD!$F164,"")</f>
        <v/>
      </c>
      <c r="S164" s="85" t="str">
        <f ca="1">IF(N164 = "VENCIDO",BD!$G164,"")</f>
        <v/>
      </c>
      <c r="T164" s="83" t="str">
        <f ca="1">IF(AND(TODAY()&gt;BD!$C164, OR(BD!$D164="PENDENTE", BD!$D164="")), TODAY()-BD!$C164, "")</f>
        <v/>
      </c>
    </row>
    <row r="165" spans="1:20" ht="14.25" customHeight="1" x14ac:dyDescent="0.35">
      <c r="A165" s="32"/>
      <c r="B165" s="82">
        <f>'MAR-26'!A18</f>
        <v>0</v>
      </c>
      <c r="C165" s="82">
        <f>'MAR-26'!B18</f>
        <v>0</v>
      </c>
      <c r="D165" s="82">
        <f>'MAR-26'!C18</f>
        <v>0</v>
      </c>
      <c r="E165" s="83">
        <f>'MAR-26'!D18</f>
        <v>0</v>
      </c>
      <c r="F165" s="84">
        <f>'MAR-26'!E18</f>
        <v>0</v>
      </c>
      <c r="G165" s="85">
        <f>'MAR-26'!F18</f>
        <v>0</v>
      </c>
      <c r="H165" s="85">
        <f t="shared" si="0"/>
        <v>0</v>
      </c>
      <c r="I165" s="83" t="s">
        <v>97</v>
      </c>
      <c r="J165" s="83" t="str">
        <f t="shared" si="1"/>
        <v/>
      </c>
      <c r="K165" s="85">
        <f t="shared" si="2"/>
        <v>0</v>
      </c>
      <c r="L165" s="83" t="str">
        <f t="shared" si="3"/>
        <v/>
      </c>
      <c r="M165" s="83">
        <f>'MAR-26'!H18</f>
        <v>0</v>
      </c>
      <c r="N165" s="92" t="str">
        <f ca="1">IF(BD!$C165="","",IF(AND(TODAY()&gt;BD!$C165,OR(BD!$D165="PENDENTE",BD!$D165="")),"VENCIDO",""))</f>
        <v/>
      </c>
      <c r="O165" s="82" t="str">
        <f ca="1">IF(N165 = "VENCIDO",BD!$B165,"")</f>
        <v/>
      </c>
      <c r="P165" s="82" t="str">
        <f ca="1">IF(N165 = "VENCIDO",BD!$C165,"")</f>
        <v/>
      </c>
      <c r="Q165" s="83" t="str">
        <f ca="1">IF(N165 = "VENCIDO",BD!$E165,"")</f>
        <v/>
      </c>
      <c r="R165" s="83" t="str">
        <f ca="1">IF(N165 = "VENCIDO",BD!$F165,"")</f>
        <v/>
      </c>
      <c r="S165" s="85" t="str">
        <f ca="1">IF(N165 = "VENCIDO",BD!$G165,"")</f>
        <v/>
      </c>
      <c r="T165" s="83" t="str">
        <f ca="1">IF(AND(TODAY()&gt;BD!$C165, OR(BD!$D165="PENDENTE", BD!$D165="")), TODAY()-BD!$C165, "")</f>
        <v/>
      </c>
    </row>
    <row r="166" spans="1:20" ht="14.25" customHeight="1" x14ac:dyDescent="0.35">
      <c r="A166" s="32"/>
      <c r="B166" s="82">
        <f>'MAR-26'!A19</f>
        <v>0</v>
      </c>
      <c r="C166" s="82">
        <f>'MAR-26'!B19</f>
        <v>0</v>
      </c>
      <c r="D166" s="82">
        <f>'MAR-26'!C19</f>
        <v>0</v>
      </c>
      <c r="E166" s="83">
        <f>'MAR-26'!D19</f>
        <v>0</v>
      </c>
      <c r="F166" s="84">
        <f>'MAR-26'!E19</f>
        <v>0</v>
      </c>
      <c r="G166" s="85">
        <f>'MAR-26'!F19</f>
        <v>0</v>
      </c>
      <c r="H166" s="85">
        <f t="shared" si="0"/>
        <v>0</v>
      </c>
      <c r="I166" s="83" t="s">
        <v>97</v>
      </c>
      <c r="J166" s="83" t="str">
        <f t="shared" si="1"/>
        <v/>
      </c>
      <c r="K166" s="85">
        <f t="shared" si="2"/>
        <v>0</v>
      </c>
      <c r="L166" s="83" t="str">
        <f t="shared" si="3"/>
        <v/>
      </c>
      <c r="M166" s="83">
        <f>'MAR-26'!H19</f>
        <v>0</v>
      </c>
      <c r="N166" s="92" t="str">
        <f ca="1">IF(BD!$C166="","",IF(AND(TODAY()&gt;BD!$C166,OR(BD!$D166="PENDENTE",BD!$D166="")),"VENCIDO",""))</f>
        <v/>
      </c>
      <c r="O166" s="82" t="str">
        <f ca="1">IF(N166 = "VENCIDO",BD!$B166,"")</f>
        <v/>
      </c>
      <c r="P166" s="82" t="str">
        <f ca="1">IF(N166 = "VENCIDO",BD!$C166,"")</f>
        <v/>
      </c>
      <c r="Q166" s="83" t="str">
        <f ca="1">IF(N166 = "VENCIDO",BD!$E166,"")</f>
        <v/>
      </c>
      <c r="R166" s="83" t="str">
        <f ca="1">IF(N166 = "VENCIDO",BD!$F166,"")</f>
        <v/>
      </c>
      <c r="S166" s="85" t="str">
        <f ca="1">IF(N166 = "VENCIDO",BD!$G166,"")</f>
        <v/>
      </c>
      <c r="T166" s="83" t="str">
        <f ca="1">IF(AND(TODAY()&gt;BD!$C166, OR(BD!$D166="PENDENTE", BD!$D166="")), TODAY()-BD!$C166, "")</f>
        <v/>
      </c>
    </row>
    <row r="167" spans="1:20" ht="14.25" customHeight="1" x14ac:dyDescent="0.35">
      <c r="A167" s="32"/>
      <c r="B167" s="82">
        <f>'MAR-26'!A20</f>
        <v>0</v>
      </c>
      <c r="C167" s="82">
        <f>'MAR-26'!B20</f>
        <v>0</v>
      </c>
      <c r="D167" s="82">
        <f>'MAR-26'!C20</f>
        <v>0</v>
      </c>
      <c r="E167" s="83">
        <f>'MAR-26'!D20</f>
        <v>0</v>
      </c>
      <c r="F167" s="84">
        <f>'MAR-26'!E20</f>
        <v>0</v>
      </c>
      <c r="G167" s="85">
        <f>'MAR-26'!F20</f>
        <v>0</v>
      </c>
      <c r="H167" s="85">
        <f t="shared" si="0"/>
        <v>0</v>
      </c>
      <c r="I167" s="83" t="s">
        <v>97</v>
      </c>
      <c r="J167" s="83" t="str">
        <f t="shared" si="1"/>
        <v/>
      </c>
      <c r="K167" s="85">
        <f t="shared" si="2"/>
        <v>0</v>
      </c>
      <c r="L167" s="83" t="str">
        <f t="shared" si="3"/>
        <v/>
      </c>
      <c r="M167" s="83">
        <f>'MAR-26'!H20</f>
        <v>0</v>
      </c>
      <c r="N167" s="92" t="str">
        <f ca="1">IF(BD!$C167="","",IF(AND(TODAY()&gt;BD!$C167,OR(BD!$D167="PENDENTE",BD!$D167="")),"VENCIDO",""))</f>
        <v/>
      </c>
      <c r="O167" s="82" t="str">
        <f ca="1">IF(N167 = "VENCIDO",BD!$B167,"")</f>
        <v/>
      </c>
      <c r="P167" s="82" t="str">
        <f ca="1">IF(N167 = "VENCIDO",BD!$C167,"")</f>
        <v/>
      </c>
      <c r="Q167" s="83" t="str">
        <f ca="1">IF(N167 = "VENCIDO",BD!$E167,"")</f>
        <v/>
      </c>
      <c r="R167" s="83" t="str">
        <f ca="1">IF(N167 = "VENCIDO",BD!$F167,"")</f>
        <v/>
      </c>
      <c r="S167" s="85" t="str">
        <f ca="1">IF(N167 = "VENCIDO",BD!$G167,"")</f>
        <v/>
      </c>
      <c r="T167" s="83" t="str">
        <f ca="1">IF(AND(TODAY()&gt;BD!$C167, OR(BD!$D167="PENDENTE", BD!$D167="")), TODAY()-BD!$C167, "")</f>
        <v/>
      </c>
    </row>
    <row r="168" spans="1:20" ht="14.25" customHeight="1" x14ac:dyDescent="0.35">
      <c r="A168" s="32"/>
      <c r="B168" s="82">
        <f>'MAR-26'!A21</f>
        <v>0</v>
      </c>
      <c r="C168" s="82">
        <f>'MAR-26'!B21</f>
        <v>0</v>
      </c>
      <c r="D168" s="82">
        <f>'MAR-26'!C21</f>
        <v>0</v>
      </c>
      <c r="E168" s="83">
        <f>'MAR-26'!D21</f>
        <v>0</v>
      </c>
      <c r="F168" s="84">
        <f>'MAR-26'!E21</f>
        <v>0</v>
      </c>
      <c r="G168" s="85">
        <f>'MAR-26'!F21</f>
        <v>0</v>
      </c>
      <c r="H168" s="85">
        <f t="shared" si="0"/>
        <v>0</v>
      </c>
      <c r="I168" s="83" t="s">
        <v>97</v>
      </c>
      <c r="J168" s="83" t="str">
        <f t="shared" si="1"/>
        <v/>
      </c>
      <c r="K168" s="85">
        <f t="shared" si="2"/>
        <v>0</v>
      </c>
      <c r="L168" s="83" t="str">
        <f t="shared" si="3"/>
        <v/>
      </c>
      <c r="M168" s="83">
        <f>'MAR-26'!H21</f>
        <v>0</v>
      </c>
      <c r="N168" s="92" t="str">
        <f ca="1">IF(BD!$C168="","",IF(AND(TODAY()&gt;BD!$C168,OR(BD!$D168="PENDENTE",BD!$D168="")),"VENCIDO",""))</f>
        <v/>
      </c>
      <c r="O168" s="82" t="str">
        <f ca="1">IF(N168 = "VENCIDO",BD!$B168,"")</f>
        <v/>
      </c>
      <c r="P168" s="82" t="str">
        <f ca="1">IF(N168 = "VENCIDO",BD!$C168,"")</f>
        <v/>
      </c>
      <c r="Q168" s="83" t="str">
        <f ca="1">IF(N168 = "VENCIDO",BD!$E168,"")</f>
        <v/>
      </c>
      <c r="R168" s="83" t="str">
        <f ca="1">IF(N168 = "VENCIDO",BD!$F168,"")</f>
        <v/>
      </c>
      <c r="S168" s="85" t="str">
        <f ca="1">IF(N168 = "VENCIDO",BD!$G168,"")</f>
        <v/>
      </c>
      <c r="T168" s="83" t="str">
        <f ca="1">IF(AND(TODAY()&gt;BD!$C168, OR(BD!$D168="PENDENTE", BD!$D168="")), TODAY()-BD!$C168, "")</f>
        <v/>
      </c>
    </row>
    <row r="169" spans="1:20" ht="14.25" customHeight="1" x14ac:dyDescent="0.35">
      <c r="A169" s="32"/>
      <c r="B169" s="82">
        <f>'MAR-26'!A22</f>
        <v>0</v>
      </c>
      <c r="C169" s="82">
        <f>'MAR-26'!B22</f>
        <v>0</v>
      </c>
      <c r="D169" s="82">
        <f>'MAR-26'!C22</f>
        <v>0</v>
      </c>
      <c r="E169" s="83">
        <f>'MAR-26'!D22</f>
        <v>0</v>
      </c>
      <c r="F169" s="84">
        <f>'MAR-26'!E22</f>
        <v>0</v>
      </c>
      <c r="G169" s="85">
        <f>'MAR-26'!F22</f>
        <v>0</v>
      </c>
      <c r="H169" s="85">
        <f t="shared" si="0"/>
        <v>0</v>
      </c>
      <c r="I169" s="83" t="s">
        <v>97</v>
      </c>
      <c r="J169" s="83" t="str">
        <f t="shared" si="1"/>
        <v/>
      </c>
      <c r="K169" s="85">
        <f t="shared" si="2"/>
        <v>0</v>
      </c>
      <c r="L169" s="83" t="str">
        <f t="shared" si="3"/>
        <v/>
      </c>
      <c r="M169" s="83">
        <f>'MAR-26'!H22</f>
        <v>0</v>
      </c>
      <c r="N169" s="92" t="str">
        <f ca="1">IF(BD!$C169="","",IF(AND(TODAY()&gt;BD!$C169,OR(BD!$D169="PENDENTE",BD!$D169="")),"VENCIDO",""))</f>
        <v/>
      </c>
      <c r="O169" s="82" t="str">
        <f ca="1">IF(N169 = "VENCIDO",BD!$B169,"")</f>
        <v/>
      </c>
      <c r="P169" s="82" t="str">
        <f ca="1">IF(N169 = "VENCIDO",BD!$C169,"")</f>
        <v/>
      </c>
      <c r="Q169" s="83" t="str">
        <f ca="1">IF(N169 = "VENCIDO",BD!$E169,"")</f>
        <v/>
      </c>
      <c r="R169" s="83" t="str">
        <f ca="1">IF(N169 = "VENCIDO",BD!$F169,"")</f>
        <v/>
      </c>
      <c r="S169" s="85" t="str">
        <f ca="1">IF(N169 = "VENCIDO",BD!$G169,"")</f>
        <v/>
      </c>
      <c r="T169" s="83" t="str">
        <f ca="1">IF(AND(TODAY()&gt;BD!$C169, OR(BD!$D169="PENDENTE", BD!$D169="")), TODAY()-BD!$C169, "")</f>
        <v/>
      </c>
    </row>
    <row r="170" spans="1:20" ht="14.25" customHeight="1" x14ac:dyDescent="0.35">
      <c r="A170" s="32"/>
      <c r="B170" s="82">
        <f>'MAR-26'!A23</f>
        <v>0</v>
      </c>
      <c r="C170" s="82">
        <f>'MAR-26'!B23</f>
        <v>0</v>
      </c>
      <c r="D170" s="82">
        <f>'MAR-26'!C23</f>
        <v>0</v>
      </c>
      <c r="E170" s="83">
        <f>'MAR-26'!D23</f>
        <v>0</v>
      </c>
      <c r="F170" s="84">
        <f>'MAR-26'!E23</f>
        <v>0</v>
      </c>
      <c r="G170" s="85">
        <f>'MAR-26'!F23</f>
        <v>0</v>
      </c>
      <c r="H170" s="85">
        <f t="shared" si="0"/>
        <v>0</v>
      </c>
      <c r="I170" s="83" t="s">
        <v>97</v>
      </c>
      <c r="J170" s="83" t="str">
        <f t="shared" si="1"/>
        <v/>
      </c>
      <c r="K170" s="85">
        <f t="shared" si="2"/>
        <v>0</v>
      </c>
      <c r="L170" s="83" t="str">
        <f t="shared" si="3"/>
        <v/>
      </c>
      <c r="M170" s="83">
        <f>'MAR-26'!H23</f>
        <v>0</v>
      </c>
      <c r="N170" s="92" t="str">
        <f ca="1">IF(BD!$C170="","",IF(AND(TODAY()&gt;BD!$C170,OR(BD!$D170="PENDENTE",BD!$D170="")),"VENCIDO",""))</f>
        <v/>
      </c>
      <c r="O170" s="82" t="str">
        <f ca="1">IF(N170 = "VENCIDO",BD!$B170,"")</f>
        <v/>
      </c>
      <c r="P170" s="82" t="str">
        <f ca="1">IF(N170 = "VENCIDO",BD!$C170,"")</f>
        <v/>
      </c>
      <c r="Q170" s="83" t="str">
        <f ca="1">IF(N170 = "VENCIDO",BD!$E170,"")</f>
        <v/>
      </c>
      <c r="R170" s="83" t="str">
        <f ca="1">IF(N170 = "VENCIDO",BD!$F170,"")</f>
        <v/>
      </c>
      <c r="S170" s="85" t="str">
        <f ca="1">IF(N170 = "VENCIDO",BD!$G170,"")</f>
        <v/>
      </c>
      <c r="T170" s="83" t="str">
        <f ca="1">IF(AND(TODAY()&gt;BD!$C170, OR(BD!$D170="PENDENTE", BD!$D170="")), TODAY()-BD!$C170, "")</f>
        <v/>
      </c>
    </row>
    <row r="171" spans="1:20" ht="14.25" customHeight="1" x14ac:dyDescent="0.35">
      <c r="A171" s="32"/>
      <c r="B171" s="82">
        <f>'MAR-26'!A24</f>
        <v>0</v>
      </c>
      <c r="C171" s="82">
        <f>'MAR-26'!B24</f>
        <v>0</v>
      </c>
      <c r="D171" s="82">
        <f>'MAR-26'!C24</f>
        <v>0</v>
      </c>
      <c r="E171" s="83">
        <f>'MAR-26'!D24</f>
        <v>0</v>
      </c>
      <c r="F171" s="84">
        <f>'MAR-26'!E24</f>
        <v>0</v>
      </c>
      <c r="G171" s="85">
        <f>'MAR-26'!F24</f>
        <v>0</v>
      </c>
      <c r="H171" s="85">
        <f t="shared" si="0"/>
        <v>0</v>
      </c>
      <c r="I171" s="83" t="s">
        <v>97</v>
      </c>
      <c r="J171" s="83" t="str">
        <f t="shared" si="1"/>
        <v/>
      </c>
      <c r="K171" s="85">
        <f t="shared" si="2"/>
        <v>0</v>
      </c>
      <c r="L171" s="83" t="str">
        <f t="shared" si="3"/>
        <v/>
      </c>
      <c r="M171" s="83">
        <f>'MAR-26'!H24</f>
        <v>0</v>
      </c>
      <c r="N171" s="92" t="str">
        <f ca="1">IF(BD!$C171="","",IF(AND(TODAY()&gt;BD!$C171,OR(BD!$D171="PENDENTE",BD!$D171="")),"VENCIDO",""))</f>
        <v/>
      </c>
      <c r="O171" s="82" t="str">
        <f ca="1">IF(N171 = "VENCIDO",BD!$B171,"")</f>
        <v/>
      </c>
      <c r="P171" s="82" t="str">
        <f ca="1">IF(N171 = "VENCIDO",BD!$C171,"")</f>
        <v/>
      </c>
      <c r="Q171" s="83" t="str">
        <f ca="1">IF(N171 = "VENCIDO",BD!$E171,"")</f>
        <v/>
      </c>
      <c r="R171" s="83" t="str">
        <f ca="1">IF(N171 = "VENCIDO",BD!$F171,"")</f>
        <v/>
      </c>
      <c r="S171" s="85" t="str">
        <f ca="1">IF(N171 = "VENCIDO",BD!$G171,"")</f>
        <v/>
      </c>
      <c r="T171" s="83" t="str">
        <f ca="1">IF(AND(TODAY()&gt;BD!$C171, OR(BD!$D171="PENDENTE", BD!$D171="")), TODAY()-BD!$C171, "")</f>
        <v/>
      </c>
    </row>
    <row r="172" spans="1:20" ht="14.25" customHeight="1" x14ac:dyDescent="0.35">
      <c r="A172" s="32"/>
      <c r="B172" s="82">
        <f>'MAR-26'!A25</f>
        <v>0</v>
      </c>
      <c r="C172" s="82">
        <f>'MAR-26'!B25</f>
        <v>0</v>
      </c>
      <c r="D172" s="82">
        <f>'MAR-26'!C25</f>
        <v>0</v>
      </c>
      <c r="E172" s="83">
        <f>'MAR-26'!D25</f>
        <v>0</v>
      </c>
      <c r="F172" s="84">
        <f>'MAR-26'!E25</f>
        <v>0</v>
      </c>
      <c r="G172" s="85">
        <f>'MAR-26'!F25</f>
        <v>0</v>
      </c>
      <c r="H172" s="85">
        <f t="shared" si="0"/>
        <v>0</v>
      </c>
      <c r="I172" s="83" t="s">
        <v>97</v>
      </c>
      <c r="J172" s="83" t="str">
        <f t="shared" si="1"/>
        <v/>
      </c>
      <c r="K172" s="85">
        <f t="shared" si="2"/>
        <v>0</v>
      </c>
      <c r="L172" s="83" t="str">
        <f t="shared" si="3"/>
        <v/>
      </c>
      <c r="M172" s="83">
        <f>'MAR-26'!H25</f>
        <v>0</v>
      </c>
      <c r="N172" s="92" t="str">
        <f ca="1">IF(BD!$C172="","",IF(AND(TODAY()&gt;BD!$C172,OR(BD!$D172="PENDENTE",BD!$D172="")),"VENCIDO",""))</f>
        <v/>
      </c>
      <c r="O172" s="82" t="str">
        <f ca="1">IF(N172 = "VENCIDO",BD!$B172,"")</f>
        <v/>
      </c>
      <c r="P172" s="82" t="str">
        <f ca="1">IF(N172 = "VENCIDO",BD!$C172,"")</f>
        <v/>
      </c>
      <c r="Q172" s="83" t="str">
        <f ca="1">IF(N172 = "VENCIDO",BD!$E172,"")</f>
        <v/>
      </c>
      <c r="R172" s="83" t="str">
        <f ca="1">IF(N172 = "VENCIDO",BD!$F172,"")</f>
        <v/>
      </c>
      <c r="S172" s="85" t="str">
        <f ca="1">IF(N172 = "VENCIDO",BD!$G172,"")</f>
        <v/>
      </c>
      <c r="T172" s="83" t="str">
        <f ca="1">IF(AND(TODAY()&gt;BD!$C172, OR(BD!$D172="PENDENTE", BD!$D172="")), TODAY()-BD!$C172, "")</f>
        <v/>
      </c>
    </row>
    <row r="173" spans="1:20" ht="14.25" customHeight="1" x14ac:dyDescent="0.35">
      <c r="A173" s="32"/>
      <c r="B173" s="82">
        <f>'MAR-26'!A26</f>
        <v>0</v>
      </c>
      <c r="C173" s="82">
        <f>'MAR-26'!B26</f>
        <v>0</v>
      </c>
      <c r="D173" s="82">
        <f>'MAR-26'!C26</f>
        <v>0</v>
      </c>
      <c r="E173" s="83">
        <f>'MAR-26'!D26</f>
        <v>0</v>
      </c>
      <c r="F173" s="84">
        <f>'MAR-26'!E26</f>
        <v>0</v>
      </c>
      <c r="G173" s="85">
        <f>'MAR-26'!F26</f>
        <v>0</v>
      </c>
      <c r="H173" s="85">
        <f t="shared" si="0"/>
        <v>0</v>
      </c>
      <c r="I173" s="83" t="s">
        <v>97</v>
      </c>
      <c r="J173" s="83" t="str">
        <f t="shared" si="1"/>
        <v/>
      </c>
      <c r="K173" s="85">
        <f t="shared" si="2"/>
        <v>0</v>
      </c>
      <c r="L173" s="83" t="str">
        <f t="shared" si="3"/>
        <v/>
      </c>
      <c r="M173" s="83">
        <f>'MAR-26'!H26</f>
        <v>0</v>
      </c>
      <c r="N173" s="92" t="str">
        <f ca="1">IF(BD!$C173="","",IF(AND(TODAY()&gt;BD!$C173,OR(BD!$D173="PENDENTE",BD!$D173="")),"VENCIDO",""))</f>
        <v/>
      </c>
      <c r="O173" s="82" t="str">
        <f ca="1">IF(N173 = "VENCIDO",BD!$B173,"")</f>
        <v/>
      </c>
      <c r="P173" s="82" t="str">
        <f ca="1">IF(N173 = "VENCIDO",BD!$C173,"")</f>
        <v/>
      </c>
      <c r="Q173" s="83" t="str">
        <f ca="1">IF(N173 = "VENCIDO",BD!$E173,"")</f>
        <v/>
      </c>
      <c r="R173" s="83" t="str">
        <f ca="1">IF(N173 = "VENCIDO",BD!$F173,"")</f>
        <v/>
      </c>
      <c r="S173" s="85" t="str">
        <f ca="1">IF(N173 = "VENCIDO",BD!$G173,"")</f>
        <v/>
      </c>
      <c r="T173" s="83" t="str">
        <f ca="1">IF(AND(TODAY()&gt;BD!$C173, OR(BD!$D173="PENDENTE", BD!$D173="")), TODAY()-BD!$C173, "")</f>
        <v/>
      </c>
    </row>
    <row r="174" spans="1:20" ht="14.25" customHeight="1" x14ac:dyDescent="0.35">
      <c r="A174" s="32"/>
      <c r="B174" s="82">
        <f>'MAR-26'!A27</f>
        <v>0</v>
      </c>
      <c r="C174" s="82">
        <f>'MAR-26'!B27</f>
        <v>0</v>
      </c>
      <c r="D174" s="82">
        <f>'MAR-26'!C27</f>
        <v>0</v>
      </c>
      <c r="E174" s="83">
        <f>'MAR-26'!D27</f>
        <v>0</v>
      </c>
      <c r="F174" s="84">
        <f>'MAR-26'!E27</f>
        <v>0</v>
      </c>
      <c r="G174" s="85">
        <f>'MAR-26'!F27</f>
        <v>0</v>
      </c>
      <c r="H174" s="85">
        <f t="shared" si="0"/>
        <v>0</v>
      </c>
      <c r="I174" s="83" t="s">
        <v>97</v>
      </c>
      <c r="J174" s="83" t="str">
        <f t="shared" si="1"/>
        <v/>
      </c>
      <c r="K174" s="85">
        <f t="shared" si="2"/>
        <v>0</v>
      </c>
      <c r="L174" s="83" t="str">
        <f t="shared" si="3"/>
        <v/>
      </c>
      <c r="M174" s="83">
        <f>'MAR-26'!H27</f>
        <v>0</v>
      </c>
      <c r="N174" s="92" t="str">
        <f ca="1">IF(BD!$C174="","",IF(AND(TODAY()&gt;BD!$C174,OR(BD!$D174="PENDENTE",BD!$D174="")),"VENCIDO",""))</f>
        <v/>
      </c>
      <c r="O174" s="82" t="str">
        <f ca="1">IF(N174 = "VENCIDO",BD!$B174,"")</f>
        <v/>
      </c>
      <c r="P174" s="82" t="str">
        <f ca="1">IF(N174 = "VENCIDO",BD!$C174,"")</f>
        <v/>
      </c>
      <c r="Q174" s="83" t="str">
        <f ca="1">IF(N174 = "VENCIDO",BD!$E174,"")</f>
        <v/>
      </c>
      <c r="R174" s="83" t="str">
        <f ca="1">IF(N174 = "VENCIDO",BD!$F174,"")</f>
        <v/>
      </c>
      <c r="S174" s="85" t="str">
        <f ca="1">IF(N174 = "VENCIDO",BD!$G174,"")</f>
        <v/>
      </c>
      <c r="T174" s="83" t="str">
        <f ca="1">IF(AND(TODAY()&gt;BD!$C174, OR(BD!$D174="PENDENTE", BD!$D174="")), TODAY()-BD!$C174, "")</f>
        <v/>
      </c>
    </row>
    <row r="175" spans="1:20" ht="14.25" customHeight="1" x14ac:dyDescent="0.35">
      <c r="A175" s="32"/>
      <c r="B175" s="82">
        <f>'MAR-26'!A28</f>
        <v>0</v>
      </c>
      <c r="C175" s="82">
        <f>'MAR-26'!B28</f>
        <v>0</v>
      </c>
      <c r="D175" s="82">
        <f>'MAR-26'!C28</f>
        <v>0</v>
      </c>
      <c r="E175" s="83">
        <f>'MAR-26'!D28</f>
        <v>0</v>
      </c>
      <c r="F175" s="84">
        <f>'MAR-26'!E28</f>
        <v>0</v>
      </c>
      <c r="G175" s="85">
        <f>'MAR-26'!F28</f>
        <v>0</v>
      </c>
      <c r="H175" s="85">
        <f t="shared" si="0"/>
        <v>0</v>
      </c>
      <c r="I175" s="83" t="s">
        <v>97</v>
      </c>
      <c r="J175" s="83" t="str">
        <f t="shared" si="1"/>
        <v/>
      </c>
      <c r="K175" s="85">
        <f t="shared" si="2"/>
        <v>0</v>
      </c>
      <c r="L175" s="83" t="str">
        <f t="shared" si="3"/>
        <v/>
      </c>
      <c r="M175" s="83">
        <f>'MAR-26'!H28</f>
        <v>0</v>
      </c>
      <c r="N175" s="92" t="str">
        <f ca="1">IF(BD!$C175="","",IF(AND(TODAY()&gt;BD!$C175,OR(BD!$D175="PENDENTE",BD!$D175="")),"VENCIDO",""))</f>
        <v/>
      </c>
      <c r="O175" s="82" t="str">
        <f ca="1">IF(N175 = "VENCIDO",BD!$B175,"")</f>
        <v/>
      </c>
      <c r="P175" s="82" t="str">
        <f ca="1">IF(N175 = "VENCIDO",BD!$C175,"")</f>
        <v/>
      </c>
      <c r="Q175" s="83" t="str">
        <f ca="1">IF(N175 = "VENCIDO",BD!$E175,"")</f>
        <v/>
      </c>
      <c r="R175" s="83" t="str">
        <f ca="1">IF(N175 = "VENCIDO",BD!$F175,"")</f>
        <v/>
      </c>
      <c r="S175" s="85" t="str">
        <f ca="1">IF(N175 = "VENCIDO",BD!$G175,"")</f>
        <v/>
      </c>
      <c r="T175" s="83" t="str">
        <f ca="1">IF(AND(TODAY()&gt;BD!$C175, OR(BD!$D175="PENDENTE", BD!$D175="")), TODAY()-BD!$C175, "")</f>
        <v/>
      </c>
    </row>
    <row r="176" spans="1:20" ht="14.25" customHeight="1" x14ac:dyDescent="0.35">
      <c r="A176" s="32"/>
      <c r="B176" s="82">
        <f>'MAR-26'!A29</f>
        <v>0</v>
      </c>
      <c r="C176" s="82">
        <f>'MAR-26'!B29</f>
        <v>0</v>
      </c>
      <c r="D176" s="82">
        <f>'MAR-26'!C29</f>
        <v>0</v>
      </c>
      <c r="E176" s="83">
        <f>'MAR-26'!D29</f>
        <v>0</v>
      </c>
      <c r="F176" s="84">
        <f>'MAR-26'!E29</f>
        <v>0</v>
      </c>
      <c r="G176" s="85">
        <f>'MAR-26'!F29</f>
        <v>0</v>
      </c>
      <c r="H176" s="85">
        <f t="shared" si="0"/>
        <v>0</v>
      </c>
      <c r="I176" s="83" t="s">
        <v>97</v>
      </c>
      <c r="J176" s="83" t="str">
        <f t="shared" si="1"/>
        <v/>
      </c>
      <c r="K176" s="85">
        <f t="shared" si="2"/>
        <v>0</v>
      </c>
      <c r="L176" s="83" t="str">
        <f t="shared" si="3"/>
        <v/>
      </c>
      <c r="M176" s="83">
        <f>'MAR-26'!H29</f>
        <v>0</v>
      </c>
      <c r="N176" s="92" t="str">
        <f ca="1">IF(BD!$C176="","",IF(AND(TODAY()&gt;BD!$C176,OR(BD!$D176="PENDENTE",BD!$D176="")),"VENCIDO",""))</f>
        <v/>
      </c>
      <c r="O176" s="82" t="str">
        <f ca="1">IF(N176 = "VENCIDO",BD!$B176,"")</f>
        <v/>
      </c>
      <c r="P176" s="82" t="str">
        <f ca="1">IF(N176 = "VENCIDO",BD!$C176,"")</f>
        <v/>
      </c>
      <c r="Q176" s="83" t="str">
        <f ca="1">IF(N176 = "VENCIDO",BD!$E176,"")</f>
        <v/>
      </c>
      <c r="R176" s="83" t="str">
        <f ca="1">IF(N176 = "VENCIDO",BD!$F176,"")</f>
        <v/>
      </c>
      <c r="S176" s="85" t="str">
        <f ca="1">IF(N176 = "VENCIDO",BD!$G176,"")</f>
        <v/>
      </c>
      <c r="T176" s="83" t="str">
        <f ca="1">IF(AND(TODAY()&gt;BD!$C176, OR(BD!$D176="PENDENTE", BD!$D176="")), TODAY()-BD!$C176, "")</f>
        <v/>
      </c>
    </row>
    <row r="177" spans="1:20" ht="14.25" customHeight="1" x14ac:dyDescent="0.35">
      <c r="A177" s="32"/>
      <c r="B177" s="82">
        <f>'MAR-26'!A30</f>
        <v>0</v>
      </c>
      <c r="C177" s="82">
        <f>'MAR-26'!B30</f>
        <v>0</v>
      </c>
      <c r="D177" s="82">
        <f>'MAR-26'!C30</f>
        <v>0</v>
      </c>
      <c r="E177" s="83">
        <f>'MAR-26'!D30</f>
        <v>0</v>
      </c>
      <c r="F177" s="84">
        <f>'MAR-26'!E30</f>
        <v>0</v>
      </c>
      <c r="G177" s="85">
        <f>'MAR-26'!F30</f>
        <v>0</v>
      </c>
      <c r="H177" s="85">
        <f t="shared" si="0"/>
        <v>0</v>
      </c>
      <c r="I177" s="83" t="s">
        <v>97</v>
      </c>
      <c r="J177" s="83" t="str">
        <f t="shared" si="1"/>
        <v/>
      </c>
      <c r="K177" s="85">
        <f t="shared" si="2"/>
        <v>0</v>
      </c>
      <c r="L177" s="83" t="str">
        <f t="shared" si="3"/>
        <v/>
      </c>
      <c r="M177" s="83">
        <f>'MAR-26'!H30</f>
        <v>0</v>
      </c>
      <c r="N177" s="92" t="str">
        <f ca="1">IF(BD!$C177="","",IF(AND(TODAY()&gt;BD!$C177,OR(BD!$D177="PENDENTE",BD!$D177="")),"VENCIDO",""))</f>
        <v/>
      </c>
      <c r="O177" s="82" t="str">
        <f ca="1">IF(N177 = "VENCIDO",BD!$B177,"")</f>
        <v/>
      </c>
      <c r="P177" s="82" t="str">
        <f ca="1">IF(N177 = "VENCIDO",BD!$C177,"")</f>
        <v/>
      </c>
      <c r="Q177" s="83" t="str">
        <f ca="1">IF(N177 = "VENCIDO",BD!$E177,"")</f>
        <v/>
      </c>
      <c r="R177" s="83" t="str">
        <f ca="1">IF(N177 = "VENCIDO",BD!$F177,"")</f>
        <v/>
      </c>
      <c r="S177" s="85" t="str">
        <f ca="1">IF(N177 = "VENCIDO",BD!$G177,"")</f>
        <v/>
      </c>
      <c r="T177" s="83" t="str">
        <f ca="1">IF(AND(TODAY()&gt;BD!$C177, OR(BD!$D177="PENDENTE", BD!$D177="")), TODAY()-BD!$C177, "")</f>
        <v/>
      </c>
    </row>
    <row r="178" spans="1:20" ht="14.25" customHeight="1" x14ac:dyDescent="0.35">
      <c r="A178" s="32"/>
      <c r="B178" s="82">
        <f>'MAR-26'!A31</f>
        <v>0</v>
      </c>
      <c r="C178" s="82">
        <f>'MAR-26'!B31</f>
        <v>0</v>
      </c>
      <c r="D178" s="82">
        <f>'MAR-26'!C31</f>
        <v>0</v>
      </c>
      <c r="E178" s="83">
        <f>'MAR-26'!D31</f>
        <v>0</v>
      </c>
      <c r="F178" s="84">
        <f>'MAR-26'!E31</f>
        <v>0</v>
      </c>
      <c r="G178" s="85">
        <f>'MAR-26'!F31</f>
        <v>0</v>
      </c>
      <c r="H178" s="85">
        <f t="shared" si="0"/>
        <v>0</v>
      </c>
      <c r="I178" s="83" t="s">
        <v>97</v>
      </c>
      <c r="J178" s="83" t="str">
        <f t="shared" si="1"/>
        <v/>
      </c>
      <c r="K178" s="85">
        <f t="shared" si="2"/>
        <v>0</v>
      </c>
      <c r="L178" s="83" t="str">
        <f t="shared" si="3"/>
        <v/>
      </c>
      <c r="M178" s="83">
        <f>'MAR-26'!H31</f>
        <v>0</v>
      </c>
      <c r="N178" s="92" t="str">
        <f ca="1">IF(BD!$C178="","",IF(AND(TODAY()&gt;BD!$C178,OR(BD!$D178="PENDENTE",BD!$D178="")),"VENCIDO",""))</f>
        <v/>
      </c>
      <c r="O178" s="82" t="str">
        <f ca="1">IF(N178 = "VENCIDO",BD!$B178,"")</f>
        <v/>
      </c>
      <c r="P178" s="82" t="str">
        <f ca="1">IF(N178 = "VENCIDO",BD!$C178,"")</f>
        <v/>
      </c>
      <c r="Q178" s="83" t="str">
        <f ca="1">IF(N178 = "VENCIDO",BD!$E178,"")</f>
        <v/>
      </c>
      <c r="R178" s="83" t="str">
        <f ca="1">IF(N178 = "VENCIDO",BD!$F178,"")</f>
        <v/>
      </c>
      <c r="S178" s="85" t="str">
        <f ca="1">IF(N178 = "VENCIDO",BD!$G178,"")</f>
        <v/>
      </c>
      <c r="T178" s="83" t="str">
        <f ca="1">IF(AND(TODAY()&gt;BD!$C178, OR(BD!$D178="PENDENTE", BD!$D178="")), TODAY()-BD!$C178, "")</f>
        <v/>
      </c>
    </row>
    <row r="179" spans="1:20" ht="14.25" customHeight="1" x14ac:dyDescent="0.35">
      <c r="A179" s="32"/>
      <c r="B179" s="82">
        <f>'MAR-26'!A32</f>
        <v>0</v>
      </c>
      <c r="C179" s="82">
        <f>'MAR-26'!B32</f>
        <v>0</v>
      </c>
      <c r="D179" s="82">
        <f>'MAR-26'!C32</f>
        <v>0</v>
      </c>
      <c r="E179" s="83">
        <f>'MAR-26'!D32</f>
        <v>0</v>
      </c>
      <c r="F179" s="84">
        <f>'MAR-26'!E32</f>
        <v>0</v>
      </c>
      <c r="G179" s="85">
        <f>'MAR-26'!F32</f>
        <v>0</v>
      </c>
      <c r="H179" s="85">
        <f t="shared" si="0"/>
        <v>0</v>
      </c>
      <c r="I179" s="83" t="s">
        <v>97</v>
      </c>
      <c r="J179" s="83" t="str">
        <f t="shared" si="1"/>
        <v/>
      </c>
      <c r="K179" s="85">
        <f t="shared" si="2"/>
        <v>0</v>
      </c>
      <c r="L179" s="83" t="str">
        <f t="shared" si="3"/>
        <v/>
      </c>
      <c r="M179" s="83">
        <f>'MAR-26'!H32</f>
        <v>0</v>
      </c>
      <c r="N179" s="92" t="str">
        <f ca="1">IF(BD!$C179="","",IF(AND(TODAY()&gt;BD!$C179,OR(BD!$D179="PENDENTE",BD!$D179="")),"VENCIDO",""))</f>
        <v/>
      </c>
      <c r="O179" s="82" t="str">
        <f ca="1">IF(N179 = "VENCIDO",BD!$B179,"")</f>
        <v/>
      </c>
      <c r="P179" s="82" t="str">
        <f ca="1">IF(N179 = "VENCIDO",BD!$C179,"")</f>
        <v/>
      </c>
      <c r="Q179" s="83" t="str">
        <f ca="1">IF(N179 = "VENCIDO",BD!$E179,"")</f>
        <v/>
      </c>
      <c r="R179" s="83" t="str">
        <f ca="1">IF(N179 = "VENCIDO",BD!$F179,"")</f>
        <v/>
      </c>
      <c r="S179" s="85" t="str">
        <f ca="1">IF(N179 = "VENCIDO",BD!$G179,"")</f>
        <v/>
      </c>
      <c r="T179" s="83" t="str">
        <f ca="1">IF(AND(TODAY()&gt;BD!$C179, OR(BD!$D179="PENDENTE", BD!$D179="")), TODAY()-BD!$C179, "")</f>
        <v/>
      </c>
    </row>
    <row r="180" spans="1:20" ht="14.25" customHeight="1" x14ac:dyDescent="0.35">
      <c r="A180" s="32"/>
      <c r="B180" s="82">
        <f>'MAR-26'!A33</f>
        <v>0</v>
      </c>
      <c r="C180" s="82">
        <f>'MAR-26'!B33</f>
        <v>0</v>
      </c>
      <c r="D180" s="82">
        <f>'MAR-26'!C33</f>
        <v>0</v>
      </c>
      <c r="E180" s="83">
        <f>'MAR-26'!D33</f>
        <v>0</v>
      </c>
      <c r="F180" s="84">
        <f>'MAR-26'!E33</f>
        <v>0</v>
      </c>
      <c r="G180" s="85">
        <f>'MAR-26'!F33</f>
        <v>0</v>
      </c>
      <c r="H180" s="85">
        <f t="shared" si="0"/>
        <v>0</v>
      </c>
      <c r="I180" s="83" t="s">
        <v>97</v>
      </c>
      <c r="J180" s="83" t="str">
        <f t="shared" si="1"/>
        <v/>
      </c>
      <c r="K180" s="85">
        <f t="shared" si="2"/>
        <v>0</v>
      </c>
      <c r="L180" s="83" t="str">
        <f t="shared" si="3"/>
        <v/>
      </c>
      <c r="M180" s="83">
        <f>'MAR-26'!H33</f>
        <v>0</v>
      </c>
      <c r="N180" s="92" t="str">
        <f ca="1">IF(BD!$C180="","",IF(AND(TODAY()&gt;BD!$C180,OR(BD!$D180="PENDENTE",BD!$D180="")),"VENCIDO",""))</f>
        <v/>
      </c>
      <c r="O180" s="82" t="str">
        <f ca="1">IF(N180 = "VENCIDO",BD!$B180,"")</f>
        <v/>
      </c>
      <c r="P180" s="82" t="str">
        <f ca="1">IF(N180 = "VENCIDO",BD!$C180,"")</f>
        <v/>
      </c>
      <c r="Q180" s="83" t="str">
        <f ca="1">IF(N180 = "VENCIDO",BD!$E180,"")</f>
        <v/>
      </c>
      <c r="R180" s="83" t="str">
        <f ca="1">IF(N180 = "VENCIDO",BD!$F180,"")</f>
        <v/>
      </c>
      <c r="S180" s="85" t="str">
        <f ca="1">IF(N180 = "VENCIDO",BD!$G180,"")</f>
        <v/>
      </c>
      <c r="T180" s="83" t="str">
        <f ca="1">IF(AND(TODAY()&gt;BD!$C180, OR(BD!$D180="PENDENTE", BD!$D180="")), TODAY()-BD!$C180, "")</f>
        <v/>
      </c>
    </row>
    <row r="181" spans="1:20" ht="14.25" customHeight="1" x14ac:dyDescent="0.35">
      <c r="A181" s="32"/>
      <c r="B181" s="82">
        <f>'MAR-26'!A34</f>
        <v>0</v>
      </c>
      <c r="C181" s="82">
        <f>'MAR-26'!B34</f>
        <v>0</v>
      </c>
      <c r="D181" s="82">
        <f>'MAR-26'!C34</f>
        <v>0</v>
      </c>
      <c r="E181" s="83">
        <f>'MAR-26'!D34</f>
        <v>0</v>
      </c>
      <c r="F181" s="84">
        <f>'MAR-26'!E34</f>
        <v>0</v>
      </c>
      <c r="G181" s="85">
        <f>'MAR-26'!F34</f>
        <v>0</v>
      </c>
      <c r="H181" s="85">
        <f t="shared" si="0"/>
        <v>0</v>
      </c>
      <c r="I181" s="83" t="s">
        <v>97</v>
      </c>
      <c r="J181" s="83" t="str">
        <f t="shared" si="1"/>
        <v/>
      </c>
      <c r="K181" s="85">
        <f t="shared" si="2"/>
        <v>0</v>
      </c>
      <c r="L181" s="83" t="str">
        <f t="shared" si="3"/>
        <v/>
      </c>
      <c r="M181" s="83">
        <f>'MAR-26'!H34</f>
        <v>0</v>
      </c>
      <c r="N181" s="92" t="str">
        <f ca="1">IF(BD!$C181="","",IF(AND(TODAY()&gt;BD!$C181,OR(BD!$D181="PENDENTE",BD!$D181="")),"VENCIDO",""))</f>
        <v/>
      </c>
      <c r="O181" s="82" t="str">
        <f ca="1">IF(N181 = "VENCIDO",BD!$B181,"")</f>
        <v/>
      </c>
      <c r="P181" s="82" t="str">
        <f ca="1">IF(N181 = "VENCIDO",BD!$C181,"")</f>
        <v/>
      </c>
      <c r="Q181" s="83" t="str">
        <f ca="1">IF(N181 = "VENCIDO",BD!$E181,"")</f>
        <v/>
      </c>
      <c r="R181" s="83" t="str">
        <f ca="1">IF(N181 = "VENCIDO",BD!$F181,"")</f>
        <v/>
      </c>
      <c r="S181" s="85" t="str">
        <f ca="1">IF(N181 = "VENCIDO",BD!$G181,"")</f>
        <v/>
      </c>
      <c r="T181" s="83" t="str">
        <f ca="1">IF(AND(TODAY()&gt;BD!$C181, OR(BD!$D181="PENDENTE", BD!$D181="")), TODAY()-BD!$C181, "")</f>
        <v/>
      </c>
    </row>
    <row r="182" spans="1:20" ht="14.25" customHeight="1" x14ac:dyDescent="0.35">
      <c r="A182" s="32"/>
      <c r="B182" s="82">
        <f>'MAR-26'!A35</f>
        <v>0</v>
      </c>
      <c r="C182" s="82">
        <f>'MAR-26'!B35</f>
        <v>0</v>
      </c>
      <c r="D182" s="82">
        <f>'MAR-26'!C35</f>
        <v>0</v>
      </c>
      <c r="E182" s="83">
        <f>'MAR-26'!D35</f>
        <v>0</v>
      </c>
      <c r="F182" s="84">
        <f>'MAR-26'!E35</f>
        <v>0</v>
      </c>
      <c r="G182" s="85">
        <f>'MAR-26'!F35</f>
        <v>0</v>
      </c>
      <c r="H182" s="85">
        <f t="shared" si="0"/>
        <v>0</v>
      </c>
      <c r="I182" s="83" t="s">
        <v>97</v>
      </c>
      <c r="J182" s="83" t="str">
        <f t="shared" si="1"/>
        <v/>
      </c>
      <c r="K182" s="85">
        <f t="shared" si="2"/>
        <v>0</v>
      </c>
      <c r="L182" s="83" t="str">
        <f t="shared" si="3"/>
        <v/>
      </c>
      <c r="M182" s="83">
        <f>'MAR-26'!H35</f>
        <v>0</v>
      </c>
      <c r="N182" s="92" t="str">
        <f ca="1">IF(BD!$C182="","",IF(AND(TODAY()&gt;BD!$C182,OR(BD!$D182="PENDENTE",BD!$D182="")),"VENCIDO",""))</f>
        <v/>
      </c>
      <c r="O182" s="82" t="str">
        <f ca="1">IF(N182 = "VENCIDO",BD!$B182,"")</f>
        <v/>
      </c>
      <c r="P182" s="82" t="str">
        <f ca="1">IF(N182 = "VENCIDO",BD!$C182,"")</f>
        <v/>
      </c>
      <c r="Q182" s="83" t="str">
        <f ca="1">IF(N182 = "VENCIDO",BD!$E182,"")</f>
        <v/>
      </c>
      <c r="R182" s="83" t="str">
        <f ca="1">IF(N182 = "VENCIDO",BD!$F182,"")</f>
        <v/>
      </c>
      <c r="S182" s="85" t="str">
        <f ca="1">IF(N182 = "VENCIDO",BD!$G182,"")</f>
        <v/>
      </c>
      <c r="T182" s="83" t="str">
        <f ca="1">IF(AND(TODAY()&gt;BD!$C182, OR(BD!$D182="PENDENTE", BD!$D182="")), TODAY()-BD!$C182, "")</f>
        <v/>
      </c>
    </row>
    <row r="183" spans="1:20" ht="14.25" customHeight="1" x14ac:dyDescent="0.35">
      <c r="A183" s="32"/>
      <c r="B183" s="82">
        <f>'MAR-26'!A36</f>
        <v>0</v>
      </c>
      <c r="C183" s="82">
        <f>'MAR-26'!B36</f>
        <v>0</v>
      </c>
      <c r="D183" s="82">
        <f>'MAR-26'!C36</f>
        <v>0</v>
      </c>
      <c r="E183" s="83">
        <f>'MAR-26'!D36</f>
        <v>0</v>
      </c>
      <c r="F183" s="84">
        <f>'MAR-26'!E36</f>
        <v>0</v>
      </c>
      <c r="G183" s="85">
        <f>'MAR-26'!F36</f>
        <v>0</v>
      </c>
      <c r="H183" s="85">
        <f t="shared" si="0"/>
        <v>0</v>
      </c>
      <c r="I183" s="83" t="s">
        <v>97</v>
      </c>
      <c r="J183" s="83" t="str">
        <f t="shared" si="1"/>
        <v/>
      </c>
      <c r="K183" s="85">
        <f t="shared" si="2"/>
        <v>0</v>
      </c>
      <c r="L183" s="83" t="str">
        <f t="shared" si="3"/>
        <v/>
      </c>
      <c r="M183" s="83">
        <f>'MAR-26'!H36</f>
        <v>0</v>
      </c>
      <c r="N183" s="92" t="str">
        <f ca="1">IF(BD!$C183="","",IF(AND(TODAY()&gt;BD!$C183,OR(BD!$D183="PENDENTE",BD!$D183="")),"VENCIDO",""))</f>
        <v/>
      </c>
      <c r="O183" s="82" t="str">
        <f ca="1">IF(N183 = "VENCIDO",BD!$B183,"")</f>
        <v/>
      </c>
      <c r="P183" s="82" t="str">
        <f ca="1">IF(N183 = "VENCIDO",BD!$C183,"")</f>
        <v/>
      </c>
      <c r="Q183" s="83" t="str">
        <f ca="1">IF(N183 = "VENCIDO",BD!$E183,"")</f>
        <v/>
      </c>
      <c r="R183" s="83" t="str">
        <f ca="1">IF(N183 = "VENCIDO",BD!$F183,"")</f>
        <v/>
      </c>
      <c r="S183" s="85" t="str">
        <f ca="1">IF(N183 = "VENCIDO",BD!$G183,"")</f>
        <v/>
      </c>
      <c r="T183" s="83" t="str">
        <f ca="1">IF(AND(TODAY()&gt;BD!$C183, OR(BD!$D183="PENDENTE", BD!$D183="")), TODAY()-BD!$C183, "")</f>
        <v/>
      </c>
    </row>
    <row r="184" spans="1:20" ht="14.25" customHeight="1" x14ac:dyDescent="0.35">
      <c r="A184" s="32"/>
      <c r="B184" s="82">
        <f>'MAR-26'!A37</f>
        <v>0</v>
      </c>
      <c r="C184" s="82">
        <f>'MAR-26'!B37</f>
        <v>0</v>
      </c>
      <c r="D184" s="82">
        <f>'MAR-26'!C37</f>
        <v>0</v>
      </c>
      <c r="E184" s="83">
        <f>'MAR-26'!D37</f>
        <v>0</v>
      </c>
      <c r="F184" s="84">
        <f>'MAR-26'!E37</f>
        <v>0</v>
      </c>
      <c r="G184" s="85">
        <f>'MAR-26'!F37</f>
        <v>0</v>
      </c>
      <c r="H184" s="85">
        <f t="shared" si="0"/>
        <v>0</v>
      </c>
      <c r="I184" s="83" t="s">
        <v>97</v>
      </c>
      <c r="J184" s="83" t="str">
        <f t="shared" si="1"/>
        <v/>
      </c>
      <c r="K184" s="85">
        <f t="shared" si="2"/>
        <v>0</v>
      </c>
      <c r="L184" s="83" t="str">
        <f t="shared" si="3"/>
        <v/>
      </c>
      <c r="M184" s="83">
        <f>'MAR-26'!H37</f>
        <v>0</v>
      </c>
      <c r="N184" s="92" t="str">
        <f ca="1">IF(BD!$C184="","",IF(AND(TODAY()&gt;BD!$C184,OR(BD!$D184="PENDENTE",BD!$D184="")),"VENCIDO",""))</f>
        <v/>
      </c>
      <c r="O184" s="82" t="str">
        <f ca="1">IF(N184 = "VENCIDO",BD!$B184,"")</f>
        <v/>
      </c>
      <c r="P184" s="82" t="str">
        <f ca="1">IF(N184 = "VENCIDO",BD!$C184,"")</f>
        <v/>
      </c>
      <c r="Q184" s="83" t="str">
        <f ca="1">IF(N184 = "VENCIDO",BD!$E184,"")</f>
        <v/>
      </c>
      <c r="R184" s="83" t="str">
        <f ca="1">IF(N184 = "VENCIDO",BD!$F184,"")</f>
        <v/>
      </c>
      <c r="S184" s="85" t="str">
        <f ca="1">IF(N184 = "VENCIDO",BD!$G184,"")</f>
        <v/>
      </c>
      <c r="T184" s="83" t="str">
        <f ca="1">IF(AND(TODAY()&gt;BD!$C184, OR(BD!$D184="PENDENTE", BD!$D184="")), TODAY()-BD!$C184, "")</f>
        <v/>
      </c>
    </row>
    <row r="185" spans="1:20" ht="14.25" customHeight="1" x14ac:dyDescent="0.35">
      <c r="A185" s="32"/>
      <c r="B185" s="82">
        <f>'MAR-26'!A38</f>
        <v>0</v>
      </c>
      <c r="C185" s="82">
        <f>'MAR-26'!B38</f>
        <v>0</v>
      </c>
      <c r="D185" s="82">
        <f>'MAR-26'!C38</f>
        <v>0</v>
      </c>
      <c r="E185" s="83">
        <f>'MAR-26'!D38</f>
        <v>0</v>
      </c>
      <c r="F185" s="84">
        <f>'MAR-26'!E38</f>
        <v>0</v>
      </c>
      <c r="G185" s="85">
        <f>'MAR-26'!F38</f>
        <v>0</v>
      </c>
      <c r="H185" s="85">
        <f t="shared" si="0"/>
        <v>0</v>
      </c>
      <c r="I185" s="83" t="s">
        <v>97</v>
      </c>
      <c r="J185" s="83" t="str">
        <f t="shared" si="1"/>
        <v/>
      </c>
      <c r="K185" s="85">
        <f t="shared" si="2"/>
        <v>0</v>
      </c>
      <c r="L185" s="83" t="str">
        <f t="shared" si="3"/>
        <v/>
      </c>
      <c r="M185" s="83">
        <f>'MAR-26'!H38</f>
        <v>0</v>
      </c>
      <c r="N185" s="92" t="str">
        <f ca="1">IF(BD!$C185="","",IF(AND(TODAY()&gt;BD!$C185,OR(BD!$D185="PENDENTE",BD!$D185="")),"VENCIDO",""))</f>
        <v/>
      </c>
      <c r="O185" s="82" t="str">
        <f ca="1">IF(N185 = "VENCIDO",BD!$B185,"")</f>
        <v/>
      </c>
      <c r="P185" s="82" t="str">
        <f ca="1">IF(N185 = "VENCIDO",BD!$C185,"")</f>
        <v/>
      </c>
      <c r="Q185" s="83" t="str">
        <f ca="1">IF(N185 = "VENCIDO",BD!$E185,"")</f>
        <v/>
      </c>
      <c r="R185" s="83" t="str">
        <f ca="1">IF(N185 = "VENCIDO",BD!$F185,"")</f>
        <v/>
      </c>
      <c r="S185" s="85" t="str">
        <f ca="1">IF(N185 = "VENCIDO",BD!$G185,"")</f>
        <v/>
      </c>
      <c r="T185" s="83" t="str">
        <f ca="1">IF(AND(TODAY()&gt;BD!$C185, OR(BD!$D185="PENDENTE", BD!$D185="")), TODAY()-BD!$C185, "")</f>
        <v/>
      </c>
    </row>
    <row r="186" spans="1:20" ht="14.25" customHeight="1" x14ac:dyDescent="0.35">
      <c r="A186" s="32"/>
      <c r="B186" s="82">
        <f>'MAR-26'!A39</f>
        <v>0</v>
      </c>
      <c r="C186" s="82">
        <f>'MAR-26'!B39</f>
        <v>0</v>
      </c>
      <c r="D186" s="82">
        <f>'MAR-26'!C39</f>
        <v>0</v>
      </c>
      <c r="E186" s="83">
        <f>'MAR-26'!D39</f>
        <v>0</v>
      </c>
      <c r="F186" s="84">
        <f>'MAR-26'!E39</f>
        <v>0</v>
      </c>
      <c r="G186" s="85">
        <f>'MAR-26'!F39</f>
        <v>0</v>
      </c>
      <c r="H186" s="85">
        <f t="shared" si="0"/>
        <v>0</v>
      </c>
      <c r="I186" s="83" t="s">
        <v>97</v>
      </c>
      <c r="J186" s="83" t="str">
        <f t="shared" si="1"/>
        <v/>
      </c>
      <c r="K186" s="85">
        <f t="shared" si="2"/>
        <v>0</v>
      </c>
      <c r="L186" s="83" t="str">
        <f t="shared" si="3"/>
        <v/>
      </c>
      <c r="M186" s="83">
        <f>'MAR-26'!H39</f>
        <v>0</v>
      </c>
      <c r="N186" s="92" t="str">
        <f ca="1">IF(BD!$C186="","",IF(AND(TODAY()&gt;BD!$C186,OR(BD!$D186="PENDENTE",BD!$D186="")),"VENCIDO",""))</f>
        <v/>
      </c>
      <c r="O186" s="82" t="str">
        <f ca="1">IF(N186 = "VENCIDO",BD!$B186,"")</f>
        <v/>
      </c>
      <c r="P186" s="82" t="str">
        <f ca="1">IF(N186 = "VENCIDO",BD!$C186,"")</f>
        <v/>
      </c>
      <c r="Q186" s="83" t="str">
        <f ca="1">IF(N186 = "VENCIDO",BD!$E186,"")</f>
        <v/>
      </c>
      <c r="R186" s="83" t="str">
        <f ca="1">IF(N186 = "VENCIDO",BD!$F186,"")</f>
        <v/>
      </c>
      <c r="S186" s="85" t="str">
        <f ca="1">IF(N186 = "VENCIDO",BD!$G186,"")</f>
        <v/>
      </c>
      <c r="T186" s="83" t="str">
        <f ca="1">IF(AND(TODAY()&gt;BD!$C186, OR(BD!$D186="PENDENTE", BD!$D186="")), TODAY()-BD!$C186, "")</f>
        <v/>
      </c>
    </row>
    <row r="187" spans="1:20" ht="14.25" customHeight="1" x14ac:dyDescent="0.35">
      <c r="A187" s="32"/>
      <c r="B187" s="82">
        <f>'MAR-26'!A40</f>
        <v>0</v>
      </c>
      <c r="C187" s="82">
        <f>'MAR-26'!B40</f>
        <v>0</v>
      </c>
      <c r="D187" s="82">
        <f>'MAR-26'!C40</f>
        <v>0</v>
      </c>
      <c r="E187" s="83">
        <f>'MAR-26'!D40</f>
        <v>0</v>
      </c>
      <c r="F187" s="84">
        <f>'MAR-26'!E40</f>
        <v>0</v>
      </c>
      <c r="G187" s="85">
        <f>'MAR-26'!F40</f>
        <v>0</v>
      </c>
      <c r="H187" s="85">
        <f t="shared" si="0"/>
        <v>0</v>
      </c>
      <c r="I187" s="83" t="s">
        <v>97</v>
      </c>
      <c r="J187" s="83" t="str">
        <f t="shared" si="1"/>
        <v/>
      </c>
      <c r="K187" s="85">
        <f t="shared" si="2"/>
        <v>0</v>
      </c>
      <c r="L187" s="83" t="str">
        <f t="shared" si="3"/>
        <v/>
      </c>
      <c r="M187" s="83">
        <f>'MAR-26'!H40</f>
        <v>0</v>
      </c>
      <c r="N187" s="92" t="str">
        <f ca="1">IF(BD!$C187="","",IF(AND(TODAY()&gt;BD!$C187,OR(BD!$D187="PENDENTE",BD!$D187="")),"VENCIDO",""))</f>
        <v/>
      </c>
      <c r="O187" s="82" t="str">
        <f ca="1">IF(N187 = "VENCIDO",BD!$B187,"")</f>
        <v/>
      </c>
      <c r="P187" s="82" t="str">
        <f ca="1">IF(N187 = "VENCIDO",BD!$C187,"")</f>
        <v/>
      </c>
      <c r="Q187" s="83" t="str">
        <f ca="1">IF(N187 = "VENCIDO",BD!$E187,"")</f>
        <v/>
      </c>
      <c r="R187" s="83" t="str">
        <f ca="1">IF(N187 = "VENCIDO",BD!$F187,"")</f>
        <v/>
      </c>
      <c r="S187" s="85" t="str">
        <f ca="1">IF(N187 = "VENCIDO",BD!$G187,"")</f>
        <v/>
      </c>
      <c r="T187" s="83" t="str">
        <f ca="1">IF(AND(TODAY()&gt;BD!$C187, OR(BD!$D187="PENDENTE", BD!$D187="")), TODAY()-BD!$C187, "")</f>
        <v/>
      </c>
    </row>
    <row r="188" spans="1:20" ht="14.25" customHeight="1" x14ac:dyDescent="0.35">
      <c r="A188" s="32"/>
      <c r="B188" s="82">
        <f>'MAR-26'!A41</f>
        <v>0</v>
      </c>
      <c r="C188" s="82">
        <f>'MAR-26'!B41</f>
        <v>0</v>
      </c>
      <c r="D188" s="82">
        <f>'MAR-26'!C41</f>
        <v>0</v>
      </c>
      <c r="E188" s="83">
        <f>'MAR-26'!D41</f>
        <v>0</v>
      </c>
      <c r="F188" s="84">
        <f>'MAR-26'!E41</f>
        <v>0</v>
      </c>
      <c r="G188" s="85">
        <f>'MAR-26'!F41</f>
        <v>0</v>
      </c>
      <c r="H188" s="85">
        <f t="shared" si="0"/>
        <v>0</v>
      </c>
      <c r="I188" s="83" t="s">
        <v>97</v>
      </c>
      <c r="J188" s="83" t="str">
        <f t="shared" si="1"/>
        <v/>
      </c>
      <c r="K188" s="85">
        <f t="shared" si="2"/>
        <v>0</v>
      </c>
      <c r="L188" s="83" t="str">
        <f t="shared" si="3"/>
        <v/>
      </c>
      <c r="M188" s="83">
        <f>'MAR-26'!H41</f>
        <v>0</v>
      </c>
      <c r="N188" s="92" t="str">
        <f ca="1">IF(BD!$C188="","",IF(AND(TODAY()&gt;BD!$C188,OR(BD!$D188="PENDENTE",BD!$D188="")),"VENCIDO",""))</f>
        <v/>
      </c>
      <c r="O188" s="82" t="str">
        <f ca="1">IF(N188 = "VENCIDO",BD!$B188,"")</f>
        <v/>
      </c>
      <c r="P188" s="82" t="str">
        <f ca="1">IF(N188 = "VENCIDO",BD!$C188,"")</f>
        <v/>
      </c>
      <c r="Q188" s="83" t="str">
        <f ca="1">IF(N188 = "VENCIDO",BD!$E188,"")</f>
        <v/>
      </c>
      <c r="R188" s="83" t="str">
        <f ca="1">IF(N188 = "VENCIDO",BD!$F188,"")</f>
        <v/>
      </c>
      <c r="S188" s="85" t="str">
        <f ca="1">IF(N188 = "VENCIDO",BD!$G188,"")</f>
        <v/>
      </c>
      <c r="T188" s="83" t="str">
        <f ca="1">IF(AND(TODAY()&gt;BD!$C188, OR(BD!$D188="PENDENTE", BD!$D188="")), TODAY()-BD!$C188, "")</f>
        <v/>
      </c>
    </row>
    <row r="189" spans="1:20" ht="14.25" customHeight="1" x14ac:dyDescent="0.35">
      <c r="A189" s="32"/>
      <c r="B189" s="82">
        <f>'MAR-26'!A42</f>
        <v>0</v>
      </c>
      <c r="C189" s="82">
        <f>'MAR-26'!B42</f>
        <v>0</v>
      </c>
      <c r="D189" s="82">
        <f>'MAR-26'!C42</f>
        <v>0</v>
      </c>
      <c r="E189" s="83">
        <f>'MAR-26'!D42</f>
        <v>0</v>
      </c>
      <c r="F189" s="84">
        <f>'MAR-26'!E42</f>
        <v>0</v>
      </c>
      <c r="G189" s="85">
        <f>'MAR-26'!F42</f>
        <v>0</v>
      </c>
      <c r="H189" s="85">
        <f t="shared" si="0"/>
        <v>0</v>
      </c>
      <c r="I189" s="83" t="s">
        <v>97</v>
      </c>
      <c r="J189" s="83" t="str">
        <f t="shared" si="1"/>
        <v/>
      </c>
      <c r="K189" s="85">
        <f t="shared" si="2"/>
        <v>0</v>
      </c>
      <c r="L189" s="83" t="str">
        <f t="shared" si="3"/>
        <v/>
      </c>
      <c r="M189" s="83">
        <f>'MAR-26'!H42</f>
        <v>0</v>
      </c>
      <c r="N189" s="92" t="str">
        <f ca="1">IF(BD!$C189="","",IF(AND(TODAY()&gt;BD!$C189,OR(BD!$D189="PENDENTE",BD!$D189="")),"VENCIDO",""))</f>
        <v/>
      </c>
      <c r="O189" s="82" t="str">
        <f ca="1">IF(N189 = "VENCIDO",BD!$B189,"")</f>
        <v/>
      </c>
      <c r="P189" s="82" t="str">
        <f ca="1">IF(N189 = "VENCIDO",BD!$C189,"")</f>
        <v/>
      </c>
      <c r="Q189" s="83" t="str">
        <f ca="1">IF(N189 = "VENCIDO",BD!$E189,"")</f>
        <v/>
      </c>
      <c r="R189" s="83" t="str">
        <f ca="1">IF(N189 = "VENCIDO",BD!$F189,"")</f>
        <v/>
      </c>
      <c r="S189" s="85" t="str">
        <f ca="1">IF(N189 = "VENCIDO",BD!$G189,"")</f>
        <v/>
      </c>
      <c r="T189" s="83" t="str">
        <f ca="1">IF(AND(TODAY()&gt;BD!$C189, OR(BD!$D189="PENDENTE", BD!$D189="")), TODAY()-BD!$C189, "")</f>
        <v/>
      </c>
    </row>
    <row r="190" spans="1:20" ht="14.25" customHeight="1" x14ac:dyDescent="0.35">
      <c r="A190" s="32"/>
      <c r="B190" s="82">
        <f>'MAR-26'!A43</f>
        <v>0</v>
      </c>
      <c r="C190" s="82">
        <f>'MAR-26'!B43</f>
        <v>0</v>
      </c>
      <c r="D190" s="82">
        <f>'MAR-26'!C43</f>
        <v>0</v>
      </c>
      <c r="E190" s="83">
        <f>'MAR-26'!D43</f>
        <v>0</v>
      </c>
      <c r="F190" s="84">
        <f>'MAR-26'!E43</f>
        <v>0</v>
      </c>
      <c r="G190" s="85">
        <f>'MAR-26'!F43</f>
        <v>0</v>
      </c>
      <c r="H190" s="85">
        <f t="shared" si="0"/>
        <v>0</v>
      </c>
      <c r="I190" s="83" t="s">
        <v>97</v>
      </c>
      <c r="J190" s="83" t="str">
        <f t="shared" si="1"/>
        <v/>
      </c>
      <c r="K190" s="85">
        <f t="shared" si="2"/>
        <v>0</v>
      </c>
      <c r="L190" s="83" t="str">
        <f t="shared" si="3"/>
        <v/>
      </c>
      <c r="M190" s="83">
        <f>'MAR-26'!H43</f>
        <v>0</v>
      </c>
      <c r="N190" s="92" t="str">
        <f ca="1">IF(BD!$C190="","",IF(AND(TODAY()&gt;BD!$C190,OR(BD!$D190="PENDENTE",BD!$D190="")),"VENCIDO",""))</f>
        <v/>
      </c>
      <c r="O190" s="82" t="str">
        <f ca="1">IF(N190 = "VENCIDO",BD!$B190,"")</f>
        <v/>
      </c>
      <c r="P190" s="82" t="str">
        <f ca="1">IF(N190 = "VENCIDO",BD!$C190,"")</f>
        <v/>
      </c>
      <c r="Q190" s="83" t="str">
        <f ca="1">IF(N190 = "VENCIDO",BD!$E190,"")</f>
        <v/>
      </c>
      <c r="R190" s="83" t="str">
        <f ca="1">IF(N190 = "VENCIDO",BD!$F190,"")</f>
        <v/>
      </c>
      <c r="S190" s="85" t="str">
        <f ca="1">IF(N190 = "VENCIDO",BD!$G190,"")</f>
        <v/>
      </c>
      <c r="T190" s="83" t="str">
        <f ca="1">IF(AND(TODAY()&gt;BD!$C190, OR(BD!$D190="PENDENTE", BD!$D190="")), TODAY()-BD!$C190, "")</f>
        <v/>
      </c>
    </row>
    <row r="191" spans="1:20" ht="14.25" customHeight="1" x14ac:dyDescent="0.35">
      <c r="A191" s="32"/>
      <c r="B191" s="82">
        <f>'MAR-26'!A44</f>
        <v>0</v>
      </c>
      <c r="C191" s="82">
        <f>'MAR-26'!B44</f>
        <v>0</v>
      </c>
      <c r="D191" s="82">
        <f>'MAR-26'!C44</f>
        <v>0</v>
      </c>
      <c r="E191" s="83">
        <f>'MAR-26'!D44</f>
        <v>0</v>
      </c>
      <c r="F191" s="84">
        <f>'MAR-26'!E44</f>
        <v>0</v>
      </c>
      <c r="G191" s="85">
        <f>'MAR-26'!F44</f>
        <v>0</v>
      </c>
      <c r="H191" s="85">
        <f t="shared" si="0"/>
        <v>0</v>
      </c>
      <c r="I191" s="83" t="s">
        <v>97</v>
      </c>
      <c r="J191" s="83" t="str">
        <f t="shared" si="1"/>
        <v/>
      </c>
      <c r="K191" s="85">
        <f t="shared" si="2"/>
        <v>0</v>
      </c>
      <c r="L191" s="83" t="str">
        <f t="shared" si="3"/>
        <v/>
      </c>
      <c r="M191" s="83">
        <f>'MAR-26'!H44</f>
        <v>0</v>
      </c>
      <c r="N191" s="92" t="str">
        <f ca="1">IF(BD!$C191="","",IF(AND(TODAY()&gt;BD!$C191,OR(BD!$D191="PENDENTE",BD!$D191="")),"VENCIDO",""))</f>
        <v/>
      </c>
      <c r="O191" s="82" t="str">
        <f ca="1">IF(N191 = "VENCIDO",BD!$B191,"")</f>
        <v/>
      </c>
      <c r="P191" s="82" t="str">
        <f ca="1">IF(N191 = "VENCIDO",BD!$C191,"")</f>
        <v/>
      </c>
      <c r="Q191" s="83" t="str">
        <f ca="1">IF(N191 = "VENCIDO",BD!$E191,"")</f>
        <v/>
      </c>
      <c r="R191" s="83" t="str">
        <f ca="1">IF(N191 = "VENCIDO",BD!$F191,"")</f>
        <v/>
      </c>
      <c r="S191" s="85" t="str">
        <f ca="1">IF(N191 = "VENCIDO",BD!$G191,"")</f>
        <v/>
      </c>
      <c r="T191" s="83" t="str">
        <f ca="1">IF(AND(TODAY()&gt;BD!$C191, OR(BD!$D191="PENDENTE", BD!$D191="")), TODAY()-BD!$C191, "")</f>
        <v/>
      </c>
    </row>
    <row r="192" spans="1:20" ht="14.25" customHeight="1" x14ac:dyDescent="0.35">
      <c r="A192" s="32"/>
      <c r="B192" s="82">
        <f>'MAR-26'!A45</f>
        <v>0</v>
      </c>
      <c r="C192" s="82">
        <f>'MAR-26'!B45</f>
        <v>0</v>
      </c>
      <c r="D192" s="82">
        <f>'MAR-26'!C45</f>
        <v>0</v>
      </c>
      <c r="E192" s="83">
        <f>'MAR-26'!D45</f>
        <v>0</v>
      </c>
      <c r="F192" s="84">
        <f>'MAR-26'!E45</f>
        <v>0</v>
      </c>
      <c r="G192" s="85">
        <f>'MAR-26'!F45</f>
        <v>0</v>
      </c>
      <c r="H192" s="85">
        <f t="shared" si="0"/>
        <v>0</v>
      </c>
      <c r="I192" s="83" t="s">
        <v>97</v>
      </c>
      <c r="J192" s="83" t="str">
        <f t="shared" si="1"/>
        <v/>
      </c>
      <c r="K192" s="85">
        <f t="shared" si="2"/>
        <v>0</v>
      </c>
      <c r="L192" s="83" t="str">
        <f t="shared" si="3"/>
        <v/>
      </c>
      <c r="M192" s="83">
        <f>'MAR-26'!H45</f>
        <v>0</v>
      </c>
      <c r="N192" s="92" t="str">
        <f ca="1">IF(BD!$C192="","",IF(AND(TODAY()&gt;BD!$C192,OR(BD!$D192="PENDENTE",BD!$D192="")),"VENCIDO",""))</f>
        <v/>
      </c>
      <c r="O192" s="82" t="str">
        <f ca="1">IF(N192 = "VENCIDO",BD!$B192,"")</f>
        <v/>
      </c>
      <c r="P192" s="82" t="str">
        <f ca="1">IF(N192 = "VENCIDO",BD!$C192,"")</f>
        <v/>
      </c>
      <c r="Q192" s="83" t="str">
        <f ca="1">IF(N192 = "VENCIDO",BD!$E192,"")</f>
        <v/>
      </c>
      <c r="R192" s="83" t="str">
        <f ca="1">IF(N192 = "VENCIDO",BD!$F192,"")</f>
        <v/>
      </c>
      <c r="S192" s="85" t="str">
        <f ca="1">IF(N192 = "VENCIDO",BD!$G192,"")</f>
        <v/>
      </c>
      <c r="T192" s="83" t="str">
        <f ca="1">IF(AND(TODAY()&gt;BD!$C192, OR(BD!$D192="PENDENTE", BD!$D192="")), TODAY()-BD!$C192, "")</f>
        <v/>
      </c>
    </row>
    <row r="193" spans="1:20" ht="14.25" customHeight="1" x14ac:dyDescent="0.35">
      <c r="A193" s="32"/>
      <c r="B193" s="82">
        <f>'MAR-26'!A46</f>
        <v>0</v>
      </c>
      <c r="C193" s="82">
        <f>'MAR-26'!B46</f>
        <v>0</v>
      </c>
      <c r="D193" s="82">
        <f>'MAR-26'!C46</f>
        <v>0</v>
      </c>
      <c r="E193" s="83">
        <f>'MAR-26'!D46</f>
        <v>0</v>
      </c>
      <c r="F193" s="84">
        <f>'MAR-26'!E46</f>
        <v>0</v>
      </c>
      <c r="G193" s="85">
        <f>'MAR-26'!F46</f>
        <v>0</v>
      </c>
      <c r="H193" s="85">
        <f t="shared" si="0"/>
        <v>0</v>
      </c>
      <c r="I193" s="83" t="s">
        <v>97</v>
      </c>
      <c r="J193" s="83" t="str">
        <f t="shared" si="1"/>
        <v/>
      </c>
      <c r="K193" s="85">
        <f t="shared" si="2"/>
        <v>0</v>
      </c>
      <c r="L193" s="83" t="str">
        <f t="shared" si="3"/>
        <v/>
      </c>
      <c r="M193" s="83">
        <f>'MAR-26'!H46</f>
        <v>0</v>
      </c>
      <c r="N193" s="92" t="str">
        <f ca="1">IF(BD!$C193="","",IF(AND(TODAY()&gt;BD!$C193,OR(BD!$D193="PENDENTE",BD!$D193="")),"VENCIDO",""))</f>
        <v/>
      </c>
      <c r="O193" s="82" t="str">
        <f ca="1">IF(N193 = "VENCIDO",BD!$B193,"")</f>
        <v/>
      </c>
      <c r="P193" s="82" t="str">
        <f ca="1">IF(N193 = "VENCIDO",BD!$C193,"")</f>
        <v/>
      </c>
      <c r="Q193" s="83" t="str">
        <f ca="1">IF(N193 = "VENCIDO",BD!$E193,"")</f>
        <v/>
      </c>
      <c r="R193" s="83" t="str">
        <f ca="1">IF(N193 = "VENCIDO",BD!$F193,"")</f>
        <v/>
      </c>
      <c r="S193" s="85" t="str">
        <f ca="1">IF(N193 = "VENCIDO",BD!$G193,"")</f>
        <v/>
      </c>
      <c r="T193" s="83" t="str">
        <f ca="1">IF(AND(TODAY()&gt;BD!$C193, OR(BD!$D193="PENDENTE", BD!$D193="")), TODAY()-BD!$C193, "")</f>
        <v/>
      </c>
    </row>
    <row r="194" spans="1:20" ht="14.25" customHeight="1" x14ac:dyDescent="0.35">
      <c r="A194" s="32"/>
      <c r="B194" s="82">
        <f>'MAR-26'!A47</f>
        <v>0</v>
      </c>
      <c r="C194" s="82">
        <f>'MAR-26'!B47</f>
        <v>0</v>
      </c>
      <c r="D194" s="82">
        <f>'MAR-26'!C47</f>
        <v>0</v>
      </c>
      <c r="E194" s="83">
        <f>'MAR-26'!D47</f>
        <v>0</v>
      </c>
      <c r="F194" s="84">
        <f>'MAR-26'!E47</f>
        <v>0</v>
      </c>
      <c r="G194" s="85">
        <f>'MAR-26'!F47</f>
        <v>0</v>
      </c>
      <c r="H194" s="85">
        <f t="shared" si="0"/>
        <v>0</v>
      </c>
      <c r="I194" s="83" t="s">
        <v>97</v>
      </c>
      <c r="J194" s="83" t="str">
        <f t="shared" si="1"/>
        <v/>
      </c>
      <c r="K194" s="85">
        <f t="shared" si="2"/>
        <v>0</v>
      </c>
      <c r="L194" s="83" t="str">
        <f t="shared" si="3"/>
        <v/>
      </c>
      <c r="M194" s="83">
        <f>'MAR-26'!H47</f>
        <v>0</v>
      </c>
      <c r="N194" s="92" t="str">
        <f ca="1">IF(BD!$C194="","",IF(AND(TODAY()&gt;BD!$C194,OR(BD!$D194="PENDENTE",BD!$D194="")),"VENCIDO",""))</f>
        <v/>
      </c>
      <c r="O194" s="82" t="str">
        <f ca="1">IF(N194 = "VENCIDO",BD!$B194,"")</f>
        <v/>
      </c>
      <c r="P194" s="82" t="str">
        <f ca="1">IF(N194 = "VENCIDO",BD!$C194,"")</f>
        <v/>
      </c>
      <c r="Q194" s="83" t="str">
        <f ca="1">IF(N194 = "VENCIDO",BD!$E194,"")</f>
        <v/>
      </c>
      <c r="R194" s="83" t="str">
        <f ca="1">IF(N194 = "VENCIDO",BD!$F194,"")</f>
        <v/>
      </c>
      <c r="S194" s="85" t="str">
        <f ca="1">IF(N194 = "VENCIDO",BD!$G194,"")</f>
        <v/>
      </c>
      <c r="T194" s="83" t="str">
        <f ca="1">IF(AND(TODAY()&gt;BD!$C194, OR(BD!$D194="PENDENTE", BD!$D194="")), TODAY()-BD!$C194, "")</f>
        <v/>
      </c>
    </row>
    <row r="195" spans="1:20" ht="14.25" customHeight="1" x14ac:dyDescent="0.35">
      <c r="A195" s="32"/>
      <c r="B195" s="82">
        <f>'MAR-26'!A48</f>
        <v>0</v>
      </c>
      <c r="C195" s="82">
        <f>'MAR-26'!B48</f>
        <v>0</v>
      </c>
      <c r="D195" s="82">
        <f>'MAR-26'!C48</f>
        <v>0</v>
      </c>
      <c r="E195" s="83">
        <f>'MAR-26'!D48</f>
        <v>0</v>
      </c>
      <c r="F195" s="84">
        <f>'MAR-26'!E48</f>
        <v>0</v>
      </c>
      <c r="G195" s="85">
        <f>'MAR-26'!F48</f>
        <v>0</v>
      </c>
      <c r="H195" s="85">
        <f t="shared" si="0"/>
        <v>0</v>
      </c>
      <c r="I195" s="83" t="s">
        <v>97</v>
      </c>
      <c r="J195" s="83" t="str">
        <f t="shared" si="1"/>
        <v/>
      </c>
      <c r="K195" s="85">
        <f t="shared" si="2"/>
        <v>0</v>
      </c>
      <c r="L195" s="83" t="str">
        <f t="shared" si="3"/>
        <v/>
      </c>
      <c r="M195" s="83">
        <f>'MAR-26'!H48</f>
        <v>0</v>
      </c>
      <c r="N195" s="92" t="str">
        <f ca="1">IF(BD!$C195="","",IF(AND(TODAY()&gt;BD!$C195,OR(BD!$D195="PENDENTE",BD!$D195="")),"VENCIDO",""))</f>
        <v/>
      </c>
      <c r="O195" s="82" t="str">
        <f ca="1">IF(N195 = "VENCIDO",BD!$B195,"")</f>
        <v/>
      </c>
      <c r="P195" s="82" t="str">
        <f ca="1">IF(N195 = "VENCIDO",BD!$C195,"")</f>
        <v/>
      </c>
      <c r="Q195" s="83" t="str">
        <f ca="1">IF(N195 = "VENCIDO",BD!$E195,"")</f>
        <v/>
      </c>
      <c r="R195" s="83" t="str">
        <f ca="1">IF(N195 = "VENCIDO",BD!$F195,"")</f>
        <v/>
      </c>
      <c r="S195" s="85" t="str">
        <f ca="1">IF(N195 = "VENCIDO",BD!$G195,"")</f>
        <v/>
      </c>
      <c r="T195" s="83" t="str">
        <f ca="1">IF(AND(TODAY()&gt;BD!$C195, OR(BD!$D195="PENDENTE", BD!$D195="")), TODAY()-BD!$C195, "")</f>
        <v/>
      </c>
    </row>
    <row r="196" spans="1:20" ht="14.25" customHeight="1" x14ac:dyDescent="0.35">
      <c r="A196" s="32"/>
      <c r="B196" s="82">
        <f>'MAR-26'!A49</f>
        <v>0</v>
      </c>
      <c r="C196" s="82">
        <f>'MAR-26'!B49</f>
        <v>0</v>
      </c>
      <c r="D196" s="82">
        <f>'MAR-26'!C49</f>
        <v>0</v>
      </c>
      <c r="E196" s="83">
        <f>'MAR-26'!D49</f>
        <v>0</v>
      </c>
      <c r="F196" s="84">
        <f>'MAR-26'!E49</f>
        <v>0</v>
      </c>
      <c r="G196" s="85">
        <f>'MAR-26'!F49</f>
        <v>0</v>
      </c>
      <c r="H196" s="85">
        <f t="shared" si="0"/>
        <v>0</v>
      </c>
      <c r="I196" s="83" t="s">
        <v>97</v>
      </c>
      <c r="J196" s="83" t="str">
        <f t="shared" si="1"/>
        <v/>
      </c>
      <c r="K196" s="85">
        <f t="shared" si="2"/>
        <v>0</v>
      </c>
      <c r="L196" s="83" t="str">
        <f t="shared" si="3"/>
        <v/>
      </c>
      <c r="M196" s="83">
        <f>'MAR-26'!H49</f>
        <v>0</v>
      </c>
      <c r="N196" s="92" t="str">
        <f ca="1">IF(BD!$C196="","",IF(AND(TODAY()&gt;BD!$C196,OR(BD!$D196="PENDENTE",BD!$D196="")),"VENCIDO",""))</f>
        <v/>
      </c>
      <c r="O196" s="82" t="str">
        <f ca="1">IF(N196 = "VENCIDO",BD!$B196,"")</f>
        <v/>
      </c>
      <c r="P196" s="82" t="str">
        <f ca="1">IF(N196 = "VENCIDO",BD!$C196,"")</f>
        <v/>
      </c>
      <c r="Q196" s="83" t="str">
        <f ca="1">IF(N196 = "VENCIDO",BD!$E196,"")</f>
        <v/>
      </c>
      <c r="R196" s="83" t="str">
        <f ca="1">IF(N196 = "VENCIDO",BD!$F196,"")</f>
        <v/>
      </c>
      <c r="S196" s="85" t="str">
        <f ca="1">IF(N196 = "VENCIDO",BD!$G196,"")</f>
        <v/>
      </c>
      <c r="T196" s="83" t="str">
        <f ca="1">IF(AND(TODAY()&gt;BD!$C196, OR(BD!$D196="PENDENTE", BD!$D196="")), TODAY()-BD!$C196, "")</f>
        <v/>
      </c>
    </row>
    <row r="197" spans="1:20" ht="14.25" customHeight="1" x14ac:dyDescent="0.35">
      <c r="A197" s="32"/>
      <c r="B197" s="82">
        <f>'MAR-26'!A50</f>
        <v>0</v>
      </c>
      <c r="C197" s="82">
        <f>'MAR-26'!B50</f>
        <v>0</v>
      </c>
      <c r="D197" s="82">
        <f>'MAR-26'!C50</f>
        <v>0</v>
      </c>
      <c r="E197" s="83">
        <f>'MAR-26'!D50</f>
        <v>0</v>
      </c>
      <c r="F197" s="84">
        <f>'MAR-26'!E50</f>
        <v>0</v>
      </c>
      <c r="G197" s="85">
        <f>'MAR-26'!F50</f>
        <v>0</v>
      </c>
      <c r="H197" s="85">
        <f t="shared" si="0"/>
        <v>0</v>
      </c>
      <c r="I197" s="83" t="s">
        <v>97</v>
      </c>
      <c r="J197" s="83" t="str">
        <f t="shared" si="1"/>
        <v/>
      </c>
      <c r="K197" s="85">
        <f t="shared" si="2"/>
        <v>0</v>
      </c>
      <c r="L197" s="83" t="str">
        <f t="shared" si="3"/>
        <v/>
      </c>
      <c r="M197" s="83">
        <f>'MAR-26'!H50</f>
        <v>0</v>
      </c>
      <c r="N197" s="92" t="str">
        <f ca="1">IF(BD!$C197="","",IF(AND(TODAY()&gt;BD!$C197,OR(BD!$D197="PENDENTE",BD!$D197="")),"VENCIDO",""))</f>
        <v/>
      </c>
      <c r="O197" s="82" t="str">
        <f ca="1">IF(N197 = "VENCIDO",BD!$B197,"")</f>
        <v/>
      </c>
      <c r="P197" s="82" t="str">
        <f ca="1">IF(N197 = "VENCIDO",BD!$C197,"")</f>
        <v/>
      </c>
      <c r="Q197" s="83" t="str">
        <f ca="1">IF(N197 = "VENCIDO",BD!$E197,"")</f>
        <v/>
      </c>
      <c r="R197" s="83" t="str">
        <f ca="1">IF(N197 = "VENCIDO",BD!$F197,"")</f>
        <v/>
      </c>
      <c r="S197" s="85" t="str">
        <f ca="1">IF(N197 = "VENCIDO",BD!$G197,"")</f>
        <v/>
      </c>
      <c r="T197" s="83" t="str">
        <f ca="1">IF(AND(TODAY()&gt;BD!$C197, OR(BD!$D197="PENDENTE", BD!$D197="")), TODAY()-BD!$C197, "")</f>
        <v/>
      </c>
    </row>
    <row r="198" spans="1:20" ht="14.25" customHeight="1" x14ac:dyDescent="0.35">
      <c r="A198" s="32"/>
      <c r="B198" s="82">
        <f>'MAR-26'!A51</f>
        <v>0</v>
      </c>
      <c r="C198" s="82">
        <f>'MAR-26'!B51</f>
        <v>0</v>
      </c>
      <c r="D198" s="82">
        <f>'MAR-26'!C51</f>
        <v>0</v>
      </c>
      <c r="E198" s="83">
        <f>'MAR-26'!D51</f>
        <v>0</v>
      </c>
      <c r="F198" s="84">
        <f>'MAR-26'!E51</f>
        <v>0</v>
      </c>
      <c r="G198" s="85">
        <f>'MAR-26'!F51</f>
        <v>0</v>
      </c>
      <c r="H198" s="85">
        <f t="shared" si="0"/>
        <v>0</v>
      </c>
      <c r="I198" s="83" t="s">
        <v>97</v>
      </c>
      <c r="J198" s="83" t="str">
        <f t="shared" si="1"/>
        <v/>
      </c>
      <c r="K198" s="85">
        <f t="shared" si="2"/>
        <v>0</v>
      </c>
      <c r="L198" s="83" t="str">
        <f t="shared" si="3"/>
        <v/>
      </c>
      <c r="M198" s="83">
        <f>'MAR-26'!H51</f>
        <v>0</v>
      </c>
      <c r="N198" s="92" t="str">
        <f ca="1">IF(BD!$C198="","",IF(AND(TODAY()&gt;BD!$C198,OR(BD!$D198="PENDENTE",BD!$D198="")),"VENCIDO",""))</f>
        <v/>
      </c>
      <c r="O198" s="82" t="str">
        <f ca="1">IF(N198 = "VENCIDO",BD!$B198,"")</f>
        <v/>
      </c>
      <c r="P198" s="82" t="str">
        <f ca="1">IF(N198 = "VENCIDO",BD!$C198,"")</f>
        <v/>
      </c>
      <c r="Q198" s="83" t="str">
        <f ca="1">IF(N198 = "VENCIDO",BD!$E198,"")</f>
        <v/>
      </c>
      <c r="R198" s="83" t="str">
        <f ca="1">IF(N198 = "VENCIDO",BD!$F198,"")</f>
        <v/>
      </c>
      <c r="S198" s="85" t="str">
        <f ca="1">IF(N198 = "VENCIDO",BD!$G198,"")</f>
        <v/>
      </c>
      <c r="T198" s="83" t="str">
        <f ca="1">IF(AND(TODAY()&gt;BD!$C198, OR(BD!$D198="PENDENTE", BD!$D198="")), TODAY()-BD!$C198, "")</f>
        <v/>
      </c>
    </row>
    <row r="199" spans="1:20" ht="14.25" customHeight="1" x14ac:dyDescent="0.35">
      <c r="A199" s="32"/>
      <c r="B199" s="82">
        <f>'MAR-26'!A52</f>
        <v>0</v>
      </c>
      <c r="C199" s="82">
        <f>'MAR-26'!B52</f>
        <v>0</v>
      </c>
      <c r="D199" s="82">
        <f>'MAR-26'!C52</f>
        <v>0</v>
      </c>
      <c r="E199" s="83">
        <f>'MAR-26'!D52</f>
        <v>0</v>
      </c>
      <c r="F199" s="84">
        <f>'MAR-26'!E52</f>
        <v>0</v>
      </c>
      <c r="G199" s="85">
        <f>'MAR-26'!F52</f>
        <v>0</v>
      </c>
      <c r="H199" s="85">
        <f t="shared" si="0"/>
        <v>0</v>
      </c>
      <c r="I199" s="83" t="s">
        <v>97</v>
      </c>
      <c r="J199" s="83" t="str">
        <f t="shared" si="1"/>
        <v/>
      </c>
      <c r="K199" s="85">
        <f t="shared" si="2"/>
        <v>0</v>
      </c>
      <c r="L199" s="83" t="str">
        <f t="shared" si="3"/>
        <v/>
      </c>
      <c r="M199" s="83">
        <f>'MAR-26'!H52</f>
        <v>0</v>
      </c>
      <c r="N199" s="92" t="str">
        <f ca="1">IF(BD!$C199="","",IF(AND(TODAY()&gt;BD!$C199,OR(BD!$D199="PENDENTE",BD!$D199="")),"VENCIDO",""))</f>
        <v/>
      </c>
      <c r="O199" s="82" t="str">
        <f ca="1">IF(N199 = "VENCIDO",BD!$B199,"")</f>
        <v/>
      </c>
      <c r="P199" s="82" t="str">
        <f ca="1">IF(N199 = "VENCIDO",BD!$C199,"")</f>
        <v/>
      </c>
      <c r="Q199" s="83" t="str">
        <f ca="1">IF(N199 = "VENCIDO",BD!$E199,"")</f>
        <v/>
      </c>
      <c r="R199" s="83" t="str">
        <f ca="1">IF(N199 = "VENCIDO",BD!$F199,"")</f>
        <v/>
      </c>
      <c r="S199" s="85" t="str">
        <f ca="1">IF(N199 = "VENCIDO",BD!$G199,"")</f>
        <v/>
      </c>
      <c r="T199" s="83" t="str">
        <f ca="1">IF(AND(TODAY()&gt;BD!$C199, OR(BD!$D199="PENDENTE", BD!$D199="")), TODAY()-BD!$C199, "")</f>
        <v/>
      </c>
    </row>
    <row r="200" spans="1:20" ht="14.25" customHeight="1" x14ac:dyDescent="0.35">
      <c r="A200" s="32"/>
      <c r="B200" s="82">
        <f>'MAR-26'!A53</f>
        <v>46105</v>
      </c>
      <c r="C200" s="82">
        <f>'MAR-26'!B53</f>
        <v>46161</v>
      </c>
      <c r="D200" s="82" t="str">
        <f>'MAR-26'!C53</f>
        <v>PENDENTE</v>
      </c>
      <c r="E200" s="83" t="str">
        <f>'MAR-26'!D53</f>
        <v>23732 2 / 2</v>
      </c>
      <c r="F200" s="84" t="str">
        <f>'MAR-26'!E53</f>
        <v xml:space="preserve">MERCANTIL UNIAO COM. DE MAT. P/ MAN. INDUSTRIAL LTDA </v>
      </c>
      <c r="G200" s="85">
        <f>'MAR-26'!F53</f>
        <v>4087.5</v>
      </c>
      <c r="H200" s="85">
        <f t="shared" si="0"/>
        <v>0</v>
      </c>
      <c r="I200" s="83" t="s">
        <v>97</v>
      </c>
      <c r="J200" s="83" t="str">
        <f t="shared" si="1"/>
        <v/>
      </c>
      <c r="K200" s="85">
        <f t="shared" si="2"/>
        <v>4087.5</v>
      </c>
      <c r="L200" s="83" t="str">
        <f t="shared" si="3"/>
        <v>MAI</v>
      </c>
      <c r="M200" s="83">
        <f>'MAR-26'!H53</f>
        <v>0</v>
      </c>
      <c r="N200" s="92" t="str">
        <f ca="1">IF(BD!$C200="","",IF(AND(TODAY()&gt;BD!$C200,OR(BD!$D200="PENDENTE",BD!$D200="")),"VENCIDO",""))</f>
        <v/>
      </c>
      <c r="O200" s="82" t="str">
        <f ca="1">IF(N200 = "VENCIDO",BD!$B200,"")</f>
        <v/>
      </c>
      <c r="P200" s="82" t="str">
        <f ca="1">IF(N200 = "VENCIDO",BD!$C200,"")</f>
        <v/>
      </c>
      <c r="Q200" s="83" t="str">
        <f ca="1">IF(N200 = "VENCIDO",BD!$E200,"")</f>
        <v/>
      </c>
      <c r="R200" s="83" t="str">
        <f ca="1">IF(N200 = "VENCIDO",BD!$F200,"")</f>
        <v/>
      </c>
      <c r="S200" s="85" t="str">
        <f ca="1">IF(N200 = "VENCIDO",BD!$G200,"")</f>
        <v/>
      </c>
      <c r="T200" s="83" t="str">
        <f ca="1">IF(AND(TODAY()&gt;BD!$C200, OR(BD!$D200="PENDENTE", BD!$D200="")), TODAY()-BD!$C200, "")</f>
        <v/>
      </c>
    </row>
    <row r="201" spans="1:20" ht="14.25" customHeight="1" x14ac:dyDescent="0.35">
      <c r="A201" s="32"/>
      <c r="B201" s="82">
        <f>'MAR-26'!A54</f>
        <v>46106</v>
      </c>
      <c r="C201" s="82">
        <f>'MAR-26'!B54</f>
        <v>46134</v>
      </c>
      <c r="D201" s="82">
        <f>'MAR-26'!C54</f>
        <v>46134</v>
      </c>
      <c r="E201" s="83">
        <f>'MAR-26'!D54</f>
        <v>23733</v>
      </c>
      <c r="F201" s="84" t="str">
        <f>'MAR-26'!E54</f>
        <v xml:space="preserve">ROCA SANITARIOS BRASIL LTDA </v>
      </c>
      <c r="G201" s="85">
        <f>'MAR-26'!F54</f>
        <v>3149</v>
      </c>
      <c r="H201" s="85">
        <f t="shared" si="0"/>
        <v>3149</v>
      </c>
      <c r="I201" s="83" t="s">
        <v>97</v>
      </c>
      <c r="J201" s="83" t="str">
        <f t="shared" si="1"/>
        <v>ABR</v>
      </c>
      <c r="K201" s="85">
        <f t="shared" si="2"/>
        <v>0</v>
      </c>
      <c r="L201" s="83" t="str">
        <f t="shared" si="3"/>
        <v/>
      </c>
      <c r="M201" s="83">
        <f>'MAR-26'!H54</f>
        <v>0</v>
      </c>
      <c r="N201" s="92" t="str">
        <f ca="1">IF(BD!$C201="","",IF(AND(TODAY()&gt;BD!$C201,OR(BD!$D201="PENDENTE",BD!$D201="")),"VENCIDO",""))</f>
        <v/>
      </c>
      <c r="O201" s="82" t="str">
        <f ca="1">IF(N201 = "VENCIDO",BD!$B201,"")</f>
        <v/>
      </c>
      <c r="P201" s="82" t="str">
        <f ca="1">IF(N201 = "VENCIDO",BD!$C201,"")</f>
        <v/>
      </c>
      <c r="Q201" s="83" t="str">
        <f ca="1">IF(N201 = "VENCIDO",BD!$E201,"")</f>
        <v/>
      </c>
      <c r="R201" s="83" t="str">
        <f ca="1">IF(N201 = "VENCIDO",BD!$F201,"")</f>
        <v/>
      </c>
      <c r="S201" s="85" t="str">
        <f ca="1">IF(N201 = "VENCIDO",BD!$G201,"")</f>
        <v/>
      </c>
      <c r="T201" s="83" t="str">
        <f ca="1">IF(AND(TODAY()&gt;BD!$C201, OR(BD!$D201="PENDENTE", BD!$D201="")), TODAY()-BD!$C201, "")</f>
        <v/>
      </c>
    </row>
    <row r="202" spans="1:20" ht="14.25" customHeight="1" x14ac:dyDescent="0.35">
      <c r="A202" s="32"/>
      <c r="B202" s="82">
        <f>'MAR-26'!A55</f>
        <v>46106</v>
      </c>
      <c r="C202" s="82">
        <f>'MAR-26'!B55</f>
        <v>46134</v>
      </c>
      <c r="D202" s="82">
        <f>'MAR-26'!C55</f>
        <v>46134</v>
      </c>
      <c r="E202" s="83">
        <f>'MAR-26'!D55</f>
        <v>23734</v>
      </c>
      <c r="F202" s="84" t="str">
        <f>'MAR-26'!E55</f>
        <v>NORTEL SUPRIMENTOS INDUSTRIAIS S/A</v>
      </c>
      <c r="G202" s="85">
        <f>'MAR-26'!F55</f>
        <v>1258</v>
      </c>
      <c r="H202" s="85">
        <f t="shared" si="0"/>
        <v>1258</v>
      </c>
      <c r="I202" s="83" t="s">
        <v>97</v>
      </c>
      <c r="J202" s="83" t="str">
        <f t="shared" si="1"/>
        <v>ABR</v>
      </c>
      <c r="K202" s="85">
        <f t="shared" si="2"/>
        <v>0</v>
      </c>
      <c r="L202" s="83" t="str">
        <f t="shared" si="3"/>
        <v/>
      </c>
      <c r="M202" s="83">
        <f>'MAR-26'!H55</f>
        <v>0</v>
      </c>
      <c r="N202" s="92" t="str">
        <f ca="1">IF(BD!$C202="","",IF(AND(TODAY()&gt;BD!$C202,OR(BD!$D202="PENDENTE",BD!$D202="")),"VENCIDO",""))</f>
        <v/>
      </c>
      <c r="O202" s="82" t="str">
        <f ca="1">IF(N202 = "VENCIDO",BD!$B202,"")</f>
        <v/>
      </c>
      <c r="P202" s="82" t="str">
        <f ca="1">IF(N202 = "VENCIDO",BD!$C202,"")</f>
        <v/>
      </c>
      <c r="Q202" s="83" t="str">
        <f ca="1">IF(N202 = "VENCIDO",BD!$E202,"")</f>
        <v/>
      </c>
      <c r="R202" s="83" t="str">
        <f ca="1">IF(N202 = "VENCIDO",BD!$F202,"")</f>
        <v/>
      </c>
      <c r="S202" s="85" t="str">
        <f ca="1">IF(N202 = "VENCIDO",BD!$G202,"")</f>
        <v/>
      </c>
      <c r="T202" s="83" t="str">
        <f ca="1">IF(AND(TODAY()&gt;BD!$C202, OR(BD!$D202="PENDENTE", BD!$D202="")), TODAY()-BD!$C202, "")</f>
        <v/>
      </c>
    </row>
    <row r="203" spans="1:20" ht="14.25" customHeight="1" x14ac:dyDescent="0.35">
      <c r="A203" s="32"/>
      <c r="B203" s="82">
        <f>'MAR-26'!A56</f>
        <v>46107</v>
      </c>
      <c r="C203" s="82">
        <f>'MAR-26'!B56</f>
        <v>46142</v>
      </c>
      <c r="D203" s="82" t="str">
        <f>'MAR-26'!C56</f>
        <v>PENDENTE</v>
      </c>
      <c r="E203" s="83">
        <f>'MAR-26'!D56</f>
        <v>23735</v>
      </c>
      <c r="F203" s="84" t="str">
        <f>'MAR-26'!E56</f>
        <v>RICLAN S/A</v>
      </c>
      <c r="G203" s="85">
        <f>'MAR-26'!F56</f>
        <v>1476.11</v>
      </c>
      <c r="H203" s="85">
        <f t="shared" si="0"/>
        <v>0</v>
      </c>
      <c r="I203" s="83" t="s">
        <v>97</v>
      </c>
      <c r="J203" s="83" t="str">
        <f t="shared" si="1"/>
        <v/>
      </c>
      <c r="K203" s="85">
        <f t="shared" si="2"/>
        <v>1476.11</v>
      </c>
      <c r="L203" s="83" t="str">
        <f t="shared" si="3"/>
        <v>ABR</v>
      </c>
      <c r="M203" s="83">
        <f>'MAR-26'!H56</f>
        <v>0</v>
      </c>
      <c r="N203" s="92" t="str">
        <f ca="1">IF(BD!$C203="","",IF(AND(TODAY()&gt;BD!$C203,OR(BD!$D203="PENDENTE",BD!$D203="")),"VENCIDO",""))</f>
        <v/>
      </c>
      <c r="O203" s="82" t="str">
        <f ca="1">IF(N203 = "VENCIDO",BD!$B203,"")</f>
        <v/>
      </c>
      <c r="P203" s="82" t="str">
        <f ca="1">IF(N203 = "VENCIDO",BD!$C203,"")</f>
        <v/>
      </c>
      <c r="Q203" s="83" t="str">
        <f ca="1">IF(N203 = "VENCIDO",BD!$E203,"")</f>
        <v/>
      </c>
      <c r="R203" s="83" t="str">
        <f ca="1">IF(N203 = "VENCIDO",BD!$F203,"")</f>
        <v/>
      </c>
      <c r="S203" s="85" t="str">
        <f ca="1">IF(N203 = "VENCIDO",BD!$G203,"")</f>
        <v/>
      </c>
      <c r="T203" s="83" t="str">
        <f ca="1">IF(AND(TODAY()&gt;BD!$C203, OR(BD!$D203="PENDENTE", BD!$D203="")), TODAY()-BD!$C203, "")</f>
        <v/>
      </c>
    </row>
    <row r="204" spans="1:20" ht="14.25" customHeight="1" x14ac:dyDescent="0.35">
      <c r="A204" s="32"/>
      <c r="B204" s="82">
        <f>'MAR-26'!A57</f>
        <v>46107</v>
      </c>
      <c r="C204" s="82">
        <f>'MAR-26'!B57</f>
        <v>46149</v>
      </c>
      <c r="D204" s="82" t="str">
        <f>'MAR-26'!C57</f>
        <v>PENDENTE</v>
      </c>
      <c r="E204" s="83">
        <f>'MAR-26'!D57</f>
        <v>23736</v>
      </c>
      <c r="F204" s="84" t="str">
        <f>'MAR-26'!E57</f>
        <v>MEXICHEM  BRASIL IND. DE TRANSF. PLAST. LTDA</v>
      </c>
      <c r="G204" s="85">
        <f>'MAR-26'!F57</f>
        <v>3076</v>
      </c>
      <c r="H204" s="85">
        <f t="shared" si="0"/>
        <v>0</v>
      </c>
      <c r="I204" s="83" t="s">
        <v>97</v>
      </c>
      <c r="J204" s="83" t="str">
        <f t="shared" si="1"/>
        <v/>
      </c>
      <c r="K204" s="85">
        <f t="shared" si="2"/>
        <v>3076</v>
      </c>
      <c r="L204" s="83" t="str">
        <f t="shared" si="3"/>
        <v>MAI</v>
      </c>
      <c r="M204" s="83">
        <f>'MAR-26'!H57</f>
        <v>0</v>
      </c>
      <c r="N204" s="92" t="str">
        <f ca="1">IF(BD!$C204="","",IF(AND(TODAY()&gt;BD!$C204,OR(BD!$D204="PENDENTE",BD!$D204="")),"VENCIDO",""))</f>
        <v/>
      </c>
      <c r="O204" s="82" t="str">
        <f ca="1">IF(N204 = "VENCIDO",BD!$B204,"")</f>
        <v/>
      </c>
      <c r="P204" s="82" t="str">
        <f ca="1">IF(N204 = "VENCIDO",BD!$C204,"")</f>
        <v/>
      </c>
      <c r="Q204" s="83" t="str">
        <f ca="1">IF(N204 = "VENCIDO",BD!$E204,"")</f>
        <v/>
      </c>
      <c r="R204" s="83" t="str">
        <f ca="1">IF(N204 = "VENCIDO",BD!$F204,"")</f>
        <v/>
      </c>
      <c r="S204" s="85" t="str">
        <f ca="1">IF(N204 = "VENCIDO",BD!$G204,"")</f>
        <v/>
      </c>
      <c r="T204" s="83" t="str">
        <f ca="1">IF(AND(TODAY()&gt;BD!$C204, OR(BD!$D204="PENDENTE", BD!$D204="")), TODAY()-BD!$C204, "")</f>
        <v/>
      </c>
    </row>
    <row r="205" spans="1:20" ht="14.25" customHeight="1" x14ac:dyDescent="0.35">
      <c r="A205" s="32"/>
      <c r="B205" s="82">
        <f>'MAR-26'!A58</f>
        <v>46107</v>
      </c>
      <c r="C205" s="82">
        <f>'MAR-26'!B58</f>
        <v>46142</v>
      </c>
      <c r="D205" s="82" t="str">
        <f>'MAR-26'!C58</f>
        <v>PENDENTE</v>
      </c>
      <c r="E205" s="83">
        <f>'MAR-26'!D58</f>
        <v>23737</v>
      </c>
      <c r="F205" s="84" t="str">
        <f>'MAR-26'!E58</f>
        <v>RICLAN S/A</v>
      </c>
      <c r="G205" s="85">
        <f>'MAR-26'!F58</f>
        <v>1118</v>
      </c>
      <c r="H205" s="85">
        <f t="shared" si="0"/>
        <v>0</v>
      </c>
      <c r="I205" s="83" t="s">
        <v>97</v>
      </c>
      <c r="J205" s="83" t="str">
        <f t="shared" si="1"/>
        <v/>
      </c>
      <c r="K205" s="85">
        <f t="shared" si="2"/>
        <v>1118</v>
      </c>
      <c r="L205" s="83" t="str">
        <f t="shared" si="3"/>
        <v>ABR</v>
      </c>
      <c r="M205" s="83">
        <f>'MAR-26'!H58</f>
        <v>0</v>
      </c>
      <c r="N205" s="92" t="str">
        <f ca="1">IF(BD!$C205="","",IF(AND(TODAY()&gt;BD!$C205,OR(BD!$D205="PENDENTE",BD!$D205="")),"VENCIDO",""))</f>
        <v/>
      </c>
      <c r="O205" s="82" t="str">
        <f ca="1">IF(N205 = "VENCIDO",BD!$B205,"")</f>
        <v/>
      </c>
      <c r="P205" s="82" t="str">
        <f ca="1">IF(N205 = "VENCIDO",BD!$C205,"")</f>
        <v/>
      </c>
      <c r="Q205" s="83" t="str">
        <f ca="1">IF(N205 = "VENCIDO",BD!$E205,"")</f>
        <v/>
      </c>
      <c r="R205" s="83" t="str">
        <f ca="1">IF(N205 = "VENCIDO",BD!$F205,"")</f>
        <v/>
      </c>
      <c r="S205" s="85" t="str">
        <f ca="1">IF(N205 = "VENCIDO",BD!$G205,"")</f>
        <v/>
      </c>
      <c r="T205" s="83" t="str">
        <f ca="1">IF(AND(TODAY()&gt;BD!$C205, OR(BD!$D205="PENDENTE", BD!$D205="")), TODAY()-BD!$C205, "")</f>
        <v/>
      </c>
    </row>
    <row r="206" spans="1:20" ht="14.25" customHeight="1" x14ac:dyDescent="0.35">
      <c r="A206" s="32"/>
      <c r="B206" s="82">
        <f>'MAR-26'!A59</f>
        <v>46107</v>
      </c>
      <c r="C206" s="82">
        <f>'MAR-26'!B59</f>
        <v>46167</v>
      </c>
      <c r="D206" s="82" t="str">
        <f>'MAR-26'!C59</f>
        <v>PENDENTE</v>
      </c>
      <c r="E206" s="83">
        <f>'MAR-26'!D59</f>
        <v>23738</v>
      </c>
      <c r="F206" s="84" t="str">
        <f>'MAR-26'!E59</f>
        <v>MAHLE METAL LEVA S/A</v>
      </c>
      <c r="G206" s="85">
        <f>'MAR-26'!F59</f>
        <v>942</v>
      </c>
      <c r="H206" s="85">
        <f t="shared" si="0"/>
        <v>0</v>
      </c>
      <c r="I206" s="83" t="s">
        <v>97</v>
      </c>
      <c r="J206" s="83" t="str">
        <f t="shared" si="1"/>
        <v/>
      </c>
      <c r="K206" s="85">
        <f t="shared" si="2"/>
        <v>942</v>
      </c>
      <c r="L206" s="83" t="str">
        <f t="shared" si="3"/>
        <v>MAI</v>
      </c>
      <c r="M206" s="83">
        <f>'MAR-26'!H59</f>
        <v>0</v>
      </c>
      <c r="N206" s="92" t="str">
        <f ca="1">IF(BD!$C206="","",IF(AND(TODAY()&gt;BD!$C206,OR(BD!$D206="PENDENTE",BD!$D206="")),"VENCIDO",""))</f>
        <v/>
      </c>
      <c r="O206" s="82" t="str">
        <f ca="1">IF(N206 = "VENCIDO",BD!$B206,"")</f>
        <v/>
      </c>
      <c r="P206" s="82" t="str">
        <f ca="1">IF(N206 = "VENCIDO",BD!$C206,"")</f>
        <v/>
      </c>
      <c r="Q206" s="83" t="str">
        <f ca="1">IF(N206 = "VENCIDO",BD!$E206,"")</f>
        <v/>
      </c>
      <c r="R206" s="83" t="str">
        <f ca="1">IF(N206 = "VENCIDO",BD!$F206,"")</f>
        <v/>
      </c>
      <c r="S206" s="85" t="str">
        <f ca="1">IF(N206 = "VENCIDO",BD!$G206,"")</f>
        <v/>
      </c>
      <c r="T206" s="83" t="str">
        <f ca="1">IF(AND(TODAY()&gt;BD!$C206, OR(BD!$D206="PENDENTE", BD!$D206="")), TODAY()-BD!$C206, "")</f>
        <v/>
      </c>
    </row>
    <row r="207" spans="1:20" ht="14.25" customHeight="1" x14ac:dyDescent="0.35">
      <c r="A207" s="32"/>
      <c r="B207" s="82">
        <f>'MAR-26'!A60</f>
        <v>46107</v>
      </c>
      <c r="C207" s="82">
        <f>'MAR-26'!B60</f>
        <v>46167</v>
      </c>
      <c r="D207" s="82" t="str">
        <f>'MAR-26'!C60</f>
        <v>PENDENTE</v>
      </c>
      <c r="E207" s="83">
        <f>'MAR-26'!D60</f>
        <v>23739</v>
      </c>
      <c r="F207" s="84" t="str">
        <f>'MAR-26'!E60</f>
        <v xml:space="preserve">COOPER STANDARD AUTOMOTIVE BRASIL SEALING LTDA </v>
      </c>
      <c r="G207" s="85">
        <f>'MAR-26'!F60</f>
        <v>1832.2</v>
      </c>
      <c r="H207" s="85">
        <f t="shared" si="0"/>
        <v>0</v>
      </c>
      <c r="I207" s="83" t="s">
        <v>97</v>
      </c>
      <c r="J207" s="83" t="str">
        <f t="shared" si="1"/>
        <v/>
      </c>
      <c r="K207" s="85">
        <f t="shared" si="2"/>
        <v>1832.2</v>
      </c>
      <c r="L207" s="83" t="str">
        <f t="shared" si="3"/>
        <v>MAI</v>
      </c>
      <c r="M207" s="83">
        <f>'MAR-26'!H60</f>
        <v>0</v>
      </c>
      <c r="N207" s="92" t="str">
        <f ca="1">IF(BD!$C207="","",IF(AND(TODAY()&gt;BD!$C207,OR(BD!$D207="PENDENTE",BD!$D207="")),"VENCIDO",""))</f>
        <v/>
      </c>
      <c r="O207" s="82" t="str">
        <f ca="1">IF(N207 = "VENCIDO",BD!$B207,"")</f>
        <v/>
      </c>
      <c r="P207" s="82" t="str">
        <f ca="1">IF(N207 = "VENCIDO",BD!$C207,"")</f>
        <v/>
      </c>
      <c r="Q207" s="83" t="str">
        <f ca="1">IF(N207 = "VENCIDO",BD!$E207,"")</f>
        <v/>
      </c>
      <c r="R207" s="83" t="str">
        <f ca="1">IF(N207 = "VENCIDO",BD!$F207,"")</f>
        <v/>
      </c>
      <c r="S207" s="85" t="str">
        <f ca="1">IF(N207 = "VENCIDO",BD!$G207,"")</f>
        <v/>
      </c>
      <c r="T207" s="83" t="str">
        <f ca="1">IF(AND(TODAY()&gt;BD!$C207, OR(BD!$D207="PENDENTE", BD!$D207="")), TODAY()-BD!$C207, "")</f>
        <v/>
      </c>
    </row>
    <row r="208" spans="1:20" ht="14.25" customHeight="1" x14ac:dyDescent="0.35">
      <c r="A208" s="32"/>
      <c r="B208" s="82">
        <f>'MAR-26'!A61</f>
        <v>46111</v>
      </c>
      <c r="C208" s="82">
        <f>'MAR-26'!B61</f>
        <v>46139</v>
      </c>
      <c r="D208" s="82" t="str">
        <f>'MAR-26'!C61</f>
        <v>PENDENTE</v>
      </c>
      <c r="E208" s="83">
        <f>'MAR-26'!D61</f>
        <v>23740</v>
      </c>
      <c r="F208" s="84" t="str">
        <f>'MAR-26'!E61</f>
        <v xml:space="preserve">ENERMAX ENGENHARIA COMERCIO E SERVICOS LTDA </v>
      </c>
      <c r="G208" s="85">
        <f>'MAR-26'!F61</f>
        <v>2754</v>
      </c>
      <c r="H208" s="85">
        <f t="shared" si="0"/>
        <v>0</v>
      </c>
      <c r="I208" s="83" t="s">
        <v>97</v>
      </c>
      <c r="J208" s="83" t="str">
        <f t="shared" si="1"/>
        <v/>
      </c>
      <c r="K208" s="85">
        <f t="shared" si="2"/>
        <v>2754</v>
      </c>
      <c r="L208" s="83" t="str">
        <f t="shared" si="3"/>
        <v>ABR</v>
      </c>
      <c r="M208" s="83">
        <f>'MAR-26'!H61</f>
        <v>0</v>
      </c>
      <c r="N208" s="92" t="str">
        <f ca="1">IF(BD!$C208="","",IF(AND(TODAY()&gt;BD!$C208,OR(BD!$D208="PENDENTE",BD!$D208="")),"VENCIDO",""))</f>
        <v/>
      </c>
      <c r="O208" s="82" t="str">
        <f ca="1">IF(N208 = "VENCIDO",BD!$B208,"")</f>
        <v/>
      </c>
      <c r="P208" s="82" t="str">
        <f ca="1">IF(N208 = "VENCIDO",BD!$C208,"")</f>
        <v/>
      </c>
      <c r="Q208" s="83" t="str">
        <f ca="1">IF(N208 = "VENCIDO",BD!$E208,"")</f>
        <v/>
      </c>
      <c r="R208" s="83" t="str">
        <f ca="1">IF(N208 = "VENCIDO",BD!$F208,"")</f>
        <v/>
      </c>
      <c r="S208" s="85" t="str">
        <f ca="1">IF(N208 = "VENCIDO",BD!$G208,"")</f>
        <v/>
      </c>
      <c r="T208" s="83" t="str">
        <f ca="1">IF(AND(TODAY()&gt;BD!$C208, OR(BD!$D208="PENDENTE", BD!$D208="")), TODAY()-BD!$C208, "")</f>
        <v/>
      </c>
    </row>
    <row r="209" spans="1:20" ht="14.25" customHeight="1" x14ac:dyDescent="0.35">
      <c r="A209" s="32"/>
      <c r="B209" s="82">
        <f>'MAR-26'!A62</f>
        <v>46111</v>
      </c>
      <c r="C209" s="82">
        <f>'MAR-26'!B62</f>
        <v>46139</v>
      </c>
      <c r="D209" s="82">
        <f>'MAR-26'!C62</f>
        <v>46134</v>
      </c>
      <c r="E209" s="83">
        <f>'MAR-26'!D62</f>
        <v>23741</v>
      </c>
      <c r="F209" s="84" t="str">
        <f>'MAR-26'!E62</f>
        <v xml:space="preserve">NOVA ADITIVOS BRASIL LTDA </v>
      </c>
      <c r="G209" s="85">
        <f>'MAR-26'!F62</f>
        <v>4642</v>
      </c>
      <c r="H209" s="85">
        <f t="shared" si="0"/>
        <v>4642</v>
      </c>
      <c r="I209" s="83" t="s">
        <v>97</v>
      </c>
      <c r="J209" s="83" t="str">
        <f t="shared" si="1"/>
        <v>ABR</v>
      </c>
      <c r="K209" s="85">
        <f t="shared" si="2"/>
        <v>0</v>
      </c>
      <c r="L209" s="83" t="str">
        <f t="shared" si="3"/>
        <v/>
      </c>
      <c r="M209" s="83">
        <f>'MAR-26'!H62</f>
        <v>0</v>
      </c>
      <c r="N209" s="92" t="str">
        <f ca="1">IF(BD!$C209="","",IF(AND(TODAY()&gt;BD!$C209,OR(BD!$D209="PENDENTE",BD!$D209="")),"VENCIDO",""))</f>
        <v/>
      </c>
      <c r="O209" s="82" t="str">
        <f ca="1">IF(N209 = "VENCIDO",BD!$B209,"")</f>
        <v/>
      </c>
      <c r="P209" s="82" t="str">
        <f ca="1">IF(N209 = "VENCIDO",BD!$C209,"")</f>
        <v/>
      </c>
      <c r="Q209" s="83" t="str">
        <f ca="1">IF(N209 = "VENCIDO",BD!$E209,"")</f>
        <v/>
      </c>
      <c r="R209" s="83" t="str">
        <f ca="1">IF(N209 = "VENCIDO",BD!$F209,"")</f>
        <v/>
      </c>
      <c r="S209" s="85" t="str">
        <f ca="1">IF(N209 = "VENCIDO",BD!$G209,"")</f>
        <v/>
      </c>
      <c r="T209" s="83" t="str">
        <f ca="1">IF(AND(TODAY()&gt;BD!$C209, OR(BD!$D209="PENDENTE", BD!$D209="")), TODAY()-BD!$C209, "")</f>
        <v/>
      </c>
    </row>
    <row r="210" spans="1:20" ht="14.25" customHeight="1" x14ac:dyDescent="0.35">
      <c r="A210" s="32"/>
      <c r="B210" s="82">
        <f>'MAR-26'!A63</f>
        <v>46111</v>
      </c>
      <c r="C210" s="82">
        <f>'MAR-26'!B63</f>
        <v>46139</v>
      </c>
      <c r="D210" s="82" t="str">
        <f>'MAR-26'!C63</f>
        <v>PENDENTE</v>
      </c>
      <c r="E210" s="83">
        <f>'MAR-26'!D63</f>
        <v>23742</v>
      </c>
      <c r="F210" s="84" t="str">
        <f>'MAR-26'!E63</f>
        <v xml:space="preserve">MERCANTIL UNIAO COM. DE MAT. P/ MAN. INDUSTRIAL LTDA </v>
      </c>
      <c r="G210" s="85">
        <f>'MAR-26'!F63</f>
        <v>1333</v>
      </c>
      <c r="H210" s="85">
        <f t="shared" si="0"/>
        <v>0</v>
      </c>
      <c r="I210" s="83" t="s">
        <v>97</v>
      </c>
      <c r="J210" s="83" t="str">
        <f t="shared" si="1"/>
        <v/>
      </c>
      <c r="K210" s="85">
        <f t="shared" si="2"/>
        <v>1333</v>
      </c>
      <c r="L210" s="83" t="str">
        <f t="shared" si="3"/>
        <v>ABR</v>
      </c>
      <c r="M210" s="83">
        <f>'MAR-26'!H63</f>
        <v>0</v>
      </c>
      <c r="N210" s="92" t="str">
        <f ca="1">IF(BD!$C210="","",IF(AND(TODAY()&gt;BD!$C210,OR(BD!$D210="PENDENTE",BD!$D210="")),"VENCIDO",""))</f>
        <v/>
      </c>
      <c r="O210" s="82" t="str">
        <f ca="1">IF(N210 = "VENCIDO",BD!$B210,"")</f>
        <v/>
      </c>
      <c r="P210" s="82" t="str">
        <f ca="1">IF(N210 = "VENCIDO",BD!$C210,"")</f>
        <v/>
      </c>
      <c r="Q210" s="83" t="str">
        <f ca="1">IF(N210 = "VENCIDO",BD!$E210,"")</f>
        <v/>
      </c>
      <c r="R210" s="83" t="str">
        <f ca="1">IF(N210 = "VENCIDO",BD!$F210,"")</f>
        <v/>
      </c>
      <c r="S210" s="85" t="str">
        <f ca="1">IF(N210 = "VENCIDO",BD!$G210,"")</f>
        <v/>
      </c>
      <c r="T210" s="83" t="str">
        <f ca="1">IF(AND(TODAY()&gt;BD!$C210, OR(BD!$D210="PENDENTE", BD!$D210="")), TODAY()-BD!$C210, "")</f>
        <v/>
      </c>
    </row>
    <row r="211" spans="1:20" ht="14.25" customHeight="1" x14ac:dyDescent="0.35">
      <c r="A211" s="32"/>
      <c r="B211" s="82">
        <f>'MAR-26'!A64</f>
        <v>0</v>
      </c>
      <c r="C211" s="82">
        <f>'MAR-26'!B64</f>
        <v>0</v>
      </c>
      <c r="D211" s="82">
        <f>'MAR-26'!C64</f>
        <v>0</v>
      </c>
      <c r="E211" s="83">
        <f>'MAR-26'!D64</f>
        <v>0</v>
      </c>
      <c r="F211" s="84">
        <f>'MAR-26'!E64</f>
        <v>0</v>
      </c>
      <c r="G211" s="85">
        <f>'MAR-26'!F64</f>
        <v>0</v>
      </c>
      <c r="H211" s="85">
        <f t="shared" si="0"/>
        <v>0</v>
      </c>
      <c r="I211" s="83" t="s">
        <v>97</v>
      </c>
      <c r="J211" s="83" t="str">
        <f t="shared" si="1"/>
        <v/>
      </c>
      <c r="K211" s="85">
        <f t="shared" si="2"/>
        <v>0</v>
      </c>
      <c r="L211" s="83" t="str">
        <f t="shared" si="3"/>
        <v/>
      </c>
      <c r="M211" s="83">
        <f>'MAR-26'!H64</f>
        <v>0</v>
      </c>
      <c r="N211" s="92" t="str">
        <f ca="1">IF(BD!$C211="","",IF(AND(TODAY()&gt;BD!$C211,OR(BD!$D211="PENDENTE",BD!$D211="")),"VENCIDO",""))</f>
        <v/>
      </c>
      <c r="O211" s="82" t="str">
        <f ca="1">IF(N211 = "VENCIDO",BD!$B211,"")</f>
        <v/>
      </c>
      <c r="P211" s="82" t="str">
        <f ca="1">IF(N211 = "VENCIDO",BD!$C211,"")</f>
        <v/>
      </c>
      <c r="Q211" s="83" t="str">
        <f ca="1">IF(N211 = "VENCIDO",BD!$E211,"")</f>
        <v/>
      </c>
      <c r="R211" s="83" t="str">
        <f ca="1">IF(N211 = "VENCIDO",BD!$F211,"")</f>
        <v/>
      </c>
      <c r="S211" s="85" t="str">
        <f ca="1">IF(N211 = "VENCIDO",BD!$G211,"")</f>
        <v/>
      </c>
      <c r="T211" s="83" t="str">
        <f ca="1">IF(AND(TODAY()&gt;BD!$C211, OR(BD!$D211="PENDENTE", BD!$D211="")), TODAY()-BD!$C211, "")</f>
        <v/>
      </c>
    </row>
    <row r="212" spans="1:20" ht="14.25" customHeight="1" x14ac:dyDescent="0.35">
      <c r="A212" s="32"/>
      <c r="B212" s="82">
        <f>'MAR-26'!A65</f>
        <v>0</v>
      </c>
      <c r="C212" s="82">
        <f>'MAR-26'!B65</f>
        <v>0</v>
      </c>
      <c r="D212" s="82">
        <f>'MAR-26'!C65</f>
        <v>0</v>
      </c>
      <c r="E212" s="83">
        <f>'MAR-26'!D65</f>
        <v>0</v>
      </c>
      <c r="F212" s="84">
        <f>'MAR-26'!E65</f>
        <v>0</v>
      </c>
      <c r="G212" s="85">
        <f>'MAR-26'!F65</f>
        <v>0</v>
      </c>
      <c r="H212" s="85">
        <f t="shared" si="0"/>
        <v>0</v>
      </c>
      <c r="I212" s="83" t="s">
        <v>97</v>
      </c>
      <c r="J212" s="83" t="str">
        <f t="shared" si="1"/>
        <v/>
      </c>
      <c r="K212" s="85">
        <f t="shared" si="2"/>
        <v>0</v>
      </c>
      <c r="L212" s="83" t="str">
        <f t="shared" si="3"/>
        <v/>
      </c>
      <c r="M212" s="83">
        <f>'MAR-26'!H65</f>
        <v>0</v>
      </c>
      <c r="N212" s="92" t="str">
        <f ca="1">IF(BD!$C212="","",IF(AND(TODAY()&gt;BD!$C212,OR(BD!$D212="PENDENTE",BD!$D212="")),"VENCIDO",""))</f>
        <v/>
      </c>
      <c r="O212" s="82" t="str">
        <f ca="1">IF(N212 = "VENCIDO",BD!$B212,"")</f>
        <v/>
      </c>
      <c r="P212" s="82" t="str">
        <f ca="1">IF(N212 = "VENCIDO",BD!$C212,"")</f>
        <v/>
      </c>
      <c r="Q212" s="83" t="str">
        <f ca="1">IF(N212 = "VENCIDO",BD!$E212,"")</f>
        <v/>
      </c>
      <c r="R212" s="83" t="str">
        <f ca="1">IF(N212 = "VENCIDO",BD!$F212,"")</f>
        <v/>
      </c>
      <c r="S212" s="85" t="str">
        <f ca="1">IF(N212 = "VENCIDO",BD!$G212,"")</f>
        <v/>
      </c>
      <c r="T212" s="83" t="str">
        <f ca="1">IF(AND(TODAY()&gt;BD!$C212, OR(BD!$D212="PENDENTE", BD!$D212="")), TODAY()-BD!$C212, "")</f>
        <v/>
      </c>
    </row>
    <row r="213" spans="1:20" ht="14.25" customHeight="1" x14ac:dyDescent="0.35">
      <c r="A213" s="32"/>
      <c r="B213" s="82">
        <f>'MAR-26'!A66</f>
        <v>0</v>
      </c>
      <c r="C213" s="82">
        <f>'MAR-26'!B66</f>
        <v>0</v>
      </c>
      <c r="D213" s="82">
        <f>'MAR-26'!C66</f>
        <v>0</v>
      </c>
      <c r="E213" s="83">
        <f>'MAR-26'!D66</f>
        <v>0</v>
      </c>
      <c r="F213" s="84">
        <f>'MAR-26'!E66</f>
        <v>0</v>
      </c>
      <c r="G213" s="85">
        <f>'MAR-26'!F66</f>
        <v>0</v>
      </c>
      <c r="H213" s="85">
        <f t="shared" si="0"/>
        <v>0</v>
      </c>
      <c r="I213" s="83" t="s">
        <v>97</v>
      </c>
      <c r="J213" s="83" t="str">
        <f t="shared" si="1"/>
        <v/>
      </c>
      <c r="K213" s="85">
        <f t="shared" si="2"/>
        <v>0</v>
      </c>
      <c r="L213" s="83" t="str">
        <f t="shared" si="3"/>
        <v/>
      </c>
      <c r="M213" s="83">
        <f>'MAR-26'!H66</f>
        <v>0</v>
      </c>
      <c r="N213" s="92" t="str">
        <f ca="1">IF(BD!$C213="","",IF(AND(TODAY()&gt;BD!$C213,OR(BD!$D213="PENDENTE",BD!$D213="")),"VENCIDO",""))</f>
        <v/>
      </c>
      <c r="O213" s="82" t="str">
        <f ca="1">IF(N213 = "VENCIDO",BD!$B213,"")</f>
        <v/>
      </c>
      <c r="P213" s="82" t="str">
        <f ca="1">IF(N213 = "VENCIDO",BD!$C213,"")</f>
        <v/>
      </c>
      <c r="Q213" s="83" t="str">
        <f ca="1">IF(N213 = "VENCIDO",BD!$E213,"")</f>
        <v/>
      </c>
      <c r="R213" s="83" t="str">
        <f ca="1">IF(N213 = "VENCIDO",BD!$F213,"")</f>
        <v/>
      </c>
      <c r="S213" s="85" t="str">
        <f ca="1">IF(N213 = "VENCIDO",BD!$G213,"")</f>
        <v/>
      </c>
      <c r="T213" s="83" t="str">
        <f ca="1">IF(AND(TODAY()&gt;BD!$C213, OR(BD!$D213="PENDENTE", BD!$D213="")), TODAY()-BD!$C213, "")</f>
        <v/>
      </c>
    </row>
    <row r="214" spans="1:20" ht="14.25" customHeight="1" x14ac:dyDescent="0.35">
      <c r="A214" s="32"/>
      <c r="B214" s="82">
        <f>'MAR-26'!A67</f>
        <v>0</v>
      </c>
      <c r="C214" s="82">
        <f>'MAR-26'!B67</f>
        <v>0</v>
      </c>
      <c r="D214" s="82">
        <f>'MAR-26'!C67</f>
        <v>0</v>
      </c>
      <c r="E214" s="83">
        <f>'MAR-26'!D67</f>
        <v>0</v>
      </c>
      <c r="F214" s="84">
        <f>'MAR-26'!E67</f>
        <v>0</v>
      </c>
      <c r="G214" s="85">
        <f>'MAR-26'!F67</f>
        <v>0</v>
      </c>
      <c r="H214" s="85">
        <f t="shared" si="0"/>
        <v>0</v>
      </c>
      <c r="I214" s="83" t="s">
        <v>97</v>
      </c>
      <c r="J214" s="83" t="str">
        <f t="shared" si="1"/>
        <v/>
      </c>
      <c r="K214" s="85">
        <f t="shared" si="2"/>
        <v>0</v>
      </c>
      <c r="L214" s="83" t="str">
        <f t="shared" si="3"/>
        <v/>
      </c>
      <c r="M214" s="83">
        <f>'MAR-26'!H67</f>
        <v>0</v>
      </c>
      <c r="N214" s="92" t="str">
        <f ca="1">IF(BD!$C214="","",IF(AND(TODAY()&gt;BD!$C214,OR(BD!$D214="PENDENTE",BD!$D214="")),"VENCIDO",""))</f>
        <v/>
      </c>
      <c r="O214" s="82" t="str">
        <f ca="1">IF(N214 = "VENCIDO",BD!$B214,"")</f>
        <v/>
      </c>
      <c r="P214" s="82" t="str">
        <f ca="1">IF(N214 = "VENCIDO",BD!$C214,"")</f>
        <v/>
      </c>
      <c r="Q214" s="83" t="str">
        <f ca="1">IF(N214 = "VENCIDO",BD!$E214,"")</f>
        <v/>
      </c>
      <c r="R214" s="83" t="str">
        <f ca="1">IF(N214 = "VENCIDO",BD!$F214,"")</f>
        <v/>
      </c>
      <c r="S214" s="85" t="str">
        <f ca="1">IF(N214 = "VENCIDO",BD!$G214,"")</f>
        <v/>
      </c>
      <c r="T214" s="83" t="str">
        <f ca="1">IF(AND(TODAY()&gt;BD!$C214, OR(BD!$D214="PENDENTE", BD!$D214="")), TODAY()-BD!$C214, "")</f>
        <v/>
      </c>
    </row>
    <row r="215" spans="1:20" ht="14.25" customHeight="1" x14ac:dyDescent="0.35">
      <c r="A215" s="32"/>
      <c r="B215" s="82">
        <f>'MAR-26'!A68</f>
        <v>0</v>
      </c>
      <c r="C215" s="82">
        <f>'MAR-26'!B68</f>
        <v>0</v>
      </c>
      <c r="D215" s="82">
        <f>'MAR-26'!C68</f>
        <v>0</v>
      </c>
      <c r="E215" s="83">
        <f>'MAR-26'!D68</f>
        <v>0</v>
      </c>
      <c r="F215" s="84">
        <f>'MAR-26'!E68</f>
        <v>0</v>
      </c>
      <c r="G215" s="85">
        <f>'MAR-26'!F68</f>
        <v>0</v>
      </c>
      <c r="H215" s="85">
        <f t="shared" si="0"/>
        <v>0</v>
      </c>
      <c r="I215" s="83" t="s">
        <v>97</v>
      </c>
      <c r="J215" s="83" t="str">
        <f t="shared" si="1"/>
        <v/>
      </c>
      <c r="K215" s="85">
        <f t="shared" si="2"/>
        <v>0</v>
      </c>
      <c r="L215" s="83" t="str">
        <f t="shared" si="3"/>
        <v/>
      </c>
      <c r="M215" s="83">
        <f>'MAR-26'!H68</f>
        <v>0</v>
      </c>
      <c r="N215" s="92" t="str">
        <f ca="1">IF(BD!$C215="","",IF(AND(TODAY()&gt;BD!$C215,OR(BD!$D215="PENDENTE",BD!$D215="")),"VENCIDO",""))</f>
        <v/>
      </c>
      <c r="O215" s="82" t="str">
        <f ca="1">IF(N215 = "VENCIDO",BD!$B215,"")</f>
        <v/>
      </c>
      <c r="P215" s="82" t="str">
        <f ca="1">IF(N215 = "VENCIDO",BD!$C215,"")</f>
        <v/>
      </c>
      <c r="Q215" s="83" t="str">
        <f ca="1">IF(N215 = "VENCIDO",BD!$E215,"")</f>
        <v/>
      </c>
      <c r="R215" s="83" t="str">
        <f ca="1">IF(N215 = "VENCIDO",BD!$F215,"")</f>
        <v/>
      </c>
      <c r="S215" s="85" t="str">
        <f ca="1">IF(N215 = "VENCIDO",BD!$G215,"")</f>
        <v/>
      </c>
      <c r="T215" s="83" t="str">
        <f ca="1">IF(AND(TODAY()&gt;BD!$C215, OR(BD!$D215="PENDENTE", BD!$D215="")), TODAY()-BD!$C215, "")</f>
        <v/>
      </c>
    </row>
    <row r="216" spans="1:20" ht="14.25" customHeight="1" x14ac:dyDescent="0.35">
      <c r="A216" s="32"/>
      <c r="B216" s="82">
        <f>'MAR-26'!A69</f>
        <v>0</v>
      </c>
      <c r="C216" s="82">
        <f>'MAR-26'!B69</f>
        <v>0</v>
      </c>
      <c r="D216" s="82">
        <f>'MAR-26'!C69</f>
        <v>0</v>
      </c>
      <c r="E216" s="83">
        <f>'MAR-26'!D69</f>
        <v>0</v>
      </c>
      <c r="F216" s="84">
        <f>'MAR-26'!E69</f>
        <v>0</v>
      </c>
      <c r="G216" s="85">
        <f>'MAR-26'!F69</f>
        <v>0</v>
      </c>
      <c r="H216" s="85">
        <f t="shared" si="0"/>
        <v>0</v>
      </c>
      <c r="I216" s="83" t="s">
        <v>97</v>
      </c>
      <c r="J216" s="83" t="str">
        <f t="shared" si="1"/>
        <v/>
      </c>
      <c r="K216" s="85">
        <f t="shared" si="2"/>
        <v>0</v>
      </c>
      <c r="L216" s="83" t="str">
        <f t="shared" si="3"/>
        <v/>
      </c>
      <c r="M216" s="83">
        <f>'MAR-26'!H69</f>
        <v>0</v>
      </c>
      <c r="N216" s="92" t="str">
        <f ca="1">IF(BD!$C216="","",IF(AND(TODAY()&gt;BD!$C216,OR(BD!$D216="PENDENTE",BD!$D216="")),"VENCIDO",""))</f>
        <v/>
      </c>
      <c r="O216" s="82" t="str">
        <f ca="1">IF(N216 = "VENCIDO",BD!$B216,"")</f>
        <v/>
      </c>
      <c r="P216" s="82" t="str">
        <f ca="1">IF(N216 = "VENCIDO",BD!$C216,"")</f>
        <v/>
      </c>
      <c r="Q216" s="83" t="str">
        <f ca="1">IF(N216 = "VENCIDO",BD!$E216,"")</f>
        <v/>
      </c>
      <c r="R216" s="83" t="str">
        <f ca="1">IF(N216 = "VENCIDO",BD!$F216,"")</f>
        <v/>
      </c>
      <c r="S216" s="85" t="str">
        <f ca="1">IF(N216 = "VENCIDO",BD!$G216,"")</f>
        <v/>
      </c>
      <c r="T216" s="83" t="str">
        <f ca="1">IF(AND(TODAY()&gt;BD!$C216, OR(BD!$D216="PENDENTE", BD!$D216="")), TODAY()-BD!$C216, "")</f>
        <v/>
      </c>
    </row>
    <row r="217" spans="1:20" ht="14.25" customHeight="1" x14ac:dyDescent="0.35">
      <c r="A217" s="32"/>
      <c r="B217" s="82">
        <f>'MAR-26'!A70</f>
        <v>0</v>
      </c>
      <c r="C217" s="82">
        <f>'MAR-26'!B70</f>
        <v>0</v>
      </c>
      <c r="D217" s="82">
        <f>'MAR-26'!C70</f>
        <v>0</v>
      </c>
      <c r="E217" s="83">
        <f>'MAR-26'!D70</f>
        <v>0</v>
      </c>
      <c r="F217" s="84">
        <f>'MAR-26'!E70</f>
        <v>0</v>
      </c>
      <c r="G217" s="85">
        <f>'MAR-26'!F70</f>
        <v>0</v>
      </c>
      <c r="H217" s="85">
        <f t="shared" si="0"/>
        <v>0</v>
      </c>
      <c r="I217" s="83" t="s">
        <v>97</v>
      </c>
      <c r="J217" s="83" t="str">
        <f t="shared" si="1"/>
        <v/>
      </c>
      <c r="K217" s="85">
        <f t="shared" si="2"/>
        <v>0</v>
      </c>
      <c r="L217" s="83" t="str">
        <f t="shared" si="3"/>
        <v/>
      </c>
      <c r="M217" s="83">
        <f>'MAR-26'!H70</f>
        <v>0</v>
      </c>
      <c r="N217" s="92" t="str">
        <f ca="1">IF(BD!$C217="","",IF(AND(TODAY()&gt;BD!$C217,OR(BD!$D217="PENDENTE",BD!$D217="")),"VENCIDO",""))</f>
        <v/>
      </c>
      <c r="O217" s="82" t="str">
        <f ca="1">IF(N217 = "VENCIDO",BD!$B217,"")</f>
        <v/>
      </c>
      <c r="P217" s="82" t="str">
        <f ca="1">IF(N217 = "VENCIDO",BD!$C217,"")</f>
        <v/>
      </c>
      <c r="Q217" s="83" t="str">
        <f ca="1">IF(N217 = "VENCIDO",BD!$E217,"")</f>
        <v/>
      </c>
      <c r="R217" s="83" t="str">
        <f ca="1">IF(N217 = "VENCIDO",BD!$F217,"")</f>
        <v/>
      </c>
      <c r="S217" s="85" t="str">
        <f ca="1">IF(N217 = "VENCIDO",BD!$G217,"")</f>
        <v/>
      </c>
      <c r="T217" s="83" t="str">
        <f ca="1">IF(AND(TODAY()&gt;BD!$C217, OR(BD!$D217="PENDENTE", BD!$D217="")), TODAY()-BD!$C217, "")</f>
        <v/>
      </c>
    </row>
    <row r="218" spans="1:20" ht="14.25" customHeight="1" x14ac:dyDescent="0.35">
      <c r="A218" s="32"/>
      <c r="B218" s="82">
        <f>'MAR-26'!A71</f>
        <v>0</v>
      </c>
      <c r="C218" s="82">
        <f>'MAR-26'!B71</f>
        <v>0</v>
      </c>
      <c r="D218" s="82">
        <f>'MAR-26'!C71</f>
        <v>0</v>
      </c>
      <c r="E218" s="83">
        <f>'MAR-26'!D71</f>
        <v>0</v>
      </c>
      <c r="F218" s="84">
        <f>'MAR-26'!E71</f>
        <v>0</v>
      </c>
      <c r="G218" s="85">
        <f>'MAR-26'!F71</f>
        <v>0</v>
      </c>
      <c r="H218" s="85">
        <f t="shared" si="0"/>
        <v>0</v>
      </c>
      <c r="I218" s="83" t="s">
        <v>97</v>
      </c>
      <c r="J218" s="83" t="str">
        <f t="shared" si="1"/>
        <v/>
      </c>
      <c r="K218" s="85">
        <f t="shared" si="2"/>
        <v>0</v>
      </c>
      <c r="L218" s="83" t="str">
        <f t="shared" si="3"/>
        <v/>
      </c>
      <c r="M218" s="83">
        <f>'MAR-26'!H71</f>
        <v>0</v>
      </c>
      <c r="N218" s="92" t="str">
        <f ca="1">IF(BD!$C218="","",IF(AND(TODAY()&gt;BD!$C218,OR(BD!$D218="PENDENTE",BD!$D218="")),"VENCIDO",""))</f>
        <v/>
      </c>
      <c r="O218" s="82" t="str">
        <f ca="1">IF(N218 = "VENCIDO",BD!$B218,"")</f>
        <v/>
      </c>
      <c r="P218" s="82" t="str">
        <f ca="1">IF(N218 = "VENCIDO",BD!$C218,"")</f>
        <v/>
      </c>
      <c r="Q218" s="83" t="str">
        <f ca="1">IF(N218 = "VENCIDO",BD!$E218,"")</f>
        <v/>
      </c>
      <c r="R218" s="83" t="str">
        <f ca="1">IF(N218 = "VENCIDO",BD!$F218,"")</f>
        <v/>
      </c>
      <c r="S218" s="85" t="str">
        <f ca="1">IF(N218 = "VENCIDO",BD!$G218,"")</f>
        <v/>
      </c>
      <c r="T218" s="83" t="str">
        <f ca="1">IF(AND(TODAY()&gt;BD!$C218, OR(BD!$D218="PENDENTE", BD!$D218="")), TODAY()-BD!$C218, "")</f>
        <v/>
      </c>
    </row>
    <row r="219" spans="1:20" ht="14.25" customHeight="1" x14ac:dyDescent="0.35">
      <c r="A219" s="32"/>
      <c r="B219" s="82">
        <f>'MAR-26'!A72</f>
        <v>0</v>
      </c>
      <c r="C219" s="82">
        <f>'MAR-26'!B72</f>
        <v>0</v>
      </c>
      <c r="D219" s="82">
        <f>'MAR-26'!C72</f>
        <v>0</v>
      </c>
      <c r="E219" s="83">
        <f>'MAR-26'!D72</f>
        <v>0</v>
      </c>
      <c r="F219" s="84">
        <f>'MAR-26'!E72</f>
        <v>0</v>
      </c>
      <c r="G219" s="85">
        <f>'MAR-26'!F72</f>
        <v>0</v>
      </c>
      <c r="H219" s="85">
        <f t="shared" si="0"/>
        <v>0</v>
      </c>
      <c r="I219" s="83" t="s">
        <v>97</v>
      </c>
      <c r="J219" s="83" t="str">
        <f t="shared" si="1"/>
        <v/>
      </c>
      <c r="K219" s="85">
        <f t="shared" si="2"/>
        <v>0</v>
      </c>
      <c r="L219" s="83" t="str">
        <f t="shared" si="3"/>
        <v/>
      </c>
      <c r="M219" s="83">
        <f>'MAR-26'!H72</f>
        <v>0</v>
      </c>
      <c r="N219" s="92" t="str">
        <f ca="1">IF(BD!$C219="","",IF(AND(TODAY()&gt;BD!$C219,OR(BD!$D219="PENDENTE",BD!$D219="")),"VENCIDO",""))</f>
        <v/>
      </c>
      <c r="O219" s="82" t="str">
        <f ca="1">IF(N219 = "VENCIDO",BD!$B219,"")</f>
        <v/>
      </c>
      <c r="P219" s="82" t="str">
        <f ca="1">IF(N219 = "VENCIDO",BD!$C219,"")</f>
        <v/>
      </c>
      <c r="Q219" s="83" t="str">
        <f ca="1">IF(N219 = "VENCIDO",BD!$E219,"")</f>
        <v/>
      </c>
      <c r="R219" s="83" t="str">
        <f ca="1">IF(N219 = "VENCIDO",BD!$F219,"")</f>
        <v/>
      </c>
      <c r="S219" s="85" t="str">
        <f ca="1">IF(N219 = "VENCIDO",BD!$G219,"")</f>
        <v/>
      </c>
      <c r="T219" s="83" t="str">
        <f ca="1">IF(AND(TODAY()&gt;BD!$C219, OR(BD!$D219="PENDENTE", BD!$D219="")), TODAY()-BD!$C219, "")</f>
        <v/>
      </c>
    </row>
    <row r="220" spans="1:20" ht="14.25" customHeight="1" x14ac:dyDescent="0.35">
      <c r="A220" s="32"/>
      <c r="B220" s="82">
        <f>'MAR-26'!A73</f>
        <v>0</v>
      </c>
      <c r="C220" s="82">
        <f>'MAR-26'!B73</f>
        <v>0</v>
      </c>
      <c r="D220" s="82">
        <f>'MAR-26'!C73</f>
        <v>0</v>
      </c>
      <c r="E220" s="83">
        <f>'MAR-26'!D73</f>
        <v>0</v>
      </c>
      <c r="F220" s="84">
        <f>'MAR-26'!E73</f>
        <v>0</v>
      </c>
      <c r="G220" s="85">
        <f>'MAR-26'!F73</f>
        <v>0</v>
      </c>
      <c r="H220" s="85">
        <f t="shared" si="0"/>
        <v>0</v>
      </c>
      <c r="I220" s="83" t="s">
        <v>97</v>
      </c>
      <c r="J220" s="83" t="str">
        <f t="shared" si="1"/>
        <v/>
      </c>
      <c r="K220" s="85">
        <f t="shared" si="2"/>
        <v>0</v>
      </c>
      <c r="L220" s="83" t="str">
        <f t="shared" si="3"/>
        <v/>
      </c>
      <c r="M220" s="83">
        <f>'MAR-26'!H73</f>
        <v>0</v>
      </c>
      <c r="N220" s="92" t="str">
        <f ca="1">IF(BD!$C220="","",IF(AND(TODAY()&gt;BD!$C220,OR(BD!$D220="PENDENTE",BD!$D220="")),"VENCIDO",""))</f>
        <v/>
      </c>
      <c r="O220" s="82" t="str">
        <f ca="1">IF(N220 = "VENCIDO",BD!$B220,"")</f>
        <v/>
      </c>
      <c r="P220" s="82" t="str">
        <f ca="1">IF(N220 = "VENCIDO",BD!$C220,"")</f>
        <v/>
      </c>
      <c r="Q220" s="83" t="str">
        <f ca="1">IF(N220 = "VENCIDO",BD!$E220,"")</f>
        <v/>
      </c>
      <c r="R220" s="83" t="str">
        <f ca="1">IF(N220 = "VENCIDO",BD!$F220,"")</f>
        <v/>
      </c>
      <c r="S220" s="85" t="str">
        <f ca="1">IF(N220 = "VENCIDO",BD!$G220,"")</f>
        <v/>
      </c>
      <c r="T220" s="83" t="str">
        <f ca="1">IF(AND(TODAY()&gt;BD!$C220, OR(BD!$D220="PENDENTE", BD!$D220="")), TODAY()-BD!$C220, "")</f>
        <v/>
      </c>
    </row>
    <row r="221" spans="1:20" ht="14.25" customHeight="1" x14ac:dyDescent="0.35">
      <c r="A221" s="32"/>
      <c r="B221" s="82">
        <f>'MAR-26'!A74</f>
        <v>0</v>
      </c>
      <c r="C221" s="82">
        <f>'MAR-26'!B74</f>
        <v>0</v>
      </c>
      <c r="D221" s="82">
        <f>'MAR-26'!C74</f>
        <v>0</v>
      </c>
      <c r="E221" s="83">
        <f>'MAR-26'!D74</f>
        <v>0</v>
      </c>
      <c r="F221" s="84">
        <f>'MAR-26'!E74</f>
        <v>0</v>
      </c>
      <c r="G221" s="85">
        <f>'MAR-26'!F74</f>
        <v>0</v>
      </c>
      <c r="H221" s="85">
        <f t="shared" si="0"/>
        <v>0</v>
      </c>
      <c r="I221" s="83" t="s">
        <v>97</v>
      </c>
      <c r="J221" s="83" t="str">
        <f t="shared" si="1"/>
        <v/>
      </c>
      <c r="K221" s="85">
        <f t="shared" si="2"/>
        <v>0</v>
      </c>
      <c r="L221" s="83" t="str">
        <f t="shared" si="3"/>
        <v/>
      </c>
      <c r="M221" s="83">
        <f>'MAR-26'!H74</f>
        <v>0</v>
      </c>
      <c r="N221" s="92" t="str">
        <f ca="1">IF(BD!$C221="","",IF(AND(TODAY()&gt;BD!$C221,OR(BD!$D221="PENDENTE",BD!$D221="")),"VENCIDO",""))</f>
        <v/>
      </c>
      <c r="O221" s="82" t="str">
        <f ca="1">IF(N221 = "VENCIDO",BD!$B221,"")</f>
        <v/>
      </c>
      <c r="P221" s="82" t="str">
        <f ca="1">IF(N221 = "VENCIDO",BD!$C221,"")</f>
        <v/>
      </c>
      <c r="Q221" s="83" t="str">
        <f ca="1">IF(N221 = "VENCIDO",BD!$E221,"")</f>
        <v/>
      </c>
      <c r="R221" s="83" t="str">
        <f ca="1">IF(N221 = "VENCIDO",BD!$F221,"")</f>
        <v/>
      </c>
      <c r="S221" s="85" t="str">
        <f ca="1">IF(N221 = "VENCIDO",BD!$G221,"")</f>
        <v/>
      </c>
      <c r="T221" s="83" t="str">
        <f ca="1">IF(AND(TODAY()&gt;BD!$C221, OR(BD!$D221="PENDENTE", BD!$D221="")), TODAY()-BD!$C221, "")</f>
        <v/>
      </c>
    </row>
    <row r="222" spans="1:20" ht="14.25" customHeight="1" x14ac:dyDescent="0.35">
      <c r="A222" s="32"/>
      <c r="B222" s="82">
        <f>'MAR-26'!A75</f>
        <v>0</v>
      </c>
      <c r="C222" s="82">
        <f>'MAR-26'!B75</f>
        <v>0</v>
      </c>
      <c r="D222" s="82">
        <f>'MAR-26'!C75</f>
        <v>0</v>
      </c>
      <c r="E222" s="83">
        <f>'MAR-26'!D75</f>
        <v>0</v>
      </c>
      <c r="F222" s="84">
        <f>'MAR-26'!E75</f>
        <v>0</v>
      </c>
      <c r="G222" s="85">
        <f>'MAR-26'!F75</f>
        <v>0</v>
      </c>
      <c r="H222" s="85">
        <f t="shared" si="0"/>
        <v>0</v>
      </c>
      <c r="I222" s="83" t="s">
        <v>97</v>
      </c>
      <c r="J222" s="83" t="str">
        <f t="shared" si="1"/>
        <v/>
      </c>
      <c r="K222" s="85">
        <f t="shared" si="2"/>
        <v>0</v>
      </c>
      <c r="L222" s="83" t="str">
        <f t="shared" si="3"/>
        <v/>
      </c>
      <c r="M222" s="83">
        <f>'MAR-26'!H75</f>
        <v>0</v>
      </c>
      <c r="N222" s="92" t="str">
        <f ca="1">IF(BD!$C222="","",IF(AND(TODAY()&gt;BD!$C222,OR(BD!$D222="PENDENTE",BD!$D222="")),"VENCIDO",""))</f>
        <v/>
      </c>
      <c r="O222" s="82" t="str">
        <f ca="1">IF(N222 = "VENCIDO",BD!$B222,"")</f>
        <v/>
      </c>
      <c r="P222" s="82" t="str">
        <f ca="1">IF(N222 = "VENCIDO",BD!$C222,"")</f>
        <v/>
      </c>
      <c r="Q222" s="83" t="str">
        <f ca="1">IF(N222 = "VENCIDO",BD!$E222,"")</f>
        <v/>
      </c>
      <c r="R222" s="83" t="str">
        <f ca="1">IF(N222 = "VENCIDO",BD!$F222,"")</f>
        <v/>
      </c>
      <c r="S222" s="85" t="str">
        <f ca="1">IF(N222 = "VENCIDO",BD!$G222,"")</f>
        <v/>
      </c>
      <c r="T222" s="83" t="str">
        <f ca="1">IF(AND(TODAY()&gt;BD!$C222, OR(BD!$D222="PENDENTE", BD!$D222="")), TODAY()-BD!$C222, "")</f>
        <v/>
      </c>
    </row>
    <row r="223" spans="1:20" ht="14.25" customHeight="1" x14ac:dyDescent="0.35">
      <c r="A223" s="32"/>
      <c r="B223" s="82">
        <f>'MAR-26'!A76</f>
        <v>0</v>
      </c>
      <c r="C223" s="82">
        <f>'MAR-26'!B76</f>
        <v>0</v>
      </c>
      <c r="D223" s="82">
        <f>'MAR-26'!C76</f>
        <v>0</v>
      </c>
      <c r="E223" s="83">
        <f>'MAR-26'!D76</f>
        <v>0</v>
      </c>
      <c r="F223" s="84">
        <f>'MAR-26'!E76</f>
        <v>0</v>
      </c>
      <c r="G223" s="85">
        <f>'MAR-26'!F76</f>
        <v>0</v>
      </c>
      <c r="H223" s="85">
        <f t="shared" si="0"/>
        <v>0</v>
      </c>
      <c r="I223" s="83" t="s">
        <v>97</v>
      </c>
      <c r="J223" s="83" t="str">
        <f t="shared" si="1"/>
        <v/>
      </c>
      <c r="K223" s="85">
        <f t="shared" si="2"/>
        <v>0</v>
      </c>
      <c r="L223" s="83" t="str">
        <f t="shared" si="3"/>
        <v/>
      </c>
      <c r="M223" s="83">
        <f>'MAR-26'!H76</f>
        <v>0</v>
      </c>
      <c r="N223" s="92" t="str">
        <f ca="1">IF(BD!$C223="","",IF(AND(TODAY()&gt;BD!$C223,OR(BD!$D223="PENDENTE",BD!$D223="")),"VENCIDO",""))</f>
        <v/>
      </c>
      <c r="O223" s="82" t="str">
        <f ca="1">IF(N223 = "VENCIDO",BD!$B223,"")</f>
        <v/>
      </c>
      <c r="P223" s="82" t="str">
        <f ca="1">IF(N223 = "VENCIDO",BD!$C223,"")</f>
        <v/>
      </c>
      <c r="Q223" s="83" t="str">
        <f ca="1">IF(N223 = "VENCIDO",BD!$E223,"")</f>
        <v/>
      </c>
      <c r="R223" s="83" t="str">
        <f ca="1">IF(N223 = "VENCIDO",BD!$F223,"")</f>
        <v/>
      </c>
      <c r="S223" s="85" t="str">
        <f ca="1">IF(N223 = "VENCIDO",BD!$G223,"")</f>
        <v/>
      </c>
      <c r="T223" s="83" t="str">
        <f ca="1">IF(AND(TODAY()&gt;BD!$C223, OR(BD!$D223="PENDENTE", BD!$D223="")), TODAY()-BD!$C223, "")</f>
        <v/>
      </c>
    </row>
    <row r="224" spans="1:20" ht="14.25" customHeight="1" x14ac:dyDescent="0.35">
      <c r="A224" s="32"/>
      <c r="B224" s="82">
        <f>'ABR-26'!A3</f>
        <v>0</v>
      </c>
      <c r="C224" s="82">
        <f>'ABR-26'!B3</f>
        <v>0</v>
      </c>
      <c r="D224" s="82">
        <f>'ABR-26'!C3</f>
        <v>0</v>
      </c>
      <c r="E224" s="83">
        <f>'ABR-26'!D3</f>
        <v>0</v>
      </c>
      <c r="F224" s="84">
        <f>'ABR-26'!E3</f>
        <v>0</v>
      </c>
      <c r="G224" s="85">
        <f>'ABR-26'!F3</f>
        <v>0</v>
      </c>
      <c r="H224" s="85">
        <f t="shared" si="0"/>
        <v>0</v>
      </c>
      <c r="I224" s="83" t="s">
        <v>98</v>
      </c>
      <c r="J224" s="83" t="str">
        <f t="shared" si="1"/>
        <v/>
      </c>
      <c r="K224" s="85">
        <f t="shared" si="2"/>
        <v>0</v>
      </c>
      <c r="L224" s="83" t="str">
        <f t="shared" si="3"/>
        <v/>
      </c>
      <c r="M224" s="83">
        <f>'ABR-26'!H3</f>
        <v>0</v>
      </c>
      <c r="N224" s="92" t="str">
        <f ca="1">IF(BD!$C224="","",IF(AND(TODAY()&gt;BD!$C224,OR(BD!$D224="PENDENTE",BD!$D224="")),"VENCIDO",""))</f>
        <v/>
      </c>
      <c r="O224" s="82" t="str">
        <f ca="1">IF(N224 = "VENCIDO",BD!$B224,"")</f>
        <v/>
      </c>
      <c r="P224" s="82" t="str">
        <f ca="1">IF(N224 = "VENCIDO",BD!$C224,"")</f>
        <v/>
      </c>
      <c r="Q224" s="83" t="str">
        <f ca="1">IF(N224 = "VENCIDO",BD!$E224,"")</f>
        <v/>
      </c>
      <c r="R224" s="83" t="str">
        <f ca="1">IF(N224 = "VENCIDO",BD!$F224,"")</f>
        <v/>
      </c>
      <c r="S224" s="85" t="str">
        <f ca="1">IF(N224 = "VENCIDO",BD!$G224,"")</f>
        <v/>
      </c>
      <c r="T224" s="83" t="str">
        <f ca="1">IF(AND(TODAY()&gt;BD!$C224, OR(BD!$D224="PENDENTE", BD!$D224="")), TODAY()-BD!$C224, "")</f>
        <v/>
      </c>
    </row>
    <row r="225" spans="1:20" ht="14.25" customHeight="1" x14ac:dyDescent="0.35">
      <c r="A225" s="32"/>
      <c r="B225" s="82">
        <f>'ABR-26'!A4</f>
        <v>0</v>
      </c>
      <c r="C225" s="82">
        <f>'ABR-26'!B4</f>
        <v>0</v>
      </c>
      <c r="D225" s="82">
        <f>'ABR-26'!C4</f>
        <v>0</v>
      </c>
      <c r="E225" s="83">
        <f>'ABR-26'!D4</f>
        <v>0</v>
      </c>
      <c r="F225" s="84">
        <f>'ABR-26'!E4</f>
        <v>0</v>
      </c>
      <c r="G225" s="85">
        <f>'ABR-26'!F4</f>
        <v>0</v>
      </c>
      <c r="H225" s="85">
        <f t="shared" si="0"/>
        <v>0</v>
      </c>
      <c r="I225" s="83" t="s">
        <v>98</v>
      </c>
      <c r="J225" s="83" t="str">
        <f t="shared" si="1"/>
        <v/>
      </c>
      <c r="K225" s="85">
        <f t="shared" si="2"/>
        <v>0</v>
      </c>
      <c r="L225" s="83" t="str">
        <f t="shared" si="3"/>
        <v/>
      </c>
      <c r="M225" s="83">
        <f>'ABR-26'!H4</f>
        <v>0</v>
      </c>
      <c r="N225" s="92" t="str">
        <f ca="1">IF(BD!$C225="","",IF(AND(TODAY()&gt;BD!$C225,OR(BD!$D225="PENDENTE",BD!$D225="")),"VENCIDO",""))</f>
        <v/>
      </c>
      <c r="O225" s="82" t="str">
        <f ca="1">IF(N225 = "VENCIDO",BD!$B225,"")</f>
        <v/>
      </c>
      <c r="P225" s="82" t="str">
        <f ca="1">IF(N225 = "VENCIDO",BD!$C225,"")</f>
        <v/>
      </c>
      <c r="Q225" s="83" t="str">
        <f ca="1">IF(N225 = "VENCIDO",BD!$E225,"")</f>
        <v/>
      </c>
      <c r="R225" s="83" t="str">
        <f ca="1">IF(N225 = "VENCIDO",BD!$F225,"")</f>
        <v/>
      </c>
      <c r="S225" s="85" t="str">
        <f ca="1">IF(N225 = "VENCIDO",BD!$G225,"")</f>
        <v/>
      </c>
      <c r="T225" s="83" t="str">
        <f ca="1">IF(AND(TODAY()&gt;BD!$C225, OR(BD!$D225="PENDENTE", BD!$D225="")), TODAY()-BD!$C225, "")</f>
        <v/>
      </c>
    </row>
    <row r="226" spans="1:20" ht="14.25" customHeight="1" x14ac:dyDescent="0.35">
      <c r="A226" s="32"/>
      <c r="B226" s="82">
        <f>'ABR-26'!A5</f>
        <v>0</v>
      </c>
      <c r="C226" s="82">
        <f>'ABR-26'!B5</f>
        <v>0</v>
      </c>
      <c r="D226" s="82">
        <f>'ABR-26'!C5</f>
        <v>0</v>
      </c>
      <c r="E226" s="83">
        <f>'ABR-26'!D5</f>
        <v>0</v>
      </c>
      <c r="F226" s="84">
        <f>'ABR-26'!E5</f>
        <v>0</v>
      </c>
      <c r="G226" s="85">
        <f>'ABR-26'!F5</f>
        <v>0</v>
      </c>
      <c r="H226" s="85">
        <f t="shared" si="0"/>
        <v>0</v>
      </c>
      <c r="I226" s="83" t="s">
        <v>98</v>
      </c>
      <c r="J226" s="83" t="str">
        <f t="shared" si="1"/>
        <v/>
      </c>
      <c r="K226" s="85">
        <f t="shared" si="2"/>
        <v>0</v>
      </c>
      <c r="L226" s="83" t="str">
        <f t="shared" si="3"/>
        <v/>
      </c>
      <c r="M226" s="83">
        <f>'ABR-26'!H5</f>
        <v>0</v>
      </c>
      <c r="N226" s="92" t="str">
        <f ca="1">IF(BD!$C226="","",IF(AND(TODAY()&gt;BD!$C226,OR(BD!$D226="PENDENTE",BD!$D226="")),"VENCIDO",""))</f>
        <v/>
      </c>
      <c r="O226" s="82" t="str">
        <f ca="1">IF(N226 = "VENCIDO",BD!$B226,"")</f>
        <v/>
      </c>
      <c r="P226" s="82" t="str">
        <f ca="1">IF(N226 = "VENCIDO",BD!$C226,"")</f>
        <v/>
      </c>
      <c r="Q226" s="83" t="str">
        <f ca="1">IF(N226 = "VENCIDO",BD!$E226,"")</f>
        <v/>
      </c>
      <c r="R226" s="83" t="str">
        <f ca="1">IF(N226 = "VENCIDO",BD!$F226,"")</f>
        <v/>
      </c>
      <c r="S226" s="85" t="str">
        <f ca="1">IF(N226 = "VENCIDO",BD!$G226,"")</f>
        <v/>
      </c>
      <c r="T226" s="83" t="str">
        <f ca="1">IF(AND(TODAY()&gt;BD!$C226, OR(BD!$D226="PENDENTE", BD!$D226="")), TODAY()-BD!$C226, "")</f>
        <v/>
      </c>
    </row>
    <row r="227" spans="1:20" ht="14.25" customHeight="1" x14ac:dyDescent="0.35">
      <c r="A227" s="32"/>
      <c r="B227" s="82">
        <f>'ABR-26'!A6</f>
        <v>0</v>
      </c>
      <c r="C227" s="82">
        <f>'ABR-26'!B6</f>
        <v>0</v>
      </c>
      <c r="D227" s="82">
        <f>'ABR-26'!C6</f>
        <v>0</v>
      </c>
      <c r="E227" s="83">
        <f>'ABR-26'!D6</f>
        <v>0</v>
      </c>
      <c r="F227" s="84">
        <f>'ABR-26'!E6</f>
        <v>0</v>
      </c>
      <c r="G227" s="85">
        <f>'ABR-26'!F6</f>
        <v>0</v>
      </c>
      <c r="H227" s="85">
        <f t="shared" si="0"/>
        <v>0</v>
      </c>
      <c r="I227" s="83" t="s">
        <v>98</v>
      </c>
      <c r="J227" s="83" t="str">
        <f t="shared" si="1"/>
        <v/>
      </c>
      <c r="K227" s="85">
        <f t="shared" si="2"/>
        <v>0</v>
      </c>
      <c r="L227" s="83" t="str">
        <f t="shared" si="3"/>
        <v/>
      </c>
      <c r="M227" s="83">
        <f>'ABR-26'!H6</f>
        <v>0</v>
      </c>
      <c r="N227" s="92" t="str">
        <f ca="1">IF(BD!$C227="","",IF(AND(TODAY()&gt;BD!$C227,OR(BD!$D227="PENDENTE",BD!$D227="")),"VENCIDO",""))</f>
        <v/>
      </c>
      <c r="O227" s="82" t="str">
        <f ca="1">IF(N227 = "VENCIDO",BD!$B227,"")</f>
        <v/>
      </c>
      <c r="P227" s="82" t="str">
        <f ca="1">IF(N227 = "VENCIDO",BD!$C227,"")</f>
        <v/>
      </c>
      <c r="Q227" s="83" t="str">
        <f ca="1">IF(N227 = "VENCIDO",BD!$E227,"")</f>
        <v/>
      </c>
      <c r="R227" s="83" t="str">
        <f ca="1">IF(N227 = "VENCIDO",BD!$F227,"")</f>
        <v/>
      </c>
      <c r="S227" s="85" t="str">
        <f ca="1">IF(N227 = "VENCIDO",BD!$G227,"")</f>
        <v/>
      </c>
      <c r="T227" s="83" t="str">
        <f ca="1">IF(AND(TODAY()&gt;BD!$C227, OR(BD!$D227="PENDENTE", BD!$D227="")), TODAY()-BD!$C227, "")</f>
        <v/>
      </c>
    </row>
    <row r="228" spans="1:20" ht="14.25" customHeight="1" x14ac:dyDescent="0.35">
      <c r="A228" s="32"/>
      <c r="B228" s="82">
        <f>'ABR-26'!A7</f>
        <v>0</v>
      </c>
      <c r="C228" s="82">
        <f>'ABR-26'!B7</f>
        <v>0</v>
      </c>
      <c r="D228" s="82">
        <f>'ABR-26'!C7</f>
        <v>0</v>
      </c>
      <c r="E228" s="83">
        <f>'ABR-26'!D7</f>
        <v>0</v>
      </c>
      <c r="F228" s="84">
        <f>'ABR-26'!E7</f>
        <v>0</v>
      </c>
      <c r="G228" s="85">
        <f>'ABR-26'!F7</f>
        <v>0</v>
      </c>
      <c r="H228" s="85">
        <f t="shared" si="0"/>
        <v>0</v>
      </c>
      <c r="I228" s="83" t="s">
        <v>98</v>
      </c>
      <c r="J228" s="83" t="str">
        <f t="shared" si="1"/>
        <v/>
      </c>
      <c r="K228" s="85">
        <f t="shared" si="2"/>
        <v>0</v>
      </c>
      <c r="L228" s="83" t="str">
        <f t="shared" si="3"/>
        <v/>
      </c>
      <c r="M228" s="83">
        <f>'ABR-26'!H7</f>
        <v>0</v>
      </c>
      <c r="N228" s="92" t="str">
        <f ca="1">IF(BD!$C228="","",IF(AND(TODAY()&gt;BD!$C228,OR(BD!$D228="PENDENTE",BD!$D228="")),"VENCIDO",""))</f>
        <v/>
      </c>
      <c r="O228" s="82" t="str">
        <f ca="1">IF(N228 = "VENCIDO",BD!$B228,"")</f>
        <v/>
      </c>
      <c r="P228" s="82" t="str">
        <f ca="1">IF(N228 = "VENCIDO",BD!$C228,"")</f>
        <v/>
      </c>
      <c r="Q228" s="83" t="str">
        <f ca="1">IF(N228 = "VENCIDO",BD!$E228,"")</f>
        <v/>
      </c>
      <c r="R228" s="83" t="str">
        <f ca="1">IF(N228 = "VENCIDO",BD!$F228,"")</f>
        <v/>
      </c>
      <c r="S228" s="85" t="str">
        <f ca="1">IF(N228 = "VENCIDO",BD!$G228,"")</f>
        <v/>
      </c>
      <c r="T228" s="83" t="str">
        <f ca="1">IF(AND(TODAY()&gt;BD!$C228, OR(BD!$D228="PENDENTE", BD!$D228="")), TODAY()-BD!$C228, "")</f>
        <v/>
      </c>
    </row>
    <row r="229" spans="1:20" ht="14.25" customHeight="1" x14ac:dyDescent="0.35">
      <c r="A229" s="32"/>
      <c r="B229" s="82">
        <f>'ABR-26'!A8</f>
        <v>0</v>
      </c>
      <c r="C229" s="82">
        <f>'ABR-26'!B8</f>
        <v>0</v>
      </c>
      <c r="D229" s="82">
        <f>'ABR-26'!C8</f>
        <v>0</v>
      </c>
      <c r="E229" s="83">
        <f>'ABR-26'!D8</f>
        <v>0</v>
      </c>
      <c r="F229" s="84">
        <f>'ABR-26'!E8</f>
        <v>0</v>
      </c>
      <c r="G229" s="85">
        <f>'ABR-26'!F8</f>
        <v>0</v>
      </c>
      <c r="H229" s="85">
        <f t="shared" si="0"/>
        <v>0</v>
      </c>
      <c r="I229" s="83" t="s">
        <v>98</v>
      </c>
      <c r="J229" s="83" t="str">
        <f t="shared" si="1"/>
        <v/>
      </c>
      <c r="K229" s="85">
        <f t="shared" si="2"/>
        <v>0</v>
      </c>
      <c r="L229" s="83" t="str">
        <f t="shared" si="3"/>
        <v/>
      </c>
      <c r="M229" s="83">
        <f>'ABR-26'!H8</f>
        <v>0</v>
      </c>
      <c r="N229" s="92" t="str">
        <f ca="1">IF(BD!$C229="","",IF(AND(TODAY()&gt;BD!$C229,OR(BD!$D229="PENDENTE",BD!$D229="")),"VENCIDO",""))</f>
        <v/>
      </c>
      <c r="O229" s="82" t="str">
        <f ca="1">IF(N229 = "VENCIDO",BD!$B229,"")</f>
        <v/>
      </c>
      <c r="P229" s="82" t="str">
        <f ca="1">IF(N229 = "VENCIDO",BD!$C229,"")</f>
        <v/>
      </c>
      <c r="Q229" s="83" t="str">
        <f ca="1">IF(N229 = "VENCIDO",BD!$E229,"")</f>
        <v/>
      </c>
      <c r="R229" s="83" t="str">
        <f ca="1">IF(N229 = "VENCIDO",BD!$F229,"")</f>
        <v/>
      </c>
      <c r="S229" s="85" t="str">
        <f ca="1">IF(N229 = "VENCIDO",BD!$G229,"")</f>
        <v/>
      </c>
      <c r="T229" s="83" t="str">
        <f ca="1">IF(AND(TODAY()&gt;BD!$C229, OR(BD!$D229="PENDENTE", BD!$D229="")), TODAY()-BD!$C229, "")</f>
        <v/>
      </c>
    </row>
    <row r="230" spans="1:20" ht="14.25" customHeight="1" x14ac:dyDescent="0.35">
      <c r="A230" s="32"/>
      <c r="B230" s="82">
        <f>'ABR-26'!A9</f>
        <v>0</v>
      </c>
      <c r="C230" s="82">
        <f>'ABR-26'!B9</f>
        <v>0</v>
      </c>
      <c r="D230" s="82">
        <f>'ABR-26'!C9</f>
        <v>0</v>
      </c>
      <c r="E230" s="83">
        <f>'ABR-26'!D9</f>
        <v>0</v>
      </c>
      <c r="F230" s="84">
        <f>'ABR-26'!E9</f>
        <v>0</v>
      </c>
      <c r="G230" s="85">
        <f>'ABR-26'!F9</f>
        <v>0</v>
      </c>
      <c r="H230" s="85">
        <f t="shared" si="0"/>
        <v>0</v>
      </c>
      <c r="I230" s="83" t="s">
        <v>98</v>
      </c>
      <c r="J230" s="83" t="str">
        <f t="shared" si="1"/>
        <v/>
      </c>
      <c r="K230" s="85">
        <f t="shared" si="2"/>
        <v>0</v>
      </c>
      <c r="L230" s="83" t="str">
        <f t="shared" si="3"/>
        <v/>
      </c>
      <c r="M230" s="83">
        <f>'ABR-26'!H9</f>
        <v>0</v>
      </c>
      <c r="N230" s="92" t="str">
        <f ca="1">IF(BD!$C230="","",IF(AND(TODAY()&gt;BD!$C230,OR(BD!$D230="PENDENTE",BD!$D230="")),"VENCIDO",""))</f>
        <v/>
      </c>
      <c r="O230" s="82" t="str">
        <f ca="1">IF(N230 = "VENCIDO",BD!$B230,"")</f>
        <v/>
      </c>
      <c r="P230" s="82" t="str">
        <f ca="1">IF(N230 = "VENCIDO",BD!$C230,"")</f>
        <v/>
      </c>
      <c r="Q230" s="83" t="str">
        <f ca="1">IF(N230 = "VENCIDO",BD!$E230,"")</f>
        <v/>
      </c>
      <c r="R230" s="83" t="str">
        <f ca="1">IF(N230 = "VENCIDO",BD!$F230,"")</f>
        <v/>
      </c>
      <c r="S230" s="85" t="str">
        <f ca="1">IF(N230 = "VENCIDO",BD!$G230,"")</f>
        <v/>
      </c>
      <c r="T230" s="83" t="str">
        <f ca="1">IF(AND(TODAY()&gt;BD!$C230, OR(BD!$D230="PENDENTE", BD!$D230="")), TODAY()-BD!$C230, "")</f>
        <v/>
      </c>
    </row>
    <row r="231" spans="1:20" ht="14.25" customHeight="1" x14ac:dyDescent="0.35">
      <c r="A231" s="32"/>
      <c r="B231" s="82">
        <f>'ABR-26'!A10</f>
        <v>0</v>
      </c>
      <c r="C231" s="82">
        <f>'ABR-26'!B10</f>
        <v>0</v>
      </c>
      <c r="D231" s="82">
        <f>'ABR-26'!C10</f>
        <v>0</v>
      </c>
      <c r="E231" s="83">
        <f>'ABR-26'!D10</f>
        <v>0</v>
      </c>
      <c r="F231" s="84">
        <f>'ABR-26'!E10</f>
        <v>0</v>
      </c>
      <c r="G231" s="85">
        <f>'ABR-26'!F10</f>
        <v>0</v>
      </c>
      <c r="H231" s="85">
        <f t="shared" si="0"/>
        <v>0</v>
      </c>
      <c r="I231" s="83" t="s">
        <v>98</v>
      </c>
      <c r="J231" s="83" t="str">
        <f t="shared" si="1"/>
        <v/>
      </c>
      <c r="K231" s="85">
        <f t="shared" si="2"/>
        <v>0</v>
      </c>
      <c r="L231" s="83" t="str">
        <f t="shared" si="3"/>
        <v/>
      </c>
      <c r="M231" s="83">
        <f>'ABR-26'!H10</f>
        <v>0</v>
      </c>
      <c r="N231" s="92" t="str">
        <f ca="1">IF(BD!$C231="","",IF(AND(TODAY()&gt;BD!$C231,OR(BD!$D231="PENDENTE",BD!$D231="")),"VENCIDO",""))</f>
        <v/>
      </c>
      <c r="O231" s="82" t="str">
        <f ca="1">IF(N231 = "VENCIDO",BD!$B231,"")</f>
        <v/>
      </c>
      <c r="P231" s="82" t="str">
        <f ca="1">IF(N231 = "VENCIDO",BD!$C231,"")</f>
        <v/>
      </c>
      <c r="Q231" s="83" t="str">
        <f ca="1">IF(N231 = "VENCIDO",BD!$E231,"")</f>
        <v/>
      </c>
      <c r="R231" s="83" t="str">
        <f ca="1">IF(N231 = "VENCIDO",BD!$F231,"")</f>
        <v/>
      </c>
      <c r="S231" s="85" t="str">
        <f ca="1">IF(N231 = "VENCIDO",BD!$G231,"")</f>
        <v/>
      </c>
      <c r="T231" s="83" t="str">
        <f ca="1">IF(AND(TODAY()&gt;BD!$C231, OR(BD!$D231="PENDENTE", BD!$D231="")), TODAY()-BD!$C231, "")</f>
        <v/>
      </c>
    </row>
    <row r="232" spans="1:20" ht="14.25" customHeight="1" x14ac:dyDescent="0.35">
      <c r="A232" s="32"/>
      <c r="B232" s="82">
        <f>'ABR-26'!A11</f>
        <v>0</v>
      </c>
      <c r="C232" s="82">
        <f>'ABR-26'!B11</f>
        <v>0</v>
      </c>
      <c r="D232" s="82">
        <f>'ABR-26'!C11</f>
        <v>0</v>
      </c>
      <c r="E232" s="83">
        <f>'ABR-26'!D11</f>
        <v>0</v>
      </c>
      <c r="F232" s="84">
        <f>'ABR-26'!E11</f>
        <v>0</v>
      </c>
      <c r="G232" s="85">
        <f>'ABR-26'!F11</f>
        <v>0</v>
      </c>
      <c r="H232" s="85">
        <f t="shared" si="0"/>
        <v>0</v>
      </c>
      <c r="I232" s="83" t="s">
        <v>98</v>
      </c>
      <c r="J232" s="83" t="str">
        <f t="shared" si="1"/>
        <v/>
      </c>
      <c r="K232" s="85">
        <f t="shared" si="2"/>
        <v>0</v>
      </c>
      <c r="L232" s="83" t="str">
        <f t="shared" si="3"/>
        <v/>
      </c>
      <c r="M232" s="83">
        <f>'ABR-26'!H11</f>
        <v>0</v>
      </c>
      <c r="N232" s="92" t="str">
        <f ca="1">IF(BD!$C232="","",IF(AND(TODAY()&gt;BD!$C232,OR(BD!$D232="PENDENTE",BD!$D232="")),"VENCIDO",""))</f>
        <v/>
      </c>
      <c r="O232" s="82" t="str">
        <f ca="1">IF(N232 = "VENCIDO",BD!$B232,"")</f>
        <v/>
      </c>
      <c r="P232" s="82" t="str">
        <f ca="1">IF(N232 = "VENCIDO",BD!$C232,"")</f>
        <v/>
      </c>
      <c r="Q232" s="83" t="str">
        <f ca="1">IF(N232 = "VENCIDO",BD!$E232,"")</f>
        <v/>
      </c>
      <c r="R232" s="83" t="str">
        <f ca="1">IF(N232 = "VENCIDO",BD!$F232,"")</f>
        <v/>
      </c>
      <c r="S232" s="85" t="str">
        <f ca="1">IF(N232 = "VENCIDO",BD!$G232,"")</f>
        <v/>
      </c>
      <c r="T232" s="83" t="str">
        <f ca="1">IF(AND(TODAY()&gt;BD!$C232, OR(BD!$D232="PENDENTE", BD!$D232="")), TODAY()-BD!$C232, "")</f>
        <v/>
      </c>
    </row>
    <row r="233" spans="1:20" ht="14.25" customHeight="1" x14ac:dyDescent="0.35">
      <c r="A233" s="32"/>
      <c r="B233" s="82">
        <f>'ABR-26'!A12</f>
        <v>0</v>
      </c>
      <c r="C233" s="82">
        <f>'ABR-26'!B12</f>
        <v>0</v>
      </c>
      <c r="D233" s="82">
        <f>'ABR-26'!C12</f>
        <v>0</v>
      </c>
      <c r="E233" s="83">
        <f>'ABR-26'!D12</f>
        <v>0</v>
      </c>
      <c r="F233" s="84">
        <f>'ABR-26'!E12</f>
        <v>0</v>
      </c>
      <c r="G233" s="85">
        <f>'ABR-26'!F12</f>
        <v>0</v>
      </c>
      <c r="H233" s="85">
        <f t="shared" si="0"/>
        <v>0</v>
      </c>
      <c r="I233" s="83" t="s">
        <v>98</v>
      </c>
      <c r="J233" s="83" t="str">
        <f t="shared" si="1"/>
        <v/>
      </c>
      <c r="K233" s="85">
        <f t="shared" si="2"/>
        <v>0</v>
      </c>
      <c r="L233" s="83" t="str">
        <f t="shared" si="3"/>
        <v/>
      </c>
      <c r="M233" s="83">
        <f>'ABR-26'!H12</f>
        <v>0</v>
      </c>
      <c r="N233" s="92" t="str">
        <f ca="1">IF(BD!$C233="","",IF(AND(TODAY()&gt;BD!$C233,OR(BD!$D233="PENDENTE",BD!$D233="")),"VENCIDO",""))</f>
        <v/>
      </c>
      <c r="O233" s="82" t="str">
        <f ca="1">IF(N233 = "VENCIDO",BD!$B233,"")</f>
        <v/>
      </c>
      <c r="P233" s="82" t="str">
        <f ca="1">IF(N233 = "VENCIDO",BD!$C233,"")</f>
        <v/>
      </c>
      <c r="Q233" s="83" t="str">
        <f ca="1">IF(N233 = "VENCIDO",BD!$E233,"")</f>
        <v/>
      </c>
      <c r="R233" s="83" t="str">
        <f ca="1">IF(N233 = "VENCIDO",BD!$F233,"")</f>
        <v/>
      </c>
      <c r="S233" s="85" t="str">
        <f ca="1">IF(N233 = "VENCIDO",BD!$G233,"")</f>
        <v/>
      </c>
      <c r="T233" s="83" t="str">
        <f ca="1">IF(AND(TODAY()&gt;BD!$C233, OR(BD!$D233="PENDENTE", BD!$D233="")), TODAY()-BD!$C233, "")</f>
        <v/>
      </c>
    </row>
    <row r="234" spans="1:20" ht="14.25" customHeight="1" x14ac:dyDescent="0.35">
      <c r="A234" s="32"/>
      <c r="B234" s="82">
        <f>'ABR-26'!A13</f>
        <v>0</v>
      </c>
      <c r="C234" s="82">
        <f>'ABR-26'!B13</f>
        <v>0</v>
      </c>
      <c r="D234" s="82">
        <f>'ABR-26'!C13</f>
        <v>0</v>
      </c>
      <c r="E234" s="83">
        <f>'ABR-26'!D13</f>
        <v>0</v>
      </c>
      <c r="F234" s="84">
        <f>'ABR-26'!E13</f>
        <v>0</v>
      </c>
      <c r="G234" s="85">
        <f>'ABR-26'!F13</f>
        <v>0</v>
      </c>
      <c r="H234" s="85">
        <f t="shared" si="0"/>
        <v>0</v>
      </c>
      <c r="I234" s="83" t="s">
        <v>98</v>
      </c>
      <c r="J234" s="83" t="str">
        <f t="shared" si="1"/>
        <v/>
      </c>
      <c r="K234" s="85">
        <f t="shared" si="2"/>
        <v>0</v>
      </c>
      <c r="L234" s="83" t="str">
        <f t="shared" si="3"/>
        <v/>
      </c>
      <c r="M234" s="83">
        <f>'ABR-26'!H13</f>
        <v>0</v>
      </c>
      <c r="N234" s="92" t="str">
        <f ca="1">IF(BD!$C234="","",IF(AND(TODAY()&gt;BD!$C234,OR(BD!$D234="PENDENTE",BD!$D234="")),"VENCIDO",""))</f>
        <v/>
      </c>
      <c r="O234" s="82" t="str">
        <f ca="1">IF(N234 = "VENCIDO",BD!$B234,"")</f>
        <v/>
      </c>
      <c r="P234" s="82" t="str">
        <f ca="1">IF(N234 = "VENCIDO",BD!$C234,"")</f>
        <v/>
      </c>
      <c r="Q234" s="83" t="str">
        <f ca="1">IF(N234 = "VENCIDO",BD!$E234,"")</f>
        <v/>
      </c>
      <c r="R234" s="83" t="str">
        <f ca="1">IF(N234 = "VENCIDO",BD!$F234,"")</f>
        <v/>
      </c>
      <c r="S234" s="85" t="str">
        <f ca="1">IF(N234 = "VENCIDO",BD!$G234,"")</f>
        <v/>
      </c>
      <c r="T234" s="83" t="str">
        <f ca="1">IF(AND(TODAY()&gt;BD!$C234, OR(BD!$D234="PENDENTE", BD!$D234="")), TODAY()-BD!$C234, "")</f>
        <v/>
      </c>
    </row>
    <row r="235" spans="1:20" ht="14.25" customHeight="1" x14ac:dyDescent="0.35">
      <c r="A235" s="32"/>
      <c r="B235" s="82">
        <f>'ABR-26'!A14</f>
        <v>0</v>
      </c>
      <c r="C235" s="82">
        <f>'ABR-26'!B14</f>
        <v>0</v>
      </c>
      <c r="D235" s="82">
        <f>'ABR-26'!C14</f>
        <v>0</v>
      </c>
      <c r="E235" s="83">
        <f>'ABR-26'!D14</f>
        <v>0</v>
      </c>
      <c r="F235" s="84">
        <f>'ABR-26'!E14</f>
        <v>0</v>
      </c>
      <c r="G235" s="85">
        <f>'ABR-26'!F14</f>
        <v>0</v>
      </c>
      <c r="H235" s="85">
        <f t="shared" si="0"/>
        <v>0</v>
      </c>
      <c r="I235" s="83" t="s">
        <v>98</v>
      </c>
      <c r="J235" s="83" t="str">
        <f t="shared" si="1"/>
        <v/>
      </c>
      <c r="K235" s="85">
        <f t="shared" si="2"/>
        <v>0</v>
      </c>
      <c r="L235" s="83" t="str">
        <f t="shared" si="3"/>
        <v/>
      </c>
      <c r="M235" s="83">
        <f>'ABR-26'!H14</f>
        <v>0</v>
      </c>
      <c r="N235" s="92" t="str">
        <f ca="1">IF(BD!$C235="","",IF(AND(TODAY()&gt;BD!$C235,OR(BD!$D235="PENDENTE",BD!$D235="")),"VENCIDO",""))</f>
        <v/>
      </c>
      <c r="O235" s="82" t="str">
        <f ca="1">IF(N235 = "VENCIDO",BD!$B235,"")</f>
        <v/>
      </c>
      <c r="P235" s="82" t="str">
        <f ca="1">IF(N235 = "VENCIDO",BD!$C235,"")</f>
        <v/>
      </c>
      <c r="Q235" s="83" t="str">
        <f ca="1">IF(N235 = "VENCIDO",BD!$E235,"")</f>
        <v/>
      </c>
      <c r="R235" s="83" t="str">
        <f ca="1">IF(N235 = "VENCIDO",BD!$F235,"")</f>
        <v/>
      </c>
      <c r="S235" s="85" t="str">
        <f ca="1">IF(N235 = "VENCIDO",BD!$G235,"")</f>
        <v/>
      </c>
      <c r="T235" s="83" t="str">
        <f ca="1">IF(AND(TODAY()&gt;BD!$C235, OR(BD!$D235="PENDENTE", BD!$D235="")), TODAY()-BD!$C235, "")</f>
        <v/>
      </c>
    </row>
    <row r="236" spans="1:20" ht="14.25" customHeight="1" x14ac:dyDescent="0.35">
      <c r="A236" s="32"/>
      <c r="B236" s="82">
        <f>'ABR-26'!A15</f>
        <v>0</v>
      </c>
      <c r="C236" s="82">
        <f>'ABR-26'!B15</f>
        <v>0</v>
      </c>
      <c r="D236" s="82">
        <f>'ABR-26'!C15</f>
        <v>0</v>
      </c>
      <c r="E236" s="83">
        <f>'ABR-26'!D15</f>
        <v>0</v>
      </c>
      <c r="F236" s="84">
        <f>'ABR-26'!E15</f>
        <v>0</v>
      </c>
      <c r="G236" s="85">
        <f>'ABR-26'!F15</f>
        <v>0</v>
      </c>
      <c r="H236" s="85">
        <f t="shared" si="0"/>
        <v>0</v>
      </c>
      <c r="I236" s="83" t="s">
        <v>98</v>
      </c>
      <c r="J236" s="83" t="str">
        <f t="shared" si="1"/>
        <v/>
      </c>
      <c r="K236" s="85">
        <f t="shared" si="2"/>
        <v>0</v>
      </c>
      <c r="L236" s="83" t="str">
        <f t="shared" si="3"/>
        <v/>
      </c>
      <c r="M236" s="83">
        <f>'ABR-26'!H15</f>
        <v>0</v>
      </c>
      <c r="N236" s="92" t="str">
        <f ca="1">IF(BD!$C236="","",IF(AND(TODAY()&gt;BD!$C236,OR(BD!$D236="PENDENTE",BD!$D236="")),"VENCIDO",""))</f>
        <v/>
      </c>
      <c r="O236" s="82" t="str">
        <f ca="1">IF(N236 = "VENCIDO",BD!$B236,"")</f>
        <v/>
      </c>
      <c r="P236" s="82" t="str">
        <f ca="1">IF(N236 = "VENCIDO",BD!$C236,"")</f>
        <v/>
      </c>
      <c r="Q236" s="83" t="str">
        <f ca="1">IF(N236 = "VENCIDO",BD!$E236,"")</f>
        <v/>
      </c>
      <c r="R236" s="83" t="str">
        <f ca="1">IF(N236 = "VENCIDO",BD!$F236,"")</f>
        <v/>
      </c>
      <c r="S236" s="85" t="str">
        <f ca="1">IF(N236 = "VENCIDO",BD!$G236,"")</f>
        <v/>
      </c>
      <c r="T236" s="83" t="str">
        <f ca="1">IF(AND(TODAY()&gt;BD!$C236, OR(BD!$D236="PENDENTE", BD!$D236="")), TODAY()-BD!$C236, "")</f>
        <v/>
      </c>
    </row>
    <row r="237" spans="1:20" ht="14.25" customHeight="1" x14ac:dyDescent="0.35">
      <c r="A237" s="32"/>
      <c r="B237" s="82">
        <f>'ABR-26'!A16</f>
        <v>0</v>
      </c>
      <c r="C237" s="82">
        <f>'ABR-26'!B16</f>
        <v>0</v>
      </c>
      <c r="D237" s="82">
        <f>'ABR-26'!C16</f>
        <v>0</v>
      </c>
      <c r="E237" s="83">
        <f>'ABR-26'!D16</f>
        <v>0</v>
      </c>
      <c r="F237" s="84">
        <f>'ABR-26'!E16</f>
        <v>0</v>
      </c>
      <c r="G237" s="85">
        <f>'ABR-26'!F16</f>
        <v>0</v>
      </c>
      <c r="H237" s="85">
        <f t="shared" si="0"/>
        <v>0</v>
      </c>
      <c r="I237" s="83" t="s">
        <v>98</v>
      </c>
      <c r="J237" s="83" t="str">
        <f t="shared" si="1"/>
        <v/>
      </c>
      <c r="K237" s="85">
        <f t="shared" si="2"/>
        <v>0</v>
      </c>
      <c r="L237" s="83" t="str">
        <f t="shared" si="3"/>
        <v/>
      </c>
      <c r="M237" s="83">
        <f>'ABR-26'!H16</f>
        <v>0</v>
      </c>
      <c r="N237" s="92" t="str">
        <f ca="1">IF(BD!$C237="","",IF(AND(TODAY()&gt;BD!$C237,OR(BD!$D237="PENDENTE",BD!$D237="")),"VENCIDO",""))</f>
        <v/>
      </c>
      <c r="O237" s="82" t="str">
        <f ca="1">IF(N237 = "VENCIDO",BD!$B237,"")</f>
        <v/>
      </c>
      <c r="P237" s="82" t="str">
        <f ca="1">IF(N237 = "VENCIDO",BD!$C237,"")</f>
        <v/>
      </c>
      <c r="Q237" s="83" t="str">
        <f ca="1">IF(N237 = "VENCIDO",BD!$E237,"")</f>
        <v/>
      </c>
      <c r="R237" s="83" t="str">
        <f ca="1">IF(N237 = "VENCIDO",BD!$F237,"")</f>
        <v/>
      </c>
      <c r="S237" s="85" t="str">
        <f ca="1">IF(N237 = "VENCIDO",BD!$G237,"")</f>
        <v/>
      </c>
      <c r="T237" s="83" t="str">
        <f ca="1">IF(AND(TODAY()&gt;BD!$C237, OR(BD!$D237="PENDENTE", BD!$D237="")), TODAY()-BD!$C237, "")</f>
        <v/>
      </c>
    </row>
    <row r="238" spans="1:20" ht="14.25" customHeight="1" x14ac:dyDescent="0.35">
      <c r="A238" s="32"/>
      <c r="B238" s="82">
        <f>'ABR-26'!A17</f>
        <v>0</v>
      </c>
      <c r="C238" s="82">
        <f>'ABR-26'!B17</f>
        <v>0</v>
      </c>
      <c r="D238" s="82">
        <f>'ABR-26'!C17</f>
        <v>0</v>
      </c>
      <c r="E238" s="83">
        <f>'ABR-26'!D17</f>
        <v>0</v>
      </c>
      <c r="F238" s="84">
        <f>'ABR-26'!E17</f>
        <v>0</v>
      </c>
      <c r="G238" s="85">
        <f>'ABR-26'!F17</f>
        <v>0</v>
      </c>
      <c r="H238" s="85">
        <f t="shared" si="0"/>
        <v>0</v>
      </c>
      <c r="I238" s="83" t="s">
        <v>98</v>
      </c>
      <c r="J238" s="83" t="str">
        <f t="shared" si="1"/>
        <v/>
      </c>
      <c r="K238" s="85">
        <f t="shared" si="2"/>
        <v>0</v>
      </c>
      <c r="L238" s="83" t="str">
        <f t="shared" si="3"/>
        <v/>
      </c>
      <c r="M238" s="83">
        <f>'ABR-26'!H17</f>
        <v>0</v>
      </c>
      <c r="N238" s="92" t="str">
        <f ca="1">IF(BD!$C238="","",IF(AND(TODAY()&gt;BD!$C238,OR(BD!$D238="PENDENTE",BD!$D238="")),"VENCIDO",""))</f>
        <v/>
      </c>
      <c r="O238" s="82" t="str">
        <f ca="1">IF(N238 = "VENCIDO",BD!$B238,"")</f>
        <v/>
      </c>
      <c r="P238" s="82" t="str">
        <f ca="1">IF(N238 = "VENCIDO",BD!$C238,"")</f>
        <v/>
      </c>
      <c r="Q238" s="83" t="str">
        <f ca="1">IF(N238 = "VENCIDO",BD!$E238,"")</f>
        <v/>
      </c>
      <c r="R238" s="83" t="str">
        <f ca="1">IF(N238 = "VENCIDO",BD!$F238,"")</f>
        <v/>
      </c>
      <c r="S238" s="85" t="str">
        <f ca="1">IF(N238 = "VENCIDO",BD!$G238,"")</f>
        <v/>
      </c>
      <c r="T238" s="83" t="str">
        <f ca="1">IF(AND(TODAY()&gt;BD!$C238, OR(BD!$D238="PENDENTE", BD!$D238="")), TODAY()-BD!$C238, "")</f>
        <v/>
      </c>
    </row>
    <row r="239" spans="1:20" ht="14.25" customHeight="1" x14ac:dyDescent="0.35">
      <c r="A239" s="32"/>
      <c r="B239" s="82">
        <f>'ABR-26'!A18</f>
        <v>0</v>
      </c>
      <c r="C239" s="82">
        <f>'ABR-26'!B18</f>
        <v>0</v>
      </c>
      <c r="D239" s="82">
        <f>'ABR-26'!C18</f>
        <v>0</v>
      </c>
      <c r="E239" s="83">
        <f>'ABR-26'!D18</f>
        <v>0</v>
      </c>
      <c r="F239" s="84">
        <f>'ABR-26'!E18</f>
        <v>0</v>
      </c>
      <c r="G239" s="85">
        <f>'ABR-26'!F18</f>
        <v>0</v>
      </c>
      <c r="H239" s="85">
        <f t="shared" si="0"/>
        <v>0</v>
      </c>
      <c r="I239" s="83" t="s">
        <v>98</v>
      </c>
      <c r="J239" s="83" t="str">
        <f t="shared" si="1"/>
        <v/>
      </c>
      <c r="K239" s="85">
        <f t="shared" si="2"/>
        <v>0</v>
      </c>
      <c r="L239" s="83" t="str">
        <f t="shared" si="3"/>
        <v/>
      </c>
      <c r="M239" s="83">
        <f>'ABR-26'!H18</f>
        <v>0</v>
      </c>
      <c r="N239" s="92" t="str">
        <f ca="1">IF(BD!$C239="","",IF(AND(TODAY()&gt;BD!$C239,OR(BD!$D239="PENDENTE",BD!$D239="")),"VENCIDO",""))</f>
        <v/>
      </c>
      <c r="O239" s="82" t="str">
        <f ca="1">IF(N239 = "VENCIDO",BD!$B239,"")</f>
        <v/>
      </c>
      <c r="P239" s="82" t="str">
        <f ca="1">IF(N239 = "VENCIDO",BD!$C239,"")</f>
        <v/>
      </c>
      <c r="Q239" s="83" t="str">
        <f ca="1">IF(N239 = "VENCIDO",BD!$E239,"")</f>
        <v/>
      </c>
      <c r="R239" s="83" t="str">
        <f ca="1">IF(N239 = "VENCIDO",BD!$F239,"")</f>
        <v/>
      </c>
      <c r="S239" s="85" t="str">
        <f ca="1">IF(N239 = "VENCIDO",BD!$G239,"")</f>
        <v/>
      </c>
      <c r="T239" s="83" t="str">
        <f ca="1">IF(AND(TODAY()&gt;BD!$C239, OR(BD!$D239="PENDENTE", BD!$D239="")), TODAY()-BD!$C239, "")</f>
        <v/>
      </c>
    </row>
    <row r="240" spans="1:20" ht="14.25" customHeight="1" x14ac:dyDescent="0.35">
      <c r="A240" s="32"/>
      <c r="B240" s="82">
        <f>'ABR-26'!A19</f>
        <v>0</v>
      </c>
      <c r="C240" s="82">
        <f>'ABR-26'!B19</f>
        <v>0</v>
      </c>
      <c r="D240" s="82">
        <f>'ABR-26'!C19</f>
        <v>0</v>
      </c>
      <c r="E240" s="83">
        <f>'ABR-26'!D19</f>
        <v>0</v>
      </c>
      <c r="F240" s="84">
        <f>'ABR-26'!E19</f>
        <v>0</v>
      </c>
      <c r="G240" s="85">
        <f>'ABR-26'!F19</f>
        <v>0</v>
      </c>
      <c r="H240" s="85">
        <f t="shared" si="0"/>
        <v>0</v>
      </c>
      <c r="I240" s="83" t="s">
        <v>98</v>
      </c>
      <c r="J240" s="83" t="str">
        <f t="shared" si="1"/>
        <v/>
      </c>
      <c r="K240" s="85">
        <f t="shared" si="2"/>
        <v>0</v>
      </c>
      <c r="L240" s="83" t="str">
        <f t="shared" si="3"/>
        <v/>
      </c>
      <c r="M240" s="83">
        <f>'ABR-26'!H19</f>
        <v>0</v>
      </c>
      <c r="N240" s="92" t="str">
        <f ca="1">IF(BD!$C240="","",IF(AND(TODAY()&gt;BD!$C240,OR(BD!$D240="PENDENTE",BD!$D240="")),"VENCIDO",""))</f>
        <v/>
      </c>
      <c r="O240" s="82" t="str">
        <f ca="1">IF(N240 = "VENCIDO",BD!$B240,"")</f>
        <v/>
      </c>
      <c r="P240" s="82" t="str">
        <f ca="1">IF(N240 = "VENCIDO",BD!$C240,"")</f>
        <v/>
      </c>
      <c r="Q240" s="83" t="str">
        <f ca="1">IF(N240 = "VENCIDO",BD!$E240,"")</f>
        <v/>
      </c>
      <c r="R240" s="83" t="str">
        <f ca="1">IF(N240 = "VENCIDO",BD!$F240,"")</f>
        <v/>
      </c>
      <c r="S240" s="85" t="str">
        <f ca="1">IF(N240 = "VENCIDO",BD!$G240,"")</f>
        <v/>
      </c>
      <c r="T240" s="83" t="str">
        <f ca="1">IF(AND(TODAY()&gt;BD!$C240, OR(BD!$D240="PENDENTE", BD!$D240="")), TODAY()-BD!$C240, "")</f>
        <v/>
      </c>
    </row>
    <row r="241" spans="1:20" ht="14.25" customHeight="1" x14ac:dyDescent="0.35">
      <c r="A241" s="32"/>
      <c r="B241" s="82">
        <f>'ABR-26'!A20</f>
        <v>0</v>
      </c>
      <c r="C241" s="82">
        <f>'ABR-26'!B20</f>
        <v>0</v>
      </c>
      <c r="D241" s="82">
        <f>'ABR-26'!C20</f>
        <v>0</v>
      </c>
      <c r="E241" s="83">
        <f>'ABR-26'!D20</f>
        <v>0</v>
      </c>
      <c r="F241" s="84">
        <f>'ABR-26'!E20</f>
        <v>0</v>
      </c>
      <c r="G241" s="85">
        <f>'ABR-26'!F20</f>
        <v>0</v>
      </c>
      <c r="H241" s="85">
        <f t="shared" si="0"/>
        <v>0</v>
      </c>
      <c r="I241" s="83" t="s">
        <v>98</v>
      </c>
      <c r="J241" s="83" t="str">
        <f t="shared" si="1"/>
        <v/>
      </c>
      <c r="K241" s="85">
        <f t="shared" si="2"/>
        <v>0</v>
      </c>
      <c r="L241" s="83" t="str">
        <f t="shared" si="3"/>
        <v/>
      </c>
      <c r="M241" s="83">
        <f>'ABR-26'!H20</f>
        <v>0</v>
      </c>
      <c r="N241" s="92" t="str">
        <f ca="1">IF(BD!$C241="","",IF(AND(TODAY()&gt;BD!$C241,OR(BD!$D241="PENDENTE",BD!$D241="")),"VENCIDO",""))</f>
        <v/>
      </c>
      <c r="O241" s="82" t="str">
        <f ca="1">IF(N241 = "VENCIDO",BD!$B241,"")</f>
        <v/>
      </c>
      <c r="P241" s="82" t="str">
        <f ca="1">IF(N241 = "VENCIDO",BD!$C241,"")</f>
        <v/>
      </c>
      <c r="Q241" s="83" t="str">
        <f ca="1">IF(N241 = "VENCIDO",BD!$E241,"")</f>
        <v/>
      </c>
      <c r="R241" s="83" t="str">
        <f ca="1">IF(N241 = "VENCIDO",BD!$F241,"")</f>
        <v/>
      </c>
      <c r="S241" s="85" t="str">
        <f ca="1">IF(N241 = "VENCIDO",BD!$G241,"")</f>
        <v/>
      </c>
      <c r="T241" s="83" t="str">
        <f ca="1">IF(AND(TODAY()&gt;BD!$C241, OR(BD!$D241="PENDENTE", BD!$D241="")), TODAY()-BD!$C241, "")</f>
        <v/>
      </c>
    </row>
    <row r="242" spans="1:20" ht="14.25" customHeight="1" x14ac:dyDescent="0.35">
      <c r="A242" s="32"/>
      <c r="B242" s="82">
        <f>'ABR-26'!A21</f>
        <v>0</v>
      </c>
      <c r="C242" s="82">
        <f>'ABR-26'!B21</f>
        <v>0</v>
      </c>
      <c r="D242" s="82">
        <f>'ABR-26'!C21</f>
        <v>0</v>
      </c>
      <c r="E242" s="83">
        <f>'ABR-26'!D21</f>
        <v>0</v>
      </c>
      <c r="F242" s="84">
        <f>'ABR-26'!E21</f>
        <v>0</v>
      </c>
      <c r="G242" s="85">
        <f>'ABR-26'!F21</f>
        <v>0</v>
      </c>
      <c r="H242" s="85">
        <f t="shared" si="0"/>
        <v>0</v>
      </c>
      <c r="I242" s="83" t="s">
        <v>98</v>
      </c>
      <c r="J242" s="83" t="str">
        <f t="shared" si="1"/>
        <v/>
      </c>
      <c r="K242" s="85">
        <f t="shared" si="2"/>
        <v>0</v>
      </c>
      <c r="L242" s="83" t="str">
        <f t="shared" si="3"/>
        <v/>
      </c>
      <c r="M242" s="83">
        <f>'ABR-26'!H21</f>
        <v>0</v>
      </c>
      <c r="N242" s="92" t="str">
        <f ca="1">IF(BD!$C242="","",IF(AND(TODAY()&gt;BD!$C242,OR(BD!$D242="PENDENTE",BD!$D242="")),"VENCIDO",""))</f>
        <v/>
      </c>
      <c r="O242" s="82" t="str">
        <f ca="1">IF(N242 = "VENCIDO",BD!$B242,"")</f>
        <v/>
      </c>
      <c r="P242" s="82" t="str">
        <f ca="1">IF(N242 = "VENCIDO",BD!$C242,"")</f>
        <v/>
      </c>
      <c r="Q242" s="83" t="str">
        <f ca="1">IF(N242 = "VENCIDO",BD!$E242,"")</f>
        <v/>
      </c>
      <c r="R242" s="83" t="str">
        <f ca="1">IF(N242 = "VENCIDO",BD!$F242,"")</f>
        <v/>
      </c>
      <c r="S242" s="85" t="str">
        <f ca="1">IF(N242 = "VENCIDO",BD!$G242,"")</f>
        <v/>
      </c>
      <c r="T242" s="83" t="str">
        <f ca="1">IF(AND(TODAY()&gt;BD!$C242, OR(BD!$D242="PENDENTE", BD!$D242="")), TODAY()-BD!$C242, "")</f>
        <v/>
      </c>
    </row>
    <row r="243" spans="1:20" ht="14.25" customHeight="1" x14ac:dyDescent="0.35">
      <c r="A243" s="32"/>
      <c r="B243" s="82">
        <f>'ABR-26'!A22</f>
        <v>0</v>
      </c>
      <c r="C243" s="82">
        <f>'ABR-26'!B22</f>
        <v>0</v>
      </c>
      <c r="D243" s="82">
        <f>'ABR-26'!C22</f>
        <v>0</v>
      </c>
      <c r="E243" s="83">
        <f>'ABR-26'!D22</f>
        <v>0</v>
      </c>
      <c r="F243" s="84">
        <f>'ABR-26'!E22</f>
        <v>0</v>
      </c>
      <c r="G243" s="85">
        <f>'ABR-26'!F22</f>
        <v>0</v>
      </c>
      <c r="H243" s="85">
        <f t="shared" si="0"/>
        <v>0</v>
      </c>
      <c r="I243" s="83" t="s">
        <v>98</v>
      </c>
      <c r="J243" s="83" t="str">
        <f t="shared" si="1"/>
        <v/>
      </c>
      <c r="K243" s="85">
        <f t="shared" si="2"/>
        <v>0</v>
      </c>
      <c r="L243" s="83" t="str">
        <f t="shared" si="3"/>
        <v/>
      </c>
      <c r="M243" s="83">
        <f>'ABR-26'!H22</f>
        <v>0</v>
      </c>
      <c r="N243" s="92" t="str">
        <f ca="1">IF(BD!$C243="","",IF(AND(TODAY()&gt;BD!$C243,OR(BD!$D243="PENDENTE",BD!$D243="")),"VENCIDO",""))</f>
        <v/>
      </c>
      <c r="O243" s="82" t="str">
        <f ca="1">IF(N243 = "VENCIDO",BD!$B243,"")</f>
        <v/>
      </c>
      <c r="P243" s="82" t="str">
        <f ca="1">IF(N243 = "VENCIDO",BD!$C243,"")</f>
        <v/>
      </c>
      <c r="Q243" s="83" t="str">
        <f ca="1">IF(N243 = "VENCIDO",BD!$E243,"")</f>
        <v/>
      </c>
      <c r="R243" s="83" t="str">
        <f ca="1">IF(N243 = "VENCIDO",BD!$F243,"")</f>
        <v/>
      </c>
      <c r="S243" s="85" t="str">
        <f ca="1">IF(N243 = "VENCIDO",BD!$G243,"")</f>
        <v/>
      </c>
      <c r="T243" s="83" t="str">
        <f ca="1">IF(AND(TODAY()&gt;BD!$C243, OR(BD!$D243="PENDENTE", BD!$D243="")), TODAY()-BD!$C243, "")</f>
        <v/>
      </c>
    </row>
    <row r="244" spans="1:20" ht="14.25" customHeight="1" x14ac:dyDescent="0.35">
      <c r="A244" s="32"/>
      <c r="B244" s="82">
        <f>'ABR-26'!A23</f>
        <v>0</v>
      </c>
      <c r="C244" s="82">
        <f>'ABR-26'!B23</f>
        <v>0</v>
      </c>
      <c r="D244" s="82">
        <f>'ABR-26'!C23</f>
        <v>0</v>
      </c>
      <c r="E244" s="83">
        <f>'ABR-26'!D23</f>
        <v>0</v>
      </c>
      <c r="F244" s="84">
        <f>'ABR-26'!E23</f>
        <v>0</v>
      </c>
      <c r="G244" s="85">
        <f>'ABR-26'!F23</f>
        <v>0</v>
      </c>
      <c r="H244" s="85">
        <f t="shared" si="0"/>
        <v>0</v>
      </c>
      <c r="I244" s="83" t="s">
        <v>98</v>
      </c>
      <c r="J244" s="83" t="str">
        <f t="shared" si="1"/>
        <v/>
      </c>
      <c r="K244" s="85">
        <f t="shared" si="2"/>
        <v>0</v>
      </c>
      <c r="L244" s="83" t="str">
        <f t="shared" si="3"/>
        <v/>
      </c>
      <c r="M244" s="83">
        <f>'ABR-26'!H23</f>
        <v>0</v>
      </c>
      <c r="N244" s="92" t="str">
        <f ca="1">IF(BD!$C244="","",IF(AND(TODAY()&gt;BD!$C244,OR(BD!$D244="PENDENTE",BD!$D244="")),"VENCIDO",""))</f>
        <v/>
      </c>
      <c r="O244" s="82" t="str">
        <f ca="1">IF(N244 = "VENCIDO",BD!$B244,"")</f>
        <v/>
      </c>
      <c r="P244" s="82" t="str">
        <f ca="1">IF(N244 = "VENCIDO",BD!$C244,"")</f>
        <v/>
      </c>
      <c r="Q244" s="83" t="str">
        <f ca="1">IF(N244 = "VENCIDO",BD!$E244,"")</f>
        <v/>
      </c>
      <c r="R244" s="83" t="str">
        <f ca="1">IF(N244 = "VENCIDO",BD!$F244,"")</f>
        <v/>
      </c>
      <c r="S244" s="85" t="str">
        <f ca="1">IF(N244 = "VENCIDO",BD!$G244,"")</f>
        <v/>
      </c>
      <c r="T244" s="83" t="str">
        <f ca="1">IF(AND(TODAY()&gt;BD!$C244, OR(BD!$D244="PENDENTE", BD!$D244="")), TODAY()-BD!$C244, "")</f>
        <v/>
      </c>
    </row>
    <row r="245" spans="1:20" ht="14.25" customHeight="1" x14ac:dyDescent="0.35">
      <c r="A245" s="32"/>
      <c r="B245" s="82">
        <f>'ABR-26'!A24</f>
        <v>0</v>
      </c>
      <c r="C245" s="82">
        <f>'ABR-26'!B24</f>
        <v>0</v>
      </c>
      <c r="D245" s="82">
        <f>'ABR-26'!C24</f>
        <v>0</v>
      </c>
      <c r="E245" s="83">
        <f>'ABR-26'!D24</f>
        <v>0</v>
      </c>
      <c r="F245" s="84">
        <f>'ABR-26'!E24</f>
        <v>0</v>
      </c>
      <c r="G245" s="85">
        <f>'ABR-26'!F24</f>
        <v>0</v>
      </c>
      <c r="H245" s="85">
        <f t="shared" si="0"/>
        <v>0</v>
      </c>
      <c r="I245" s="83" t="s">
        <v>98</v>
      </c>
      <c r="J245" s="83" t="str">
        <f t="shared" si="1"/>
        <v/>
      </c>
      <c r="K245" s="85">
        <f t="shared" si="2"/>
        <v>0</v>
      </c>
      <c r="L245" s="83" t="str">
        <f t="shared" si="3"/>
        <v/>
      </c>
      <c r="M245" s="83">
        <f>'ABR-26'!H24</f>
        <v>0</v>
      </c>
      <c r="N245" s="92" t="str">
        <f ca="1">IF(BD!$C245="","",IF(AND(TODAY()&gt;BD!$C245,OR(BD!$D245="PENDENTE",BD!$D245="")),"VENCIDO",""))</f>
        <v/>
      </c>
      <c r="O245" s="82" t="str">
        <f ca="1">IF(N245 = "VENCIDO",BD!$B245,"")</f>
        <v/>
      </c>
      <c r="P245" s="82" t="str">
        <f ca="1">IF(N245 = "VENCIDO",BD!$C245,"")</f>
        <v/>
      </c>
      <c r="Q245" s="83" t="str">
        <f ca="1">IF(N245 = "VENCIDO",BD!$E245,"")</f>
        <v/>
      </c>
      <c r="R245" s="83" t="str">
        <f ca="1">IF(N245 = "VENCIDO",BD!$F245,"")</f>
        <v/>
      </c>
      <c r="S245" s="85" t="str">
        <f ca="1">IF(N245 = "VENCIDO",BD!$G245,"")</f>
        <v/>
      </c>
      <c r="T245" s="83" t="str">
        <f ca="1">IF(AND(TODAY()&gt;BD!$C245, OR(BD!$D245="PENDENTE", BD!$D245="")), TODAY()-BD!$C245, "")</f>
        <v/>
      </c>
    </row>
    <row r="246" spans="1:20" ht="14.25" customHeight="1" x14ac:dyDescent="0.35">
      <c r="A246" s="32"/>
      <c r="B246" s="82">
        <f>'ABR-26'!A25</f>
        <v>0</v>
      </c>
      <c r="C246" s="82">
        <f>'ABR-26'!B25</f>
        <v>0</v>
      </c>
      <c r="D246" s="82">
        <f>'ABR-26'!C25</f>
        <v>0</v>
      </c>
      <c r="E246" s="93">
        <f>'ABR-26'!D25</f>
        <v>0</v>
      </c>
      <c r="F246" s="84">
        <f>'ABR-26'!E25</f>
        <v>0</v>
      </c>
      <c r="G246" s="85">
        <f>'ABR-26'!F25</f>
        <v>0</v>
      </c>
      <c r="H246" s="85">
        <f t="shared" si="0"/>
        <v>0</v>
      </c>
      <c r="I246" s="83" t="s">
        <v>98</v>
      </c>
      <c r="J246" s="83" t="str">
        <f t="shared" si="1"/>
        <v/>
      </c>
      <c r="K246" s="85">
        <f t="shared" si="2"/>
        <v>0</v>
      </c>
      <c r="L246" s="83" t="str">
        <f t="shared" si="3"/>
        <v/>
      </c>
      <c r="M246" s="83">
        <f>'ABR-26'!H25</f>
        <v>0</v>
      </c>
      <c r="N246" s="92" t="str">
        <f ca="1">IF(BD!$C246="","",IF(AND(TODAY()&gt;BD!$C246,OR(BD!$D246="PENDENTE",BD!$D246="")),"VENCIDO",""))</f>
        <v/>
      </c>
      <c r="O246" s="82" t="str">
        <f ca="1">IF(N246 = "VENCIDO",BD!$B246,"")</f>
        <v/>
      </c>
      <c r="P246" s="82" t="str">
        <f ca="1">IF(N246 = "VENCIDO",BD!$C246,"")</f>
        <v/>
      </c>
      <c r="Q246" s="83" t="str">
        <f ca="1">IF(N246 = "VENCIDO",BD!$E246,"")</f>
        <v/>
      </c>
      <c r="R246" s="83" t="str">
        <f ca="1">IF(N246 = "VENCIDO",BD!$F246,"")</f>
        <v/>
      </c>
      <c r="S246" s="85" t="str">
        <f ca="1">IF(N246 = "VENCIDO",BD!$G246,"")</f>
        <v/>
      </c>
      <c r="T246" s="83" t="str">
        <f ca="1">IF(AND(TODAY()&gt;BD!$C246, OR(BD!$D246="PENDENTE", BD!$D246="")), TODAY()-BD!$C246, "")</f>
        <v/>
      </c>
    </row>
    <row r="247" spans="1:20" ht="14.25" customHeight="1" x14ac:dyDescent="0.35">
      <c r="A247" s="32"/>
      <c r="B247" s="82">
        <f>'ABR-26'!A26</f>
        <v>0</v>
      </c>
      <c r="C247" s="82">
        <f>'ABR-26'!B26</f>
        <v>0</v>
      </c>
      <c r="D247" s="82">
        <f>'ABR-26'!C26</f>
        <v>0</v>
      </c>
      <c r="E247" s="83">
        <f>'ABR-26'!D26</f>
        <v>0</v>
      </c>
      <c r="F247" s="84">
        <f>'ABR-26'!E26</f>
        <v>0</v>
      </c>
      <c r="G247" s="85">
        <f>'ABR-26'!F26</f>
        <v>0</v>
      </c>
      <c r="H247" s="85">
        <f t="shared" si="0"/>
        <v>0</v>
      </c>
      <c r="I247" s="83" t="s">
        <v>98</v>
      </c>
      <c r="J247" s="83" t="str">
        <f t="shared" si="1"/>
        <v/>
      </c>
      <c r="K247" s="85">
        <f t="shared" si="2"/>
        <v>0</v>
      </c>
      <c r="L247" s="83" t="str">
        <f t="shared" si="3"/>
        <v/>
      </c>
      <c r="M247" s="83">
        <f>'ABR-26'!H26</f>
        <v>0</v>
      </c>
      <c r="N247" s="92" t="str">
        <f ca="1">IF(BD!$C247="","",IF(AND(TODAY()&gt;BD!$C247,OR(BD!$D247="PENDENTE",BD!$D247="")),"VENCIDO",""))</f>
        <v/>
      </c>
      <c r="O247" s="82" t="str">
        <f ca="1">IF(N247 = "VENCIDO",BD!$B247,"")</f>
        <v/>
      </c>
      <c r="P247" s="82" t="str">
        <f ca="1">IF(N247 = "VENCIDO",BD!$C247,"")</f>
        <v/>
      </c>
      <c r="Q247" s="83" t="str">
        <f ca="1">IF(N247 = "VENCIDO",BD!$E247,"")</f>
        <v/>
      </c>
      <c r="R247" s="83" t="str">
        <f ca="1">IF(N247 = "VENCIDO",BD!$F247,"")</f>
        <v/>
      </c>
      <c r="S247" s="85" t="str">
        <f ca="1">IF(N247 = "VENCIDO",BD!$G247,"")</f>
        <v/>
      </c>
      <c r="T247" s="83" t="str">
        <f ca="1">IF(AND(TODAY()&gt;BD!$C247, OR(BD!$D247="PENDENTE", BD!$D247="")), TODAY()-BD!$C247, "")</f>
        <v/>
      </c>
    </row>
    <row r="248" spans="1:20" ht="14.25" customHeight="1" x14ac:dyDescent="0.35">
      <c r="A248" s="32"/>
      <c r="B248" s="82">
        <f>'ABR-26'!A27</f>
        <v>0</v>
      </c>
      <c r="C248" s="82">
        <f>'ABR-26'!B27</f>
        <v>0</v>
      </c>
      <c r="D248" s="82">
        <f>'ABR-26'!C27</f>
        <v>0</v>
      </c>
      <c r="E248" s="83">
        <f>'ABR-26'!D27</f>
        <v>0</v>
      </c>
      <c r="F248" s="84">
        <f>'ABR-26'!E27</f>
        <v>0</v>
      </c>
      <c r="G248" s="85">
        <f>'ABR-26'!F27</f>
        <v>0</v>
      </c>
      <c r="H248" s="85">
        <f t="shared" si="0"/>
        <v>0</v>
      </c>
      <c r="I248" s="83" t="s">
        <v>98</v>
      </c>
      <c r="J248" s="83" t="str">
        <f t="shared" si="1"/>
        <v/>
      </c>
      <c r="K248" s="85">
        <f t="shared" si="2"/>
        <v>0</v>
      </c>
      <c r="L248" s="83" t="str">
        <f t="shared" si="3"/>
        <v/>
      </c>
      <c r="M248" s="83">
        <f>'ABR-26'!H27</f>
        <v>0</v>
      </c>
      <c r="N248" s="92" t="str">
        <f ca="1">IF(BD!$C248="","",IF(AND(TODAY()&gt;BD!$C248,OR(BD!$D248="PENDENTE",BD!$D248="")),"VENCIDO",""))</f>
        <v/>
      </c>
      <c r="O248" s="82" t="str">
        <f ca="1">IF(N248 = "VENCIDO",BD!$B248,"")</f>
        <v/>
      </c>
      <c r="P248" s="82" t="str">
        <f ca="1">IF(N248 = "VENCIDO",BD!$C248,"")</f>
        <v/>
      </c>
      <c r="Q248" s="83" t="str">
        <f ca="1">IF(N248 = "VENCIDO",BD!$E248,"")</f>
        <v/>
      </c>
      <c r="R248" s="83" t="str">
        <f ca="1">IF(N248 = "VENCIDO",BD!$F248,"")</f>
        <v/>
      </c>
      <c r="S248" s="85" t="str">
        <f ca="1">IF(N248 = "VENCIDO",BD!$G248,"")</f>
        <v/>
      </c>
      <c r="T248" s="83" t="str">
        <f ca="1">IF(AND(TODAY()&gt;BD!$C248, OR(BD!$D248="PENDENTE", BD!$D248="")), TODAY()-BD!$C248, "")</f>
        <v/>
      </c>
    </row>
    <row r="249" spans="1:20" ht="14.25" customHeight="1" x14ac:dyDescent="0.35">
      <c r="A249" s="32"/>
      <c r="B249" s="82">
        <f>'ABR-26'!A28</f>
        <v>0</v>
      </c>
      <c r="C249" s="82">
        <f>'ABR-26'!B28</f>
        <v>0</v>
      </c>
      <c r="D249" s="82">
        <f>'ABR-26'!C28</f>
        <v>0</v>
      </c>
      <c r="E249" s="83">
        <f>'ABR-26'!D28</f>
        <v>0</v>
      </c>
      <c r="F249" s="84">
        <f>'ABR-26'!E28</f>
        <v>0</v>
      </c>
      <c r="G249" s="85">
        <f>'ABR-26'!F28</f>
        <v>0</v>
      </c>
      <c r="H249" s="85">
        <f t="shared" si="0"/>
        <v>0</v>
      </c>
      <c r="I249" s="83" t="s">
        <v>98</v>
      </c>
      <c r="J249" s="83" t="str">
        <f t="shared" si="1"/>
        <v/>
      </c>
      <c r="K249" s="85">
        <f t="shared" si="2"/>
        <v>0</v>
      </c>
      <c r="L249" s="83" t="str">
        <f t="shared" si="3"/>
        <v/>
      </c>
      <c r="M249" s="83">
        <f>'ABR-26'!H28</f>
        <v>0</v>
      </c>
      <c r="N249" s="92" t="str">
        <f ca="1">IF(BD!$C249="","",IF(AND(TODAY()&gt;BD!$C249,OR(BD!$D249="PENDENTE",BD!$D249="")),"VENCIDO",""))</f>
        <v/>
      </c>
      <c r="O249" s="82" t="str">
        <f ca="1">IF(N249 = "VENCIDO",BD!$B249,"")</f>
        <v/>
      </c>
      <c r="P249" s="82" t="str">
        <f ca="1">IF(N249 = "VENCIDO",BD!$C249,"")</f>
        <v/>
      </c>
      <c r="Q249" s="83" t="str">
        <f ca="1">IF(N249 = "VENCIDO",BD!$E249,"")</f>
        <v/>
      </c>
      <c r="R249" s="83" t="str">
        <f ca="1">IF(N249 = "VENCIDO",BD!$F249,"")</f>
        <v/>
      </c>
      <c r="S249" s="85" t="str">
        <f ca="1">IF(N249 = "VENCIDO",BD!$G249,"")</f>
        <v/>
      </c>
      <c r="T249" s="83" t="str">
        <f ca="1">IF(AND(TODAY()&gt;BD!$C249, OR(BD!$D249="PENDENTE", BD!$D249="")), TODAY()-BD!$C249, "")</f>
        <v/>
      </c>
    </row>
    <row r="250" spans="1:20" ht="14.25" customHeight="1" x14ac:dyDescent="0.35">
      <c r="A250" s="32"/>
      <c r="B250" s="82">
        <f>'ABR-26'!A29</f>
        <v>0</v>
      </c>
      <c r="C250" s="82">
        <f>'ABR-26'!B29</f>
        <v>0</v>
      </c>
      <c r="D250" s="82">
        <f>'ABR-26'!C29</f>
        <v>0</v>
      </c>
      <c r="E250" s="83">
        <f>'ABR-26'!D29</f>
        <v>0</v>
      </c>
      <c r="F250" s="84">
        <f>'ABR-26'!E29</f>
        <v>0</v>
      </c>
      <c r="G250" s="85">
        <f>'ABR-26'!F29</f>
        <v>0</v>
      </c>
      <c r="H250" s="85">
        <f t="shared" si="0"/>
        <v>0</v>
      </c>
      <c r="I250" s="83" t="s">
        <v>98</v>
      </c>
      <c r="J250" s="83" t="str">
        <f t="shared" si="1"/>
        <v/>
      </c>
      <c r="K250" s="85">
        <f t="shared" si="2"/>
        <v>0</v>
      </c>
      <c r="L250" s="83" t="str">
        <f t="shared" si="3"/>
        <v/>
      </c>
      <c r="M250" s="83">
        <f>'ABR-26'!H29</f>
        <v>0</v>
      </c>
      <c r="N250" s="92" t="str">
        <f ca="1">IF(BD!$C250="","",IF(AND(TODAY()&gt;BD!$C250,OR(BD!$D250="PENDENTE",BD!$D250="")),"VENCIDO",""))</f>
        <v/>
      </c>
      <c r="O250" s="82" t="str">
        <f ca="1">IF(N250 = "VENCIDO",BD!$B250,"")</f>
        <v/>
      </c>
      <c r="P250" s="82" t="str">
        <f ca="1">IF(N250 = "VENCIDO",BD!$C250,"")</f>
        <v/>
      </c>
      <c r="Q250" s="83" t="str">
        <f ca="1">IF(N250 = "VENCIDO",BD!$E250,"")</f>
        <v/>
      </c>
      <c r="R250" s="83" t="str">
        <f ca="1">IF(N250 = "VENCIDO",BD!$F250,"")</f>
        <v/>
      </c>
      <c r="S250" s="85" t="str">
        <f ca="1">IF(N250 = "VENCIDO",BD!$G250,"")</f>
        <v/>
      </c>
      <c r="T250" s="83" t="str">
        <f ca="1">IF(AND(TODAY()&gt;BD!$C250, OR(BD!$D250="PENDENTE", BD!$D250="")), TODAY()-BD!$C250, "")</f>
        <v/>
      </c>
    </row>
    <row r="251" spans="1:20" ht="14.25" customHeight="1" x14ac:dyDescent="0.35">
      <c r="A251" s="32"/>
      <c r="B251" s="82">
        <f>'ABR-26'!A30</f>
        <v>0</v>
      </c>
      <c r="C251" s="82">
        <f>'ABR-26'!B30</f>
        <v>0</v>
      </c>
      <c r="D251" s="82">
        <f>'ABR-26'!C30</f>
        <v>0</v>
      </c>
      <c r="E251" s="83">
        <f>'ABR-26'!D30</f>
        <v>0</v>
      </c>
      <c r="F251" s="84">
        <f>'ABR-26'!E30</f>
        <v>0</v>
      </c>
      <c r="G251" s="85">
        <f>'ABR-26'!F30</f>
        <v>0</v>
      </c>
      <c r="H251" s="85">
        <f t="shared" si="0"/>
        <v>0</v>
      </c>
      <c r="I251" s="83" t="s">
        <v>98</v>
      </c>
      <c r="J251" s="83" t="str">
        <f t="shared" si="1"/>
        <v/>
      </c>
      <c r="K251" s="85">
        <f t="shared" si="2"/>
        <v>0</v>
      </c>
      <c r="L251" s="83" t="str">
        <f t="shared" si="3"/>
        <v/>
      </c>
      <c r="M251" s="83">
        <f>'ABR-26'!H30</f>
        <v>0</v>
      </c>
      <c r="N251" s="92" t="str">
        <f ca="1">IF(BD!$C251="","",IF(AND(TODAY()&gt;BD!$C251,OR(BD!$D251="PENDENTE",BD!$D251="")),"VENCIDO",""))</f>
        <v/>
      </c>
      <c r="O251" s="82" t="str">
        <f ca="1">IF(N251 = "VENCIDO",BD!$B251,"")</f>
        <v/>
      </c>
      <c r="P251" s="82" t="str">
        <f ca="1">IF(N251 = "VENCIDO",BD!$C251,"")</f>
        <v/>
      </c>
      <c r="Q251" s="83" t="str">
        <f ca="1">IF(N251 = "VENCIDO",BD!$E251,"")</f>
        <v/>
      </c>
      <c r="R251" s="83" t="str">
        <f ca="1">IF(N251 = "VENCIDO",BD!$F251,"")</f>
        <v/>
      </c>
      <c r="S251" s="85" t="str">
        <f ca="1">IF(N251 = "VENCIDO",BD!$G251,"")</f>
        <v/>
      </c>
      <c r="T251" s="83" t="str">
        <f ca="1">IF(AND(TODAY()&gt;BD!$C251, OR(BD!$D251="PENDENTE", BD!$D251="")), TODAY()-BD!$C251, "")</f>
        <v/>
      </c>
    </row>
    <row r="252" spans="1:20" ht="14.25" customHeight="1" x14ac:dyDescent="0.35">
      <c r="A252" s="32"/>
      <c r="B252" s="82">
        <f>'ABR-26'!A31</f>
        <v>0</v>
      </c>
      <c r="C252" s="82">
        <f>'ABR-26'!B31</f>
        <v>0</v>
      </c>
      <c r="D252" s="82">
        <f>'ABR-26'!C31</f>
        <v>0</v>
      </c>
      <c r="E252" s="83">
        <f>'ABR-26'!D31</f>
        <v>0</v>
      </c>
      <c r="F252" s="84">
        <f>'ABR-26'!E31</f>
        <v>0</v>
      </c>
      <c r="G252" s="85">
        <f>'ABR-26'!F31</f>
        <v>0</v>
      </c>
      <c r="H252" s="85">
        <f t="shared" si="0"/>
        <v>0</v>
      </c>
      <c r="I252" s="83" t="s">
        <v>98</v>
      </c>
      <c r="J252" s="83" t="str">
        <f t="shared" si="1"/>
        <v/>
      </c>
      <c r="K252" s="85">
        <f t="shared" si="2"/>
        <v>0</v>
      </c>
      <c r="L252" s="83" t="str">
        <f t="shared" si="3"/>
        <v/>
      </c>
      <c r="M252" s="83">
        <f>'ABR-26'!H31</f>
        <v>0</v>
      </c>
      <c r="N252" s="92" t="str">
        <f ca="1">IF(BD!$C252="","",IF(AND(TODAY()&gt;BD!$C252,OR(BD!$D252="PENDENTE",BD!$D252="")),"VENCIDO",""))</f>
        <v/>
      </c>
      <c r="O252" s="82" t="str">
        <f ca="1">IF(N252 = "VENCIDO",BD!$B252,"")</f>
        <v/>
      </c>
      <c r="P252" s="82" t="str">
        <f ca="1">IF(N252 = "VENCIDO",BD!$C252,"")</f>
        <v/>
      </c>
      <c r="Q252" s="83" t="str">
        <f ca="1">IF(N252 = "VENCIDO",BD!$E252,"")</f>
        <v/>
      </c>
      <c r="R252" s="83" t="str">
        <f ca="1">IF(N252 = "VENCIDO",BD!$F252,"")</f>
        <v/>
      </c>
      <c r="S252" s="85" t="str">
        <f ca="1">IF(N252 = "VENCIDO",BD!$G252,"")</f>
        <v/>
      </c>
      <c r="T252" s="83" t="str">
        <f ca="1">IF(AND(TODAY()&gt;BD!$C252, OR(BD!$D252="PENDENTE", BD!$D252="")), TODAY()-BD!$C252, "")</f>
        <v/>
      </c>
    </row>
    <row r="253" spans="1:20" ht="14.25" customHeight="1" x14ac:dyDescent="0.35">
      <c r="A253" s="32"/>
      <c r="B253" s="82">
        <f>'ABR-26'!A32</f>
        <v>0</v>
      </c>
      <c r="C253" s="82">
        <f>'ABR-26'!B32</f>
        <v>0</v>
      </c>
      <c r="D253" s="82">
        <f>'ABR-26'!C32</f>
        <v>0</v>
      </c>
      <c r="E253" s="83">
        <f>'ABR-26'!D32</f>
        <v>0</v>
      </c>
      <c r="F253" s="84">
        <f>'ABR-26'!E32</f>
        <v>0</v>
      </c>
      <c r="G253" s="85">
        <f>'ABR-26'!F32</f>
        <v>0</v>
      </c>
      <c r="H253" s="85">
        <f t="shared" si="0"/>
        <v>0</v>
      </c>
      <c r="I253" s="83" t="s">
        <v>98</v>
      </c>
      <c r="J253" s="83" t="str">
        <f t="shared" si="1"/>
        <v/>
      </c>
      <c r="K253" s="85">
        <f t="shared" si="2"/>
        <v>0</v>
      </c>
      <c r="L253" s="83" t="str">
        <f t="shared" si="3"/>
        <v/>
      </c>
      <c r="M253" s="83">
        <f>'ABR-26'!H32</f>
        <v>0</v>
      </c>
      <c r="N253" s="92" t="str">
        <f ca="1">IF(BD!$C253="","",IF(AND(TODAY()&gt;BD!$C253,OR(BD!$D253="PENDENTE",BD!$D253="")),"VENCIDO",""))</f>
        <v/>
      </c>
      <c r="O253" s="82" t="str">
        <f ca="1">IF(N253 = "VENCIDO",BD!$B253,"")</f>
        <v/>
      </c>
      <c r="P253" s="82" t="str">
        <f ca="1">IF(N253 = "VENCIDO",BD!$C253,"")</f>
        <v/>
      </c>
      <c r="Q253" s="83" t="str">
        <f ca="1">IF(N253 = "VENCIDO",BD!$E253,"")</f>
        <v/>
      </c>
      <c r="R253" s="83" t="str">
        <f ca="1">IF(N253 = "VENCIDO",BD!$F253,"")</f>
        <v/>
      </c>
      <c r="S253" s="85" t="str">
        <f ca="1">IF(N253 = "VENCIDO",BD!$G253,"")</f>
        <v/>
      </c>
      <c r="T253" s="83" t="str">
        <f ca="1">IF(AND(TODAY()&gt;BD!$C253, OR(BD!$D253="PENDENTE", BD!$D253="")), TODAY()-BD!$C253, "")</f>
        <v/>
      </c>
    </row>
    <row r="254" spans="1:20" ht="14.25" customHeight="1" x14ac:dyDescent="0.35">
      <c r="A254" s="32"/>
      <c r="B254" s="82">
        <f>'ABR-26'!A33</f>
        <v>0</v>
      </c>
      <c r="C254" s="82">
        <f>'ABR-26'!B33</f>
        <v>0</v>
      </c>
      <c r="D254" s="82">
        <f>'ABR-26'!C33</f>
        <v>0</v>
      </c>
      <c r="E254" s="83">
        <f>'ABR-26'!D33</f>
        <v>0</v>
      </c>
      <c r="F254" s="84">
        <f>'ABR-26'!E33</f>
        <v>0</v>
      </c>
      <c r="G254" s="85">
        <f>'ABR-26'!F33</f>
        <v>0</v>
      </c>
      <c r="H254" s="85">
        <f t="shared" si="0"/>
        <v>0</v>
      </c>
      <c r="I254" s="83" t="s">
        <v>98</v>
      </c>
      <c r="J254" s="83" t="str">
        <f t="shared" si="1"/>
        <v/>
      </c>
      <c r="K254" s="85">
        <f t="shared" si="2"/>
        <v>0</v>
      </c>
      <c r="L254" s="83" t="str">
        <f t="shared" si="3"/>
        <v/>
      </c>
      <c r="M254" s="83">
        <f>'ABR-26'!H33</f>
        <v>0</v>
      </c>
      <c r="N254" s="92" t="str">
        <f ca="1">IF(BD!$C254="","",IF(AND(TODAY()&gt;BD!$C254,OR(BD!$D254="PENDENTE",BD!$D254="")),"VENCIDO",""))</f>
        <v/>
      </c>
      <c r="O254" s="82" t="str">
        <f ca="1">IF(N254 = "VENCIDO",BD!$B254,"")</f>
        <v/>
      </c>
      <c r="P254" s="82" t="str">
        <f ca="1">IF(N254 = "VENCIDO",BD!$C254,"")</f>
        <v/>
      </c>
      <c r="Q254" s="83" t="str">
        <f ca="1">IF(N254 = "VENCIDO",BD!$E254,"")</f>
        <v/>
      </c>
      <c r="R254" s="83" t="str">
        <f ca="1">IF(N254 = "VENCIDO",BD!$F254,"")</f>
        <v/>
      </c>
      <c r="S254" s="85" t="str">
        <f ca="1">IF(N254 = "VENCIDO",BD!$G254,"")</f>
        <v/>
      </c>
      <c r="T254" s="83" t="str">
        <f ca="1">IF(AND(TODAY()&gt;BD!$C254, OR(BD!$D254="PENDENTE", BD!$D254="")), TODAY()-BD!$C254, "")</f>
        <v/>
      </c>
    </row>
    <row r="255" spans="1:20" ht="14.25" customHeight="1" x14ac:dyDescent="0.35">
      <c r="A255" s="32"/>
      <c r="B255" s="82">
        <f>'ABR-26'!A34</f>
        <v>0</v>
      </c>
      <c r="C255" s="82">
        <f>'ABR-26'!B34</f>
        <v>0</v>
      </c>
      <c r="D255" s="82">
        <f>'ABR-26'!C34</f>
        <v>0</v>
      </c>
      <c r="E255" s="83">
        <f>'ABR-26'!D34</f>
        <v>0</v>
      </c>
      <c r="F255" s="84">
        <f>'ABR-26'!E34</f>
        <v>0</v>
      </c>
      <c r="G255" s="85">
        <f>'ABR-26'!F34</f>
        <v>0</v>
      </c>
      <c r="H255" s="85">
        <f t="shared" si="0"/>
        <v>0</v>
      </c>
      <c r="I255" s="83" t="s">
        <v>98</v>
      </c>
      <c r="J255" s="83" t="str">
        <f t="shared" si="1"/>
        <v/>
      </c>
      <c r="K255" s="85">
        <f t="shared" si="2"/>
        <v>0</v>
      </c>
      <c r="L255" s="83" t="str">
        <f t="shared" si="3"/>
        <v/>
      </c>
      <c r="M255" s="83">
        <f>'ABR-26'!H34</f>
        <v>0</v>
      </c>
      <c r="N255" s="92" t="str">
        <f ca="1">IF(BD!$C255="","",IF(AND(TODAY()&gt;BD!$C255,OR(BD!$D255="PENDENTE",BD!$D255="")),"VENCIDO",""))</f>
        <v/>
      </c>
      <c r="O255" s="82" t="str">
        <f ca="1">IF(N255 = "VENCIDO",BD!$B255,"")</f>
        <v/>
      </c>
      <c r="P255" s="82" t="str">
        <f ca="1">IF(N255 = "VENCIDO",BD!$C255,"")</f>
        <v/>
      </c>
      <c r="Q255" s="83" t="str">
        <f ca="1">IF(N255 = "VENCIDO",BD!$E255,"")</f>
        <v/>
      </c>
      <c r="R255" s="83" t="str">
        <f ca="1">IF(N255 = "VENCIDO",BD!$F255,"")</f>
        <v/>
      </c>
      <c r="S255" s="85" t="str">
        <f ca="1">IF(N255 = "VENCIDO",BD!$G255,"")</f>
        <v/>
      </c>
      <c r="T255" s="83" t="str">
        <f ca="1">IF(AND(TODAY()&gt;BD!$C255, OR(BD!$D255="PENDENTE", BD!$D255="")), TODAY()-BD!$C255, "")</f>
        <v/>
      </c>
    </row>
    <row r="256" spans="1:20" ht="14.25" customHeight="1" x14ac:dyDescent="0.35">
      <c r="A256" s="32"/>
      <c r="B256" s="82">
        <f>'ABR-26'!A35</f>
        <v>0</v>
      </c>
      <c r="C256" s="82">
        <f>'ABR-26'!B35</f>
        <v>0</v>
      </c>
      <c r="D256" s="82">
        <f>'ABR-26'!C35</f>
        <v>0</v>
      </c>
      <c r="E256" s="93">
        <f>'ABR-26'!D35</f>
        <v>0</v>
      </c>
      <c r="F256" s="84">
        <f>'ABR-26'!E35</f>
        <v>0</v>
      </c>
      <c r="G256" s="85">
        <f>'ABR-26'!F35</f>
        <v>0</v>
      </c>
      <c r="H256" s="85">
        <f t="shared" si="0"/>
        <v>0</v>
      </c>
      <c r="I256" s="83" t="s">
        <v>98</v>
      </c>
      <c r="J256" s="83" t="str">
        <f t="shared" si="1"/>
        <v/>
      </c>
      <c r="K256" s="85">
        <f t="shared" si="2"/>
        <v>0</v>
      </c>
      <c r="L256" s="83" t="str">
        <f t="shared" si="3"/>
        <v/>
      </c>
      <c r="M256" s="83">
        <f>'ABR-26'!H35</f>
        <v>0</v>
      </c>
      <c r="N256" s="92" t="str">
        <f ca="1">IF(BD!$C256="","",IF(AND(TODAY()&gt;BD!$C256,OR(BD!$D256="PENDENTE",BD!$D256="")),"VENCIDO",""))</f>
        <v/>
      </c>
      <c r="O256" s="82" t="str">
        <f ca="1">IF(N256 = "VENCIDO",BD!$B256,"")</f>
        <v/>
      </c>
      <c r="P256" s="82" t="str">
        <f ca="1">IF(N256 = "VENCIDO",BD!$C256,"")</f>
        <v/>
      </c>
      <c r="Q256" s="83" t="str">
        <f ca="1">IF(N256 = "VENCIDO",BD!$E256,"")</f>
        <v/>
      </c>
      <c r="R256" s="83" t="str">
        <f ca="1">IF(N256 = "VENCIDO",BD!$F256,"")</f>
        <v/>
      </c>
      <c r="S256" s="85" t="str">
        <f ca="1">IF(N256 = "VENCIDO",BD!$G256,"")</f>
        <v/>
      </c>
      <c r="T256" s="83" t="str">
        <f ca="1">IF(AND(TODAY()&gt;BD!$C256, OR(BD!$D256="PENDENTE", BD!$D256="")), TODAY()-BD!$C256, "")</f>
        <v/>
      </c>
    </row>
    <row r="257" spans="1:20" ht="14.25" customHeight="1" x14ac:dyDescent="0.35">
      <c r="A257" s="32"/>
      <c r="B257" s="82">
        <f>'ABR-26'!A36</f>
        <v>0</v>
      </c>
      <c r="C257" s="82">
        <f>'ABR-26'!B36</f>
        <v>0</v>
      </c>
      <c r="D257" s="82">
        <f>'ABR-26'!C36</f>
        <v>0</v>
      </c>
      <c r="E257" s="93">
        <f>'ABR-26'!D36</f>
        <v>0</v>
      </c>
      <c r="F257" s="84">
        <f>'ABR-26'!E36</f>
        <v>0</v>
      </c>
      <c r="G257" s="85">
        <f>'ABR-26'!F36</f>
        <v>0</v>
      </c>
      <c r="H257" s="85">
        <f t="shared" si="0"/>
        <v>0</v>
      </c>
      <c r="I257" s="83" t="s">
        <v>98</v>
      </c>
      <c r="J257" s="83" t="str">
        <f t="shared" si="1"/>
        <v/>
      </c>
      <c r="K257" s="85">
        <f t="shared" si="2"/>
        <v>0</v>
      </c>
      <c r="L257" s="83" t="str">
        <f t="shared" si="3"/>
        <v/>
      </c>
      <c r="M257" s="83">
        <f>'ABR-26'!H36</f>
        <v>0</v>
      </c>
      <c r="N257" s="92" t="str">
        <f ca="1">IF(BD!$C257="","",IF(AND(TODAY()&gt;BD!$C257,OR(BD!$D257="PENDENTE",BD!$D257="")),"VENCIDO",""))</f>
        <v/>
      </c>
      <c r="O257" s="82" t="str">
        <f ca="1">IF(N257 = "VENCIDO",BD!$B257,"")</f>
        <v/>
      </c>
      <c r="P257" s="82" t="str">
        <f ca="1">IF(N257 = "VENCIDO",BD!$C257,"")</f>
        <v/>
      </c>
      <c r="Q257" s="83" t="str">
        <f ca="1">IF(N257 = "VENCIDO",BD!$E257,"")</f>
        <v/>
      </c>
      <c r="R257" s="83" t="str">
        <f ca="1">IF(N257 = "VENCIDO",BD!$F257,"")</f>
        <v/>
      </c>
      <c r="S257" s="85" t="str">
        <f ca="1">IF(N257 = "VENCIDO",BD!$G257,"")</f>
        <v/>
      </c>
      <c r="T257" s="83" t="str">
        <f ca="1">IF(AND(TODAY()&gt;BD!$C257, OR(BD!$D257="PENDENTE", BD!$D257="")), TODAY()-BD!$C257, "")</f>
        <v/>
      </c>
    </row>
    <row r="258" spans="1:20" ht="14.25" customHeight="1" x14ac:dyDescent="0.35">
      <c r="A258" s="32"/>
      <c r="B258" s="82">
        <f>'ABR-26'!A37</f>
        <v>0</v>
      </c>
      <c r="C258" s="82">
        <f>'ABR-26'!B37</f>
        <v>0</v>
      </c>
      <c r="D258" s="82">
        <f>'ABR-26'!C37</f>
        <v>0</v>
      </c>
      <c r="E258" s="83">
        <f>'ABR-26'!D37</f>
        <v>0</v>
      </c>
      <c r="F258" s="84">
        <f>'ABR-26'!E37</f>
        <v>0</v>
      </c>
      <c r="G258" s="85">
        <f>'ABR-26'!F37</f>
        <v>0</v>
      </c>
      <c r="H258" s="85">
        <f t="shared" si="0"/>
        <v>0</v>
      </c>
      <c r="I258" s="83" t="s">
        <v>98</v>
      </c>
      <c r="J258" s="83" t="str">
        <f t="shared" si="1"/>
        <v/>
      </c>
      <c r="K258" s="85">
        <f t="shared" si="2"/>
        <v>0</v>
      </c>
      <c r="L258" s="83" t="str">
        <f t="shared" si="3"/>
        <v/>
      </c>
      <c r="M258" s="83">
        <f>'ABR-26'!H37</f>
        <v>0</v>
      </c>
      <c r="N258" s="92" t="str">
        <f ca="1">IF(BD!$C258="","",IF(AND(TODAY()&gt;BD!$C258,OR(BD!$D258="PENDENTE",BD!$D258="")),"VENCIDO",""))</f>
        <v/>
      </c>
      <c r="O258" s="82" t="str">
        <f ca="1">IF(N258 = "VENCIDO",BD!$B258,"")</f>
        <v/>
      </c>
      <c r="P258" s="82" t="str">
        <f ca="1">IF(N258 = "VENCIDO",BD!$C258,"")</f>
        <v/>
      </c>
      <c r="Q258" s="83" t="str">
        <f ca="1">IF(N258 = "VENCIDO",BD!$E258,"")</f>
        <v/>
      </c>
      <c r="R258" s="83" t="str">
        <f ca="1">IF(N258 = "VENCIDO",BD!$F258,"")</f>
        <v/>
      </c>
      <c r="S258" s="85" t="str">
        <f ca="1">IF(N258 = "VENCIDO",BD!$G258,"")</f>
        <v/>
      </c>
      <c r="T258" s="83" t="str">
        <f ca="1">IF(AND(TODAY()&gt;BD!$C258, OR(BD!$D258="PENDENTE", BD!$D258="")), TODAY()-BD!$C258, "")</f>
        <v/>
      </c>
    </row>
    <row r="259" spans="1:20" ht="14.25" customHeight="1" x14ac:dyDescent="0.35">
      <c r="A259" s="32"/>
      <c r="B259" s="82">
        <f>'ABR-26'!A38</f>
        <v>0</v>
      </c>
      <c r="C259" s="82">
        <f>'ABR-26'!B38</f>
        <v>0</v>
      </c>
      <c r="D259" s="82">
        <f>'ABR-26'!C38</f>
        <v>0</v>
      </c>
      <c r="E259" s="83">
        <f>'ABR-26'!D38</f>
        <v>0</v>
      </c>
      <c r="F259" s="84">
        <f>'ABR-26'!E38</f>
        <v>0</v>
      </c>
      <c r="G259" s="85">
        <f>'ABR-26'!F38</f>
        <v>0</v>
      </c>
      <c r="H259" s="85">
        <f t="shared" si="0"/>
        <v>0</v>
      </c>
      <c r="I259" s="83" t="s">
        <v>98</v>
      </c>
      <c r="J259" s="83" t="str">
        <f t="shared" si="1"/>
        <v/>
      </c>
      <c r="K259" s="85">
        <f t="shared" si="2"/>
        <v>0</v>
      </c>
      <c r="L259" s="83" t="str">
        <f t="shared" si="3"/>
        <v/>
      </c>
      <c r="M259" s="83">
        <f>'ABR-26'!H38</f>
        <v>0</v>
      </c>
      <c r="N259" s="92" t="str">
        <f ca="1">IF(BD!$C259="","",IF(AND(TODAY()&gt;BD!$C259,OR(BD!$D259="PENDENTE",BD!$D259="")),"VENCIDO",""))</f>
        <v/>
      </c>
      <c r="O259" s="82" t="str">
        <f ca="1">IF(N259 = "VENCIDO",BD!$B259,"")</f>
        <v/>
      </c>
      <c r="P259" s="82" t="str">
        <f ca="1">IF(N259 = "VENCIDO",BD!$C259,"")</f>
        <v/>
      </c>
      <c r="Q259" s="83" t="str">
        <f ca="1">IF(N259 = "VENCIDO",BD!$E259,"")</f>
        <v/>
      </c>
      <c r="R259" s="83" t="str">
        <f ca="1">IF(N259 = "VENCIDO",BD!$F259,"")</f>
        <v/>
      </c>
      <c r="S259" s="85" t="str">
        <f ca="1">IF(N259 = "VENCIDO",BD!$G259,"")</f>
        <v/>
      </c>
      <c r="T259" s="83" t="str">
        <f ca="1">IF(AND(TODAY()&gt;BD!$C259, OR(BD!$D259="PENDENTE", BD!$D259="")), TODAY()-BD!$C259, "")</f>
        <v/>
      </c>
    </row>
    <row r="260" spans="1:20" ht="14.25" customHeight="1" x14ac:dyDescent="0.35">
      <c r="A260" s="32"/>
      <c r="B260" s="82">
        <f>'ABR-26'!A39</f>
        <v>0</v>
      </c>
      <c r="C260" s="82">
        <f>'ABR-26'!B39</f>
        <v>0</v>
      </c>
      <c r="D260" s="82">
        <f>'ABR-26'!C39</f>
        <v>0</v>
      </c>
      <c r="E260" s="83">
        <f>'ABR-26'!D39</f>
        <v>0</v>
      </c>
      <c r="F260" s="84">
        <f>'ABR-26'!E39</f>
        <v>0</v>
      </c>
      <c r="G260" s="85">
        <f>'ABR-26'!F39</f>
        <v>0</v>
      </c>
      <c r="H260" s="85">
        <f t="shared" si="0"/>
        <v>0</v>
      </c>
      <c r="I260" s="83" t="s">
        <v>98</v>
      </c>
      <c r="J260" s="83" t="str">
        <f t="shared" si="1"/>
        <v/>
      </c>
      <c r="K260" s="85">
        <f t="shared" si="2"/>
        <v>0</v>
      </c>
      <c r="L260" s="83" t="str">
        <f t="shared" si="3"/>
        <v/>
      </c>
      <c r="M260" s="83">
        <f>'ABR-26'!H39</f>
        <v>0</v>
      </c>
      <c r="N260" s="92" t="str">
        <f ca="1">IF(BD!$C260="","",IF(AND(TODAY()&gt;BD!$C260,OR(BD!$D260="PENDENTE",BD!$D260="")),"VENCIDO",""))</f>
        <v/>
      </c>
      <c r="O260" s="82" t="str">
        <f ca="1">IF(N260 = "VENCIDO",BD!$B260,"")</f>
        <v/>
      </c>
      <c r="P260" s="82" t="str">
        <f ca="1">IF(N260 = "VENCIDO",BD!$C260,"")</f>
        <v/>
      </c>
      <c r="Q260" s="83" t="str">
        <f ca="1">IF(N260 = "VENCIDO",BD!$E260,"")</f>
        <v/>
      </c>
      <c r="R260" s="83" t="str">
        <f ca="1">IF(N260 = "VENCIDO",BD!$F260,"")</f>
        <v/>
      </c>
      <c r="S260" s="85" t="str">
        <f ca="1">IF(N260 = "VENCIDO",BD!$G260,"")</f>
        <v/>
      </c>
      <c r="T260" s="83" t="str">
        <f ca="1">IF(AND(TODAY()&gt;BD!$C260, OR(BD!$D260="PENDENTE", BD!$D260="")), TODAY()-BD!$C260, "")</f>
        <v/>
      </c>
    </row>
    <row r="261" spans="1:20" ht="14.25" customHeight="1" x14ac:dyDescent="0.35">
      <c r="A261" s="32"/>
      <c r="B261" s="82">
        <f>'ABR-26'!A40</f>
        <v>0</v>
      </c>
      <c r="C261" s="82">
        <f>'ABR-26'!B40</f>
        <v>0</v>
      </c>
      <c r="D261" s="82">
        <f>'ABR-26'!C40</f>
        <v>0</v>
      </c>
      <c r="E261" s="83">
        <f>'ABR-26'!D40</f>
        <v>0</v>
      </c>
      <c r="F261" s="84">
        <f>'ABR-26'!E40</f>
        <v>0</v>
      </c>
      <c r="G261" s="85">
        <f>'ABR-26'!F40</f>
        <v>0</v>
      </c>
      <c r="H261" s="85">
        <f t="shared" si="0"/>
        <v>0</v>
      </c>
      <c r="I261" s="83" t="s">
        <v>98</v>
      </c>
      <c r="J261" s="83" t="str">
        <f t="shared" si="1"/>
        <v/>
      </c>
      <c r="K261" s="85">
        <f t="shared" si="2"/>
        <v>0</v>
      </c>
      <c r="L261" s="83" t="str">
        <f t="shared" si="3"/>
        <v/>
      </c>
      <c r="M261" s="83">
        <f>'ABR-26'!H40</f>
        <v>0</v>
      </c>
      <c r="N261" s="92" t="str">
        <f ca="1">IF(BD!$C261="","",IF(AND(TODAY()&gt;BD!$C261,OR(BD!$D261="PENDENTE",BD!$D261="")),"VENCIDO",""))</f>
        <v/>
      </c>
      <c r="O261" s="82" t="str">
        <f ca="1">IF(N261 = "VENCIDO",BD!$B261,"")</f>
        <v/>
      </c>
      <c r="P261" s="82" t="str">
        <f ca="1">IF(N261 = "VENCIDO",BD!$C261,"")</f>
        <v/>
      </c>
      <c r="Q261" s="83" t="str">
        <f ca="1">IF(N261 = "VENCIDO",BD!$E261,"")</f>
        <v/>
      </c>
      <c r="R261" s="83" t="str">
        <f ca="1">IF(N261 = "VENCIDO",BD!$F261,"")</f>
        <v/>
      </c>
      <c r="S261" s="85" t="str">
        <f ca="1">IF(N261 = "VENCIDO",BD!$G261,"")</f>
        <v/>
      </c>
      <c r="T261" s="83" t="str">
        <f ca="1">IF(AND(TODAY()&gt;BD!$C261, OR(BD!$D261="PENDENTE", BD!$D261="")), TODAY()-BD!$C261, "")</f>
        <v/>
      </c>
    </row>
    <row r="262" spans="1:20" ht="14.25" customHeight="1" x14ac:dyDescent="0.35">
      <c r="A262" s="32"/>
      <c r="B262" s="82">
        <f>'ABR-26'!A41</f>
        <v>0</v>
      </c>
      <c r="C262" s="82">
        <f>'ABR-26'!B41</f>
        <v>0</v>
      </c>
      <c r="D262" s="82">
        <f>'ABR-26'!C41</f>
        <v>0</v>
      </c>
      <c r="E262" s="83">
        <f>'ABR-26'!D41</f>
        <v>0</v>
      </c>
      <c r="F262" s="84">
        <f>'ABR-26'!E41</f>
        <v>0</v>
      </c>
      <c r="G262" s="85">
        <f>'ABR-26'!F41</f>
        <v>0</v>
      </c>
      <c r="H262" s="85">
        <f t="shared" si="0"/>
        <v>0</v>
      </c>
      <c r="I262" s="83" t="s">
        <v>98</v>
      </c>
      <c r="J262" s="83" t="str">
        <f t="shared" si="1"/>
        <v/>
      </c>
      <c r="K262" s="85">
        <f t="shared" si="2"/>
        <v>0</v>
      </c>
      <c r="L262" s="83" t="str">
        <f t="shared" si="3"/>
        <v/>
      </c>
      <c r="M262" s="83">
        <f>'ABR-26'!H41</f>
        <v>0</v>
      </c>
      <c r="N262" s="92" t="str">
        <f ca="1">IF(BD!$C262="","",IF(AND(TODAY()&gt;BD!$C262,OR(BD!$D262="PENDENTE",BD!$D262="")),"VENCIDO",""))</f>
        <v/>
      </c>
      <c r="O262" s="82" t="str">
        <f ca="1">IF(N262 = "VENCIDO",BD!$B262,"")</f>
        <v/>
      </c>
      <c r="P262" s="82" t="str">
        <f ca="1">IF(N262 = "VENCIDO",BD!$C262,"")</f>
        <v/>
      </c>
      <c r="Q262" s="83" t="str">
        <f ca="1">IF(N262 = "VENCIDO",BD!$E262,"")</f>
        <v/>
      </c>
      <c r="R262" s="83" t="str">
        <f ca="1">IF(N262 = "VENCIDO",BD!$F262,"")</f>
        <v/>
      </c>
      <c r="S262" s="85" t="str">
        <f ca="1">IF(N262 = "VENCIDO",BD!$G262,"")</f>
        <v/>
      </c>
      <c r="T262" s="83" t="str">
        <f ca="1">IF(AND(TODAY()&gt;BD!$C262, OR(BD!$D262="PENDENTE", BD!$D262="")), TODAY()-BD!$C262, "")</f>
        <v/>
      </c>
    </row>
    <row r="263" spans="1:20" ht="14.25" customHeight="1" x14ac:dyDescent="0.35">
      <c r="A263" s="32"/>
      <c r="B263" s="82">
        <f>'ABR-26'!A42</f>
        <v>0</v>
      </c>
      <c r="C263" s="82">
        <f>'ABR-26'!B42</f>
        <v>0</v>
      </c>
      <c r="D263" s="82">
        <f>'ABR-26'!C42</f>
        <v>0</v>
      </c>
      <c r="E263" s="83">
        <f>'ABR-26'!D42</f>
        <v>0</v>
      </c>
      <c r="F263" s="84">
        <f>'ABR-26'!E42</f>
        <v>0</v>
      </c>
      <c r="G263" s="85">
        <f>'ABR-26'!F42</f>
        <v>0</v>
      </c>
      <c r="H263" s="85">
        <f t="shared" si="0"/>
        <v>0</v>
      </c>
      <c r="I263" s="83" t="s">
        <v>98</v>
      </c>
      <c r="J263" s="83" t="str">
        <f t="shared" si="1"/>
        <v/>
      </c>
      <c r="K263" s="85">
        <f t="shared" si="2"/>
        <v>0</v>
      </c>
      <c r="L263" s="83" t="str">
        <f t="shared" si="3"/>
        <v/>
      </c>
      <c r="M263" s="83">
        <f>'ABR-26'!H42</f>
        <v>0</v>
      </c>
      <c r="N263" s="92" t="str">
        <f ca="1">IF(BD!$C263="","",IF(AND(TODAY()&gt;BD!$C263,OR(BD!$D263="PENDENTE",BD!$D263="")),"VENCIDO",""))</f>
        <v/>
      </c>
      <c r="O263" s="82" t="str">
        <f ca="1">IF(N263 = "VENCIDO",BD!$B263,"")</f>
        <v/>
      </c>
      <c r="P263" s="82" t="str">
        <f ca="1">IF(N263 = "VENCIDO",BD!$C263,"")</f>
        <v/>
      </c>
      <c r="Q263" s="83" t="str">
        <f ca="1">IF(N263 = "VENCIDO",BD!$E263,"")</f>
        <v/>
      </c>
      <c r="R263" s="83" t="str">
        <f ca="1">IF(N263 = "VENCIDO",BD!$F263,"")</f>
        <v/>
      </c>
      <c r="S263" s="85" t="str">
        <f ca="1">IF(N263 = "VENCIDO",BD!$G263,"")</f>
        <v/>
      </c>
      <c r="T263" s="83" t="str">
        <f ca="1">IF(AND(TODAY()&gt;BD!$C263, OR(BD!$D263="PENDENTE", BD!$D263="")), TODAY()-BD!$C263, "")</f>
        <v/>
      </c>
    </row>
    <row r="264" spans="1:20" ht="14.25" customHeight="1" x14ac:dyDescent="0.35">
      <c r="A264" s="32"/>
      <c r="B264" s="82">
        <f>'ABR-26'!A43</f>
        <v>0</v>
      </c>
      <c r="C264" s="82">
        <f>'ABR-26'!B43</f>
        <v>0</v>
      </c>
      <c r="D264" s="82">
        <f>'ABR-26'!C43</f>
        <v>0</v>
      </c>
      <c r="E264" s="83">
        <f>'ABR-26'!D43</f>
        <v>0</v>
      </c>
      <c r="F264" s="84">
        <f>'ABR-26'!E43</f>
        <v>0</v>
      </c>
      <c r="G264" s="85">
        <f>'ABR-26'!F43</f>
        <v>0</v>
      </c>
      <c r="H264" s="85">
        <f t="shared" si="0"/>
        <v>0</v>
      </c>
      <c r="I264" s="83" t="s">
        <v>98</v>
      </c>
      <c r="J264" s="83" t="str">
        <f t="shared" si="1"/>
        <v/>
      </c>
      <c r="K264" s="85">
        <f t="shared" si="2"/>
        <v>0</v>
      </c>
      <c r="L264" s="83" t="str">
        <f t="shared" si="3"/>
        <v/>
      </c>
      <c r="M264" s="83">
        <f>'ABR-26'!H43</f>
        <v>0</v>
      </c>
      <c r="N264" s="92" t="str">
        <f ca="1">IF(BD!$C264="","",IF(AND(TODAY()&gt;BD!$C264,OR(BD!$D264="PENDENTE",BD!$D264="")),"VENCIDO",""))</f>
        <v/>
      </c>
      <c r="O264" s="82" t="str">
        <f ca="1">IF(N264 = "VENCIDO",BD!$B264,"")</f>
        <v/>
      </c>
      <c r="P264" s="82" t="str">
        <f ca="1">IF(N264 = "VENCIDO",BD!$C264,"")</f>
        <v/>
      </c>
      <c r="Q264" s="83" t="str">
        <f ca="1">IF(N264 = "VENCIDO",BD!$E264,"")</f>
        <v/>
      </c>
      <c r="R264" s="83" t="str">
        <f ca="1">IF(N264 = "VENCIDO",BD!$F264,"")</f>
        <v/>
      </c>
      <c r="S264" s="85" t="str">
        <f ca="1">IF(N264 = "VENCIDO",BD!$G264,"")</f>
        <v/>
      </c>
      <c r="T264" s="83" t="str">
        <f ca="1">IF(AND(TODAY()&gt;BD!$C264, OR(BD!$D264="PENDENTE", BD!$D264="")), TODAY()-BD!$C264, "")</f>
        <v/>
      </c>
    </row>
    <row r="265" spans="1:20" ht="14.25" customHeight="1" x14ac:dyDescent="0.35">
      <c r="A265" s="32"/>
      <c r="B265" s="82">
        <f>'ABR-26'!A44</f>
        <v>0</v>
      </c>
      <c r="C265" s="82">
        <f>'ABR-26'!B44</f>
        <v>0</v>
      </c>
      <c r="D265" s="82">
        <f>'ABR-26'!C44</f>
        <v>0</v>
      </c>
      <c r="E265" s="83">
        <f>'ABR-26'!D44</f>
        <v>0</v>
      </c>
      <c r="F265" s="84">
        <f>'ABR-26'!E44</f>
        <v>0</v>
      </c>
      <c r="G265" s="85">
        <f>'ABR-26'!F44</f>
        <v>0</v>
      </c>
      <c r="H265" s="85">
        <f t="shared" si="0"/>
        <v>0</v>
      </c>
      <c r="I265" s="83" t="s">
        <v>98</v>
      </c>
      <c r="J265" s="83" t="str">
        <f t="shared" si="1"/>
        <v/>
      </c>
      <c r="K265" s="85">
        <f t="shared" si="2"/>
        <v>0</v>
      </c>
      <c r="L265" s="83" t="str">
        <f t="shared" si="3"/>
        <v/>
      </c>
      <c r="M265" s="83">
        <f>'ABR-26'!H44</f>
        <v>0</v>
      </c>
      <c r="N265" s="92" t="str">
        <f ca="1">IF(BD!$C265="","",IF(AND(TODAY()&gt;BD!$C265,OR(BD!$D265="PENDENTE",BD!$D265="")),"VENCIDO",""))</f>
        <v/>
      </c>
      <c r="O265" s="82" t="str">
        <f ca="1">IF(N265 = "VENCIDO",BD!$B265,"")</f>
        <v/>
      </c>
      <c r="P265" s="82" t="str">
        <f ca="1">IF(N265 = "VENCIDO",BD!$C265,"")</f>
        <v/>
      </c>
      <c r="Q265" s="83" t="str">
        <f ca="1">IF(N265 = "VENCIDO",BD!$E265,"")</f>
        <v/>
      </c>
      <c r="R265" s="83" t="str">
        <f ca="1">IF(N265 = "VENCIDO",BD!$F265,"")</f>
        <v/>
      </c>
      <c r="S265" s="85" t="str">
        <f ca="1">IF(N265 = "VENCIDO",BD!$G265,"")</f>
        <v/>
      </c>
      <c r="T265" s="83" t="str">
        <f ca="1">IF(AND(TODAY()&gt;BD!$C265, OR(BD!$D265="PENDENTE", BD!$D265="")), TODAY()-BD!$C265, "")</f>
        <v/>
      </c>
    </row>
    <row r="266" spans="1:20" ht="14.25" customHeight="1" x14ac:dyDescent="0.35">
      <c r="A266" s="32"/>
      <c r="B266" s="82">
        <f>'ABR-26'!A45</f>
        <v>0</v>
      </c>
      <c r="C266" s="82">
        <f>'ABR-26'!B45</f>
        <v>0</v>
      </c>
      <c r="D266" s="82">
        <f>'ABR-26'!C45</f>
        <v>0</v>
      </c>
      <c r="E266" s="83">
        <f>'ABR-26'!D45</f>
        <v>0</v>
      </c>
      <c r="F266" s="84">
        <f>'ABR-26'!E45</f>
        <v>0</v>
      </c>
      <c r="G266" s="85">
        <f>'ABR-26'!F45</f>
        <v>0</v>
      </c>
      <c r="H266" s="85">
        <f t="shared" si="0"/>
        <v>0</v>
      </c>
      <c r="I266" s="83" t="s">
        <v>98</v>
      </c>
      <c r="J266" s="83" t="str">
        <f t="shared" si="1"/>
        <v/>
      </c>
      <c r="K266" s="85">
        <f t="shared" si="2"/>
        <v>0</v>
      </c>
      <c r="L266" s="83" t="str">
        <f t="shared" si="3"/>
        <v/>
      </c>
      <c r="M266" s="83">
        <f>'ABR-26'!H45</f>
        <v>0</v>
      </c>
      <c r="N266" s="92" t="str">
        <f ca="1">IF(BD!$C266="","",IF(AND(TODAY()&gt;BD!$C266,OR(BD!$D266="PENDENTE",BD!$D266="")),"VENCIDO",""))</f>
        <v/>
      </c>
      <c r="O266" s="82" t="str">
        <f ca="1">IF(N266 = "VENCIDO",BD!$B266,"")</f>
        <v/>
      </c>
      <c r="P266" s="82" t="str">
        <f ca="1">IF(N266 = "VENCIDO",BD!$C266,"")</f>
        <v/>
      </c>
      <c r="Q266" s="83" t="str">
        <f ca="1">IF(N266 = "VENCIDO",BD!$E266,"")</f>
        <v/>
      </c>
      <c r="R266" s="83" t="str">
        <f ca="1">IF(N266 = "VENCIDO",BD!$F266,"")</f>
        <v/>
      </c>
      <c r="S266" s="85" t="str">
        <f ca="1">IF(N266 = "VENCIDO",BD!$G266,"")</f>
        <v/>
      </c>
      <c r="T266" s="83" t="str">
        <f ca="1">IF(AND(TODAY()&gt;BD!$C266, OR(BD!$D266="PENDENTE", BD!$D266="")), TODAY()-BD!$C266, "")</f>
        <v/>
      </c>
    </row>
    <row r="267" spans="1:20" ht="14.25" customHeight="1" x14ac:dyDescent="0.35">
      <c r="A267" s="32"/>
      <c r="B267" s="82">
        <f>'ABR-26'!A46</f>
        <v>0</v>
      </c>
      <c r="C267" s="82">
        <f>'ABR-26'!B46</f>
        <v>0</v>
      </c>
      <c r="D267" s="82">
        <f>'ABR-26'!C46</f>
        <v>0</v>
      </c>
      <c r="E267" s="83">
        <f>'ABR-26'!D46</f>
        <v>0</v>
      </c>
      <c r="F267" s="84">
        <f>'ABR-26'!E46</f>
        <v>0</v>
      </c>
      <c r="G267" s="85">
        <f>'ABR-26'!F46</f>
        <v>0</v>
      </c>
      <c r="H267" s="85">
        <f t="shared" si="0"/>
        <v>0</v>
      </c>
      <c r="I267" s="83" t="s">
        <v>98</v>
      </c>
      <c r="J267" s="83" t="str">
        <f t="shared" si="1"/>
        <v/>
      </c>
      <c r="K267" s="85">
        <f t="shared" si="2"/>
        <v>0</v>
      </c>
      <c r="L267" s="83" t="str">
        <f t="shared" si="3"/>
        <v/>
      </c>
      <c r="M267" s="83">
        <f>'ABR-26'!H46</f>
        <v>0</v>
      </c>
      <c r="N267" s="92" t="str">
        <f ca="1">IF(BD!$C267="","",IF(AND(TODAY()&gt;BD!$C267,OR(BD!$D267="PENDENTE",BD!$D267="")),"VENCIDO",""))</f>
        <v/>
      </c>
      <c r="O267" s="82" t="str">
        <f ca="1">IF(N267 = "VENCIDO",BD!$B267,"")</f>
        <v/>
      </c>
      <c r="P267" s="82" t="str">
        <f ca="1">IF(N267 = "VENCIDO",BD!$C267,"")</f>
        <v/>
      </c>
      <c r="Q267" s="83" t="str">
        <f ca="1">IF(N267 = "VENCIDO",BD!$E267,"")</f>
        <v/>
      </c>
      <c r="R267" s="83" t="str">
        <f ca="1">IF(N267 = "VENCIDO",BD!$F267,"")</f>
        <v/>
      </c>
      <c r="S267" s="85" t="str">
        <f ca="1">IF(N267 = "VENCIDO",BD!$G267,"")</f>
        <v/>
      </c>
      <c r="T267" s="83" t="str">
        <f ca="1">IF(AND(TODAY()&gt;BD!$C267, OR(BD!$D267="PENDENTE", BD!$D267="")), TODAY()-BD!$C267, "")</f>
        <v/>
      </c>
    </row>
    <row r="268" spans="1:20" ht="14.25" customHeight="1" x14ac:dyDescent="0.35">
      <c r="A268" s="32"/>
      <c r="B268" s="82">
        <f>'ABR-26'!A47</f>
        <v>0</v>
      </c>
      <c r="C268" s="82">
        <f>'ABR-26'!B47</f>
        <v>0</v>
      </c>
      <c r="D268" s="82">
        <f>'ABR-26'!C47</f>
        <v>0</v>
      </c>
      <c r="E268" s="83">
        <f>'ABR-26'!D47</f>
        <v>0</v>
      </c>
      <c r="F268" s="84">
        <f>'ABR-26'!E47</f>
        <v>0</v>
      </c>
      <c r="G268" s="85">
        <f>'ABR-26'!F47</f>
        <v>0</v>
      </c>
      <c r="H268" s="85">
        <f t="shared" si="0"/>
        <v>0</v>
      </c>
      <c r="I268" s="83" t="s">
        <v>98</v>
      </c>
      <c r="J268" s="83" t="str">
        <f t="shared" si="1"/>
        <v/>
      </c>
      <c r="K268" s="85">
        <f t="shared" si="2"/>
        <v>0</v>
      </c>
      <c r="L268" s="83" t="str">
        <f t="shared" si="3"/>
        <v/>
      </c>
      <c r="M268" s="83">
        <f>'ABR-26'!H47</f>
        <v>0</v>
      </c>
      <c r="N268" s="92" t="str">
        <f ca="1">IF(BD!$C268="","",IF(AND(TODAY()&gt;BD!$C268,OR(BD!$D268="PENDENTE",BD!$D268="")),"VENCIDO",""))</f>
        <v/>
      </c>
      <c r="O268" s="82" t="str">
        <f ca="1">IF(N268 = "VENCIDO",BD!$B268,"")</f>
        <v/>
      </c>
      <c r="P268" s="82" t="str">
        <f ca="1">IF(N268 = "VENCIDO",BD!$C268,"")</f>
        <v/>
      </c>
      <c r="Q268" s="83" t="str">
        <f ca="1">IF(N268 = "VENCIDO",BD!$E268,"")</f>
        <v/>
      </c>
      <c r="R268" s="83" t="str">
        <f ca="1">IF(N268 = "VENCIDO",BD!$F268,"")</f>
        <v/>
      </c>
      <c r="S268" s="85" t="str">
        <f ca="1">IF(N268 = "VENCIDO",BD!$G268,"")</f>
        <v/>
      </c>
      <c r="T268" s="83" t="str">
        <f ca="1">IF(AND(TODAY()&gt;BD!$C268, OR(BD!$D268="PENDENTE", BD!$D268="")), TODAY()-BD!$C268, "")</f>
        <v/>
      </c>
    </row>
    <row r="269" spans="1:20" ht="14.25" customHeight="1" x14ac:dyDescent="0.35">
      <c r="A269" s="32"/>
      <c r="B269" s="82">
        <f>'ABR-26'!A48</f>
        <v>0</v>
      </c>
      <c r="C269" s="82">
        <f>'ABR-26'!B48</f>
        <v>0</v>
      </c>
      <c r="D269" s="82">
        <f>'ABR-26'!C48</f>
        <v>0</v>
      </c>
      <c r="E269" s="83">
        <f>'ABR-26'!D48</f>
        <v>0</v>
      </c>
      <c r="F269" s="84">
        <f>'ABR-26'!E48</f>
        <v>0</v>
      </c>
      <c r="G269" s="85">
        <f>'ABR-26'!F48</f>
        <v>0</v>
      </c>
      <c r="H269" s="85">
        <f t="shared" si="0"/>
        <v>0</v>
      </c>
      <c r="I269" s="83" t="s">
        <v>98</v>
      </c>
      <c r="J269" s="83" t="str">
        <f t="shared" si="1"/>
        <v/>
      </c>
      <c r="K269" s="85">
        <f t="shared" si="2"/>
        <v>0</v>
      </c>
      <c r="L269" s="83" t="str">
        <f t="shared" si="3"/>
        <v/>
      </c>
      <c r="M269" s="83">
        <f>'ABR-26'!H48</f>
        <v>0</v>
      </c>
      <c r="N269" s="92" t="str">
        <f ca="1">IF(BD!$C269="","",IF(AND(TODAY()&gt;BD!$C269,OR(BD!$D269="PENDENTE",BD!$D269="")),"VENCIDO",""))</f>
        <v/>
      </c>
      <c r="O269" s="82" t="str">
        <f ca="1">IF(N269 = "VENCIDO",BD!$B269,"")</f>
        <v/>
      </c>
      <c r="P269" s="82" t="str">
        <f ca="1">IF(N269 = "VENCIDO",BD!$C269,"")</f>
        <v/>
      </c>
      <c r="Q269" s="83" t="str">
        <f ca="1">IF(N269 = "VENCIDO",BD!$E269,"")</f>
        <v/>
      </c>
      <c r="R269" s="83" t="str">
        <f ca="1">IF(N269 = "VENCIDO",BD!$F269,"")</f>
        <v/>
      </c>
      <c r="S269" s="85" t="str">
        <f ca="1">IF(N269 = "VENCIDO",BD!$G269,"")</f>
        <v/>
      </c>
      <c r="T269" s="83" t="str">
        <f ca="1">IF(AND(TODAY()&gt;BD!$C269, OR(BD!$D269="PENDENTE", BD!$D269="")), TODAY()-BD!$C269, "")</f>
        <v/>
      </c>
    </row>
    <row r="270" spans="1:20" ht="14.25" customHeight="1" x14ac:dyDescent="0.35">
      <c r="A270" s="32"/>
      <c r="B270" s="82">
        <f>'ABR-26'!A49</f>
        <v>0</v>
      </c>
      <c r="C270" s="82">
        <f>'ABR-26'!B49</f>
        <v>0</v>
      </c>
      <c r="D270" s="82">
        <f>'ABR-26'!C49</f>
        <v>0</v>
      </c>
      <c r="E270" s="83">
        <f>'ABR-26'!D49</f>
        <v>0</v>
      </c>
      <c r="F270" s="84">
        <f>'ABR-26'!E49</f>
        <v>0</v>
      </c>
      <c r="G270" s="85">
        <f>'ABR-26'!F49</f>
        <v>0</v>
      </c>
      <c r="H270" s="85">
        <f t="shared" si="0"/>
        <v>0</v>
      </c>
      <c r="I270" s="83" t="s">
        <v>98</v>
      </c>
      <c r="J270" s="83" t="str">
        <f t="shared" si="1"/>
        <v/>
      </c>
      <c r="K270" s="85">
        <f t="shared" si="2"/>
        <v>0</v>
      </c>
      <c r="L270" s="83" t="str">
        <f t="shared" si="3"/>
        <v/>
      </c>
      <c r="M270" s="83">
        <f>'ABR-26'!H49</f>
        <v>0</v>
      </c>
      <c r="N270" s="92" t="str">
        <f ca="1">IF(BD!$C270="","",IF(AND(TODAY()&gt;BD!$C270,OR(BD!$D270="PENDENTE",BD!$D270="")),"VENCIDO",""))</f>
        <v/>
      </c>
      <c r="O270" s="82" t="str">
        <f ca="1">IF(N270 = "VENCIDO",BD!$B270,"")</f>
        <v/>
      </c>
      <c r="P270" s="82" t="str">
        <f ca="1">IF(N270 = "VENCIDO",BD!$C270,"")</f>
        <v/>
      </c>
      <c r="Q270" s="83" t="str">
        <f ca="1">IF(N270 = "VENCIDO",BD!$E270,"")</f>
        <v/>
      </c>
      <c r="R270" s="83" t="str">
        <f ca="1">IF(N270 = "VENCIDO",BD!$F270,"")</f>
        <v/>
      </c>
      <c r="S270" s="85" t="str">
        <f ca="1">IF(N270 = "VENCIDO",BD!$G270,"")</f>
        <v/>
      </c>
      <c r="T270" s="83" t="str">
        <f ca="1">IF(AND(TODAY()&gt;BD!$C270, OR(BD!$D270="PENDENTE", BD!$D270="")), TODAY()-BD!$C270, "")</f>
        <v/>
      </c>
    </row>
    <row r="271" spans="1:20" ht="14.25" customHeight="1" x14ac:dyDescent="0.35">
      <c r="A271" s="32"/>
      <c r="B271" s="82">
        <f>'ABR-26'!A50</f>
        <v>0</v>
      </c>
      <c r="C271" s="82">
        <f>'ABR-26'!B50</f>
        <v>0</v>
      </c>
      <c r="D271" s="82">
        <f>'ABR-26'!C50</f>
        <v>0</v>
      </c>
      <c r="E271" s="83">
        <f>'ABR-26'!D50</f>
        <v>0</v>
      </c>
      <c r="F271" s="84">
        <f>'ABR-26'!E50</f>
        <v>0</v>
      </c>
      <c r="G271" s="85">
        <f>'ABR-26'!F50</f>
        <v>0</v>
      </c>
      <c r="H271" s="85">
        <f t="shared" si="0"/>
        <v>0</v>
      </c>
      <c r="I271" s="83" t="s">
        <v>98</v>
      </c>
      <c r="J271" s="83" t="str">
        <f t="shared" si="1"/>
        <v/>
      </c>
      <c r="K271" s="85">
        <f t="shared" si="2"/>
        <v>0</v>
      </c>
      <c r="L271" s="83" t="str">
        <f t="shared" si="3"/>
        <v/>
      </c>
      <c r="M271" s="83">
        <f>'ABR-26'!H50</f>
        <v>0</v>
      </c>
      <c r="N271" s="92" t="str">
        <f ca="1">IF(BD!$C271="","",IF(AND(TODAY()&gt;BD!$C271,OR(BD!$D271="PENDENTE",BD!$D271="")),"VENCIDO",""))</f>
        <v/>
      </c>
      <c r="O271" s="82" t="str">
        <f ca="1">IF(N271 = "VENCIDO",BD!$B271,"")</f>
        <v/>
      </c>
      <c r="P271" s="82" t="str">
        <f ca="1">IF(N271 = "VENCIDO",BD!$C271,"")</f>
        <v/>
      </c>
      <c r="Q271" s="83" t="str">
        <f ca="1">IF(N271 = "VENCIDO",BD!$E271,"")</f>
        <v/>
      </c>
      <c r="R271" s="83" t="str">
        <f ca="1">IF(N271 = "VENCIDO",BD!$F271,"")</f>
        <v/>
      </c>
      <c r="S271" s="85" t="str">
        <f ca="1">IF(N271 = "VENCIDO",BD!$G271,"")</f>
        <v/>
      </c>
      <c r="T271" s="83" t="str">
        <f ca="1">IF(AND(TODAY()&gt;BD!$C271, OR(BD!$D271="PENDENTE", BD!$D271="")), TODAY()-BD!$C271, "")</f>
        <v/>
      </c>
    </row>
    <row r="272" spans="1:20" ht="14.25" customHeight="1" x14ac:dyDescent="0.35">
      <c r="A272" s="32"/>
      <c r="B272" s="82">
        <f>'ABR-26'!A51</f>
        <v>0</v>
      </c>
      <c r="C272" s="82">
        <f>'ABR-26'!B51</f>
        <v>0</v>
      </c>
      <c r="D272" s="82">
        <f>'ABR-26'!C51</f>
        <v>0</v>
      </c>
      <c r="E272" s="83">
        <f>'ABR-26'!D51</f>
        <v>0</v>
      </c>
      <c r="F272" s="84">
        <f>'ABR-26'!E51</f>
        <v>0</v>
      </c>
      <c r="G272" s="85">
        <f>'ABR-26'!F51</f>
        <v>0</v>
      </c>
      <c r="H272" s="85">
        <f t="shared" si="0"/>
        <v>0</v>
      </c>
      <c r="I272" s="83" t="s">
        <v>98</v>
      </c>
      <c r="J272" s="83" t="str">
        <f t="shared" si="1"/>
        <v/>
      </c>
      <c r="K272" s="85">
        <f t="shared" si="2"/>
        <v>0</v>
      </c>
      <c r="L272" s="83" t="str">
        <f t="shared" si="3"/>
        <v/>
      </c>
      <c r="M272" s="83">
        <f>'ABR-26'!H51</f>
        <v>0</v>
      </c>
      <c r="N272" s="92" t="str">
        <f ca="1">IF(BD!$C272="","",IF(AND(TODAY()&gt;BD!$C272,OR(BD!$D272="PENDENTE",BD!$D272="")),"VENCIDO",""))</f>
        <v/>
      </c>
      <c r="O272" s="82" t="str">
        <f ca="1">IF(N272 = "VENCIDO",BD!$B272,"")</f>
        <v/>
      </c>
      <c r="P272" s="82" t="str">
        <f ca="1">IF(N272 = "VENCIDO",BD!$C272,"")</f>
        <v/>
      </c>
      <c r="Q272" s="83" t="str">
        <f ca="1">IF(N272 = "VENCIDO",BD!$E272,"")</f>
        <v/>
      </c>
      <c r="R272" s="83" t="str">
        <f ca="1">IF(N272 = "VENCIDO",BD!$F272,"")</f>
        <v/>
      </c>
      <c r="S272" s="85" t="str">
        <f ca="1">IF(N272 = "VENCIDO",BD!$G272,"")</f>
        <v/>
      </c>
      <c r="T272" s="83" t="str">
        <f ca="1">IF(AND(TODAY()&gt;BD!$C272, OR(BD!$D272="PENDENTE", BD!$D272="")), TODAY()-BD!$C272, "")</f>
        <v/>
      </c>
    </row>
    <row r="273" spans="1:20" ht="14.25" customHeight="1" x14ac:dyDescent="0.35">
      <c r="A273" s="32"/>
      <c r="B273" s="82">
        <f>'ABR-26'!A52</f>
        <v>0</v>
      </c>
      <c r="C273" s="82">
        <f>'ABR-26'!B52</f>
        <v>0</v>
      </c>
      <c r="D273" s="82">
        <f>'ABR-26'!C52</f>
        <v>0</v>
      </c>
      <c r="E273" s="83">
        <f>'ABR-26'!D52</f>
        <v>0</v>
      </c>
      <c r="F273" s="84">
        <f>'ABR-26'!E52</f>
        <v>0</v>
      </c>
      <c r="G273" s="85">
        <f>'ABR-26'!F52</f>
        <v>0</v>
      </c>
      <c r="H273" s="85">
        <f t="shared" si="0"/>
        <v>0</v>
      </c>
      <c r="I273" s="83" t="s">
        <v>98</v>
      </c>
      <c r="J273" s="83" t="str">
        <f t="shared" si="1"/>
        <v/>
      </c>
      <c r="K273" s="85">
        <f t="shared" si="2"/>
        <v>0</v>
      </c>
      <c r="L273" s="83" t="str">
        <f t="shared" si="3"/>
        <v/>
      </c>
      <c r="M273" s="83">
        <f>'ABR-26'!H52</f>
        <v>0</v>
      </c>
      <c r="N273" s="92" t="str">
        <f ca="1">IF(BD!$C273="","",IF(AND(TODAY()&gt;BD!$C273,OR(BD!$D273="PENDENTE",BD!$D273="")),"VENCIDO",""))</f>
        <v/>
      </c>
      <c r="O273" s="82" t="str">
        <f ca="1">IF(N273 = "VENCIDO",BD!$B273,"")</f>
        <v/>
      </c>
      <c r="P273" s="82" t="str">
        <f ca="1">IF(N273 = "VENCIDO",BD!$C273,"")</f>
        <v/>
      </c>
      <c r="Q273" s="83" t="str">
        <f ca="1">IF(N273 = "VENCIDO",BD!$E273,"")</f>
        <v/>
      </c>
      <c r="R273" s="83" t="str">
        <f ca="1">IF(N273 = "VENCIDO",BD!$F273,"")</f>
        <v/>
      </c>
      <c r="S273" s="85" t="str">
        <f ca="1">IF(N273 = "VENCIDO",BD!$G273,"")</f>
        <v/>
      </c>
      <c r="T273" s="83" t="str">
        <f ca="1">IF(AND(TODAY()&gt;BD!$C273, OR(BD!$D273="PENDENTE", BD!$D273="")), TODAY()-BD!$C273, "")</f>
        <v/>
      </c>
    </row>
    <row r="274" spans="1:20" ht="14.25" customHeight="1" x14ac:dyDescent="0.35">
      <c r="A274" s="32"/>
      <c r="B274" s="82">
        <f>'ABR-26'!A53</f>
        <v>0</v>
      </c>
      <c r="C274" s="82">
        <f>'ABR-26'!B53</f>
        <v>0</v>
      </c>
      <c r="D274" s="82">
        <f>'ABR-26'!C53</f>
        <v>0</v>
      </c>
      <c r="E274" s="83">
        <f>'ABR-26'!D53</f>
        <v>0</v>
      </c>
      <c r="F274" s="84">
        <f>'ABR-26'!E53</f>
        <v>0</v>
      </c>
      <c r="G274" s="85">
        <f>'ABR-26'!F53</f>
        <v>0</v>
      </c>
      <c r="H274" s="85">
        <f t="shared" si="0"/>
        <v>0</v>
      </c>
      <c r="I274" s="83" t="s">
        <v>98</v>
      </c>
      <c r="J274" s="83" t="str">
        <f t="shared" si="1"/>
        <v/>
      </c>
      <c r="K274" s="85">
        <f t="shared" si="2"/>
        <v>0</v>
      </c>
      <c r="L274" s="83" t="str">
        <f t="shared" si="3"/>
        <v/>
      </c>
      <c r="M274" s="83">
        <f>'ABR-26'!H53</f>
        <v>0</v>
      </c>
      <c r="N274" s="92" t="str">
        <f ca="1">IF(BD!$C274="","",IF(AND(TODAY()&gt;BD!$C274,OR(BD!$D274="PENDENTE",BD!$D274="")),"VENCIDO",""))</f>
        <v/>
      </c>
      <c r="O274" s="82" t="str">
        <f ca="1">IF(N274 = "VENCIDO",BD!$B274,"")</f>
        <v/>
      </c>
      <c r="P274" s="82" t="str">
        <f ca="1">IF(N274 = "VENCIDO",BD!$C274,"")</f>
        <v/>
      </c>
      <c r="Q274" s="83" t="str">
        <f ca="1">IF(N274 = "VENCIDO",BD!$E274,"")</f>
        <v/>
      </c>
      <c r="R274" s="83" t="str">
        <f ca="1">IF(N274 = "VENCIDO",BD!$F274,"")</f>
        <v/>
      </c>
      <c r="S274" s="85" t="str">
        <f ca="1">IF(N274 = "VENCIDO",BD!$G274,"")</f>
        <v/>
      </c>
      <c r="T274" s="83" t="str">
        <f ca="1">IF(AND(TODAY()&gt;BD!$C274, OR(BD!$D274="PENDENTE", BD!$D274="")), TODAY()-BD!$C274, "")</f>
        <v/>
      </c>
    </row>
    <row r="275" spans="1:20" ht="14.25" customHeight="1" x14ac:dyDescent="0.35">
      <c r="A275" s="32"/>
      <c r="B275" s="82">
        <f>'ABR-26'!A54</f>
        <v>0</v>
      </c>
      <c r="C275" s="82">
        <f>'ABR-26'!B54</f>
        <v>0</v>
      </c>
      <c r="D275" s="82">
        <f>'ABR-26'!C54</f>
        <v>0</v>
      </c>
      <c r="E275" s="83">
        <f>'ABR-26'!D54</f>
        <v>0</v>
      </c>
      <c r="F275" s="84">
        <f>'ABR-26'!E54</f>
        <v>0</v>
      </c>
      <c r="G275" s="85">
        <f>'ABR-26'!F54</f>
        <v>0</v>
      </c>
      <c r="H275" s="85">
        <f t="shared" si="0"/>
        <v>0</v>
      </c>
      <c r="I275" s="83" t="s">
        <v>98</v>
      </c>
      <c r="J275" s="83" t="str">
        <f t="shared" si="1"/>
        <v/>
      </c>
      <c r="K275" s="85">
        <f t="shared" si="2"/>
        <v>0</v>
      </c>
      <c r="L275" s="83" t="str">
        <f t="shared" si="3"/>
        <v/>
      </c>
      <c r="M275" s="83">
        <f>'ABR-26'!H54</f>
        <v>0</v>
      </c>
      <c r="N275" s="92" t="str">
        <f ca="1">IF(BD!$C275="","",IF(AND(TODAY()&gt;BD!$C275,OR(BD!$D275="PENDENTE",BD!$D275="")),"VENCIDO",""))</f>
        <v/>
      </c>
      <c r="O275" s="82" t="str">
        <f ca="1">IF(N275 = "VENCIDO",BD!$B275,"")</f>
        <v/>
      </c>
      <c r="P275" s="82" t="str">
        <f ca="1">IF(N275 = "VENCIDO",BD!$C275,"")</f>
        <v/>
      </c>
      <c r="Q275" s="83" t="str">
        <f ca="1">IF(N275 = "VENCIDO",BD!$E275,"")</f>
        <v/>
      </c>
      <c r="R275" s="83" t="str">
        <f ca="1">IF(N275 = "VENCIDO",BD!$F275,"")</f>
        <v/>
      </c>
      <c r="S275" s="85" t="str">
        <f ca="1">IF(N275 = "VENCIDO",BD!$G275,"")</f>
        <v/>
      </c>
      <c r="T275" s="83" t="str">
        <f ca="1">IF(AND(TODAY()&gt;BD!$C275, OR(BD!$D275="PENDENTE", BD!$D275="")), TODAY()-BD!$C275, "")</f>
        <v/>
      </c>
    </row>
    <row r="276" spans="1:20" ht="14.25" customHeight="1" x14ac:dyDescent="0.35">
      <c r="A276" s="32"/>
      <c r="B276" s="82">
        <f>'ABR-26'!A55</f>
        <v>0</v>
      </c>
      <c r="C276" s="82">
        <f>'ABR-26'!B55</f>
        <v>0</v>
      </c>
      <c r="D276" s="82">
        <f>'ABR-26'!C55</f>
        <v>0</v>
      </c>
      <c r="E276" s="83">
        <f>'ABR-26'!D55</f>
        <v>0</v>
      </c>
      <c r="F276" s="84">
        <f>'ABR-26'!E55</f>
        <v>0</v>
      </c>
      <c r="G276" s="85">
        <f>'ABR-26'!F55</f>
        <v>0</v>
      </c>
      <c r="H276" s="85">
        <f t="shared" si="0"/>
        <v>0</v>
      </c>
      <c r="I276" s="83" t="s">
        <v>98</v>
      </c>
      <c r="J276" s="83" t="str">
        <f t="shared" si="1"/>
        <v/>
      </c>
      <c r="K276" s="85">
        <f t="shared" si="2"/>
        <v>0</v>
      </c>
      <c r="L276" s="83" t="str">
        <f t="shared" si="3"/>
        <v/>
      </c>
      <c r="M276" s="83">
        <f>'ABR-26'!H55</f>
        <v>0</v>
      </c>
      <c r="N276" s="92" t="str">
        <f ca="1">IF(BD!$C276="","",IF(AND(TODAY()&gt;BD!$C276,OR(BD!$D276="PENDENTE",BD!$D276="")),"VENCIDO",""))</f>
        <v/>
      </c>
      <c r="O276" s="82" t="str">
        <f ca="1">IF(N276 = "VENCIDO",BD!$B276,"")</f>
        <v/>
      </c>
      <c r="P276" s="82" t="str">
        <f ca="1">IF(N276 = "VENCIDO",BD!$C276,"")</f>
        <v/>
      </c>
      <c r="Q276" s="83" t="str">
        <f ca="1">IF(N276 = "VENCIDO",BD!$E276,"")</f>
        <v/>
      </c>
      <c r="R276" s="83" t="str">
        <f ca="1">IF(N276 = "VENCIDO",BD!$F276,"")</f>
        <v/>
      </c>
      <c r="S276" s="85" t="str">
        <f ca="1">IF(N276 = "VENCIDO",BD!$G276,"")</f>
        <v/>
      </c>
      <c r="T276" s="83" t="str">
        <f ca="1">IF(AND(TODAY()&gt;BD!$C276, OR(BD!$D276="PENDENTE", BD!$D276="")), TODAY()-BD!$C276, "")</f>
        <v/>
      </c>
    </row>
    <row r="277" spans="1:20" ht="14.25" customHeight="1" x14ac:dyDescent="0.35">
      <c r="A277" s="32"/>
      <c r="B277" s="82">
        <f>'ABR-26'!A56</f>
        <v>0</v>
      </c>
      <c r="C277" s="82">
        <f>'ABR-26'!B56</f>
        <v>0</v>
      </c>
      <c r="D277" s="82">
        <f>'ABR-26'!C56</f>
        <v>0</v>
      </c>
      <c r="E277" s="83">
        <f>'ABR-26'!D56</f>
        <v>0</v>
      </c>
      <c r="F277" s="84">
        <f>'ABR-26'!E56</f>
        <v>0</v>
      </c>
      <c r="G277" s="85">
        <f>'ABR-26'!F56</f>
        <v>0</v>
      </c>
      <c r="H277" s="85">
        <f t="shared" si="0"/>
        <v>0</v>
      </c>
      <c r="I277" s="83" t="s">
        <v>98</v>
      </c>
      <c r="J277" s="83" t="str">
        <f t="shared" si="1"/>
        <v/>
      </c>
      <c r="K277" s="85">
        <f t="shared" si="2"/>
        <v>0</v>
      </c>
      <c r="L277" s="83" t="str">
        <f t="shared" si="3"/>
        <v/>
      </c>
      <c r="M277" s="83">
        <f>'ABR-26'!H56</f>
        <v>0</v>
      </c>
      <c r="N277" s="92" t="str">
        <f ca="1">IF(BD!$C277="","",IF(AND(TODAY()&gt;BD!$C277,OR(BD!$D277="PENDENTE",BD!$D277="")),"VENCIDO",""))</f>
        <v/>
      </c>
      <c r="O277" s="82" t="str">
        <f ca="1">IF(N277 = "VENCIDO",BD!$B277,"")</f>
        <v/>
      </c>
      <c r="P277" s="82" t="str">
        <f ca="1">IF(N277 = "VENCIDO",BD!$C277,"")</f>
        <v/>
      </c>
      <c r="Q277" s="83" t="str">
        <f ca="1">IF(N277 = "VENCIDO",BD!$E277,"")</f>
        <v/>
      </c>
      <c r="R277" s="83" t="str">
        <f ca="1">IF(N277 = "VENCIDO",BD!$F277,"")</f>
        <v/>
      </c>
      <c r="S277" s="85" t="str">
        <f ca="1">IF(N277 = "VENCIDO",BD!$G277,"")</f>
        <v/>
      </c>
      <c r="T277" s="83" t="str">
        <f ca="1">IF(AND(TODAY()&gt;BD!$C277, OR(BD!$D277="PENDENTE", BD!$D277="")), TODAY()-BD!$C277, "")</f>
        <v/>
      </c>
    </row>
    <row r="278" spans="1:20" ht="14.25" customHeight="1" x14ac:dyDescent="0.35">
      <c r="A278" s="32"/>
      <c r="B278" s="82">
        <f>'ABR-26'!A57</f>
        <v>0</v>
      </c>
      <c r="C278" s="82">
        <f>'ABR-26'!B57</f>
        <v>0</v>
      </c>
      <c r="D278" s="82">
        <f>'ABR-26'!C57</f>
        <v>0</v>
      </c>
      <c r="E278" s="83">
        <f>'ABR-26'!D57</f>
        <v>0</v>
      </c>
      <c r="F278" s="84">
        <f>'ABR-26'!E57</f>
        <v>0</v>
      </c>
      <c r="G278" s="85">
        <f>'ABR-26'!F57</f>
        <v>0</v>
      </c>
      <c r="H278" s="85">
        <f t="shared" si="0"/>
        <v>0</v>
      </c>
      <c r="I278" s="83" t="s">
        <v>98</v>
      </c>
      <c r="J278" s="83" t="str">
        <f t="shared" si="1"/>
        <v/>
      </c>
      <c r="K278" s="85">
        <f t="shared" si="2"/>
        <v>0</v>
      </c>
      <c r="L278" s="83" t="str">
        <f t="shared" si="3"/>
        <v/>
      </c>
      <c r="M278" s="83">
        <f>'ABR-26'!H57</f>
        <v>0</v>
      </c>
      <c r="N278" s="92" t="str">
        <f ca="1">IF(BD!$C278="","",IF(AND(TODAY()&gt;BD!$C278,OR(BD!$D278="PENDENTE",BD!$D278="")),"VENCIDO",""))</f>
        <v/>
      </c>
      <c r="O278" s="82" t="str">
        <f ca="1">IF(N278 = "VENCIDO",BD!$B278,"")</f>
        <v/>
      </c>
      <c r="P278" s="82" t="str">
        <f ca="1">IF(N278 = "VENCIDO",BD!$C278,"")</f>
        <v/>
      </c>
      <c r="Q278" s="83" t="str">
        <f ca="1">IF(N278 = "VENCIDO",BD!$E278,"")</f>
        <v/>
      </c>
      <c r="R278" s="83" t="str">
        <f ca="1">IF(N278 = "VENCIDO",BD!$F278,"")</f>
        <v/>
      </c>
      <c r="S278" s="85" t="str">
        <f ca="1">IF(N278 = "VENCIDO",BD!$G278,"")</f>
        <v/>
      </c>
      <c r="T278" s="83" t="str">
        <f ca="1">IF(AND(TODAY()&gt;BD!$C278, OR(BD!$D278="PENDENTE", BD!$D278="")), TODAY()-BD!$C278, "")</f>
        <v/>
      </c>
    </row>
    <row r="279" spans="1:20" ht="14.25" customHeight="1" x14ac:dyDescent="0.35">
      <c r="A279" s="32"/>
      <c r="B279" s="82">
        <f>'ABR-26'!A58</f>
        <v>0</v>
      </c>
      <c r="C279" s="82">
        <f>'ABR-26'!B58</f>
        <v>0</v>
      </c>
      <c r="D279" s="82">
        <f>'ABR-26'!C58</f>
        <v>0</v>
      </c>
      <c r="E279" s="83">
        <f>'ABR-26'!D58</f>
        <v>0</v>
      </c>
      <c r="F279" s="84">
        <f>'ABR-26'!E58</f>
        <v>0</v>
      </c>
      <c r="G279" s="85">
        <f>'ABR-26'!F58</f>
        <v>0</v>
      </c>
      <c r="H279" s="85">
        <f t="shared" si="0"/>
        <v>0</v>
      </c>
      <c r="I279" s="83" t="s">
        <v>98</v>
      </c>
      <c r="J279" s="83" t="str">
        <f t="shared" si="1"/>
        <v/>
      </c>
      <c r="K279" s="85">
        <f t="shared" si="2"/>
        <v>0</v>
      </c>
      <c r="L279" s="83" t="str">
        <f t="shared" si="3"/>
        <v/>
      </c>
      <c r="M279" s="83">
        <f>'ABR-26'!H58</f>
        <v>0</v>
      </c>
      <c r="N279" s="92" t="str">
        <f ca="1">IF(BD!$C279="","",IF(AND(TODAY()&gt;BD!$C279,OR(BD!$D279="PENDENTE",BD!$D279="")),"VENCIDO",""))</f>
        <v/>
      </c>
      <c r="O279" s="82" t="str">
        <f ca="1">IF(N279 = "VENCIDO",BD!$B279,"")</f>
        <v/>
      </c>
      <c r="P279" s="82" t="str">
        <f ca="1">IF(N279 = "VENCIDO",BD!$C279,"")</f>
        <v/>
      </c>
      <c r="Q279" s="83" t="str">
        <f ca="1">IF(N279 = "VENCIDO",BD!$E279,"")</f>
        <v/>
      </c>
      <c r="R279" s="83" t="str">
        <f ca="1">IF(N279 = "VENCIDO",BD!$F279,"")</f>
        <v/>
      </c>
      <c r="S279" s="85" t="str">
        <f ca="1">IF(N279 = "VENCIDO",BD!$G279,"")</f>
        <v/>
      </c>
      <c r="T279" s="83" t="str">
        <f ca="1">IF(AND(TODAY()&gt;BD!$C279, OR(BD!$D279="PENDENTE", BD!$D279="")), TODAY()-BD!$C279, "")</f>
        <v/>
      </c>
    </row>
    <row r="280" spans="1:20" ht="14.25" customHeight="1" x14ac:dyDescent="0.35">
      <c r="A280" s="32"/>
      <c r="B280" s="82">
        <f>'ABR-26'!A59</f>
        <v>0</v>
      </c>
      <c r="C280" s="82">
        <f>'ABR-26'!B59</f>
        <v>0</v>
      </c>
      <c r="D280" s="82">
        <f>'ABR-26'!C59</f>
        <v>0</v>
      </c>
      <c r="E280" s="83">
        <f>'ABR-26'!D59</f>
        <v>0</v>
      </c>
      <c r="F280" s="84">
        <f>'ABR-26'!E59</f>
        <v>0</v>
      </c>
      <c r="G280" s="85">
        <f>'ABR-26'!F59</f>
        <v>0</v>
      </c>
      <c r="H280" s="85">
        <f t="shared" si="0"/>
        <v>0</v>
      </c>
      <c r="I280" s="83" t="s">
        <v>98</v>
      </c>
      <c r="J280" s="83" t="str">
        <f t="shared" si="1"/>
        <v/>
      </c>
      <c r="K280" s="85">
        <f t="shared" si="2"/>
        <v>0</v>
      </c>
      <c r="L280" s="83" t="str">
        <f t="shared" si="3"/>
        <v/>
      </c>
      <c r="M280" s="83">
        <f>'ABR-26'!H59</f>
        <v>0</v>
      </c>
      <c r="N280" s="92" t="str">
        <f ca="1">IF(BD!$C280="","",IF(AND(TODAY()&gt;BD!$C280,OR(BD!$D280="PENDENTE",BD!$D280="")),"VENCIDO",""))</f>
        <v/>
      </c>
      <c r="O280" s="82" t="str">
        <f ca="1">IF(N280 = "VENCIDO",BD!$B280,"")</f>
        <v/>
      </c>
      <c r="P280" s="82" t="str">
        <f ca="1">IF(N280 = "VENCIDO",BD!$C280,"")</f>
        <v/>
      </c>
      <c r="Q280" s="83" t="str">
        <f ca="1">IF(N280 = "VENCIDO",BD!$E280,"")</f>
        <v/>
      </c>
      <c r="R280" s="83" t="str">
        <f ca="1">IF(N280 = "VENCIDO",BD!$F280,"")</f>
        <v/>
      </c>
      <c r="S280" s="85" t="str">
        <f ca="1">IF(N280 = "VENCIDO",BD!$G280,"")</f>
        <v/>
      </c>
      <c r="T280" s="83" t="str">
        <f ca="1">IF(AND(TODAY()&gt;BD!$C280, OR(BD!$D280="PENDENTE", BD!$D280="")), TODAY()-BD!$C280, "")</f>
        <v/>
      </c>
    </row>
    <row r="281" spans="1:20" ht="14.25" customHeight="1" x14ac:dyDescent="0.35">
      <c r="A281" s="32"/>
      <c r="B281" s="82">
        <f>'ABR-26'!A60</f>
        <v>0</v>
      </c>
      <c r="C281" s="82">
        <f>'ABR-26'!B60</f>
        <v>0</v>
      </c>
      <c r="D281" s="82">
        <f>'ABR-26'!C60</f>
        <v>0</v>
      </c>
      <c r="E281" s="83">
        <f>'ABR-26'!D60</f>
        <v>0</v>
      </c>
      <c r="F281" s="84">
        <f>'ABR-26'!E60</f>
        <v>0</v>
      </c>
      <c r="G281" s="85">
        <f>'ABR-26'!F60</f>
        <v>0</v>
      </c>
      <c r="H281" s="85">
        <f t="shared" si="0"/>
        <v>0</v>
      </c>
      <c r="I281" s="83" t="s">
        <v>98</v>
      </c>
      <c r="J281" s="83" t="str">
        <f t="shared" si="1"/>
        <v/>
      </c>
      <c r="K281" s="85">
        <f t="shared" si="2"/>
        <v>0</v>
      </c>
      <c r="L281" s="83" t="str">
        <f t="shared" si="3"/>
        <v/>
      </c>
      <c r="M281" s="83">
        <f>'ABR-26'!H60</f>
        <v>0</v>
      </c>
      <c r="N281" s="92" t="str">
        <f ca="1">IF(BD!$C281="","",IF(AND(TODAY()&gt;BD!$C281,OR(BD!$D281="PENDENTE",BD!$D281="")),"VENCIDO",""))</f>
        <v/>
      </c>
      <c r="O281" s="82" t="str">
        <f ca="1">IF(N281 = "VENCIDO",BD!$B281,"")</f>
        <v/>
      </c>
      <c r="P281" s="82" t="str">
        <f ca="1">IF(N281 = "VENCIDO",BD!$C281,"")</f>
        <v/>
      </c>
      <c r="Q281" s="83" t="str">
        <f ca="1">IF(N281 = "VENCIDO",BD!$E281,"")</f>
        <v/>
      </c>
      <c r="R281" s="83" t="str">
        <f ca="1">IF(N281 = "VENCIDO",BD!$F281,"")</f>
        <v/>
      </c>
      <c r="S281" s="85" t="str">
        <f ca="1">IF(N281 = "VENCIDO",BD!$G281,"")</f>
        <v/>
      </c>
      <c r="T281" s="83" t="str">
        <f ca="1">IF(AND(TODAY()&gt;BD!$C281, OR(BD!$D281="PENDENTE", BD!$D281="")), TODAY()-BD!$C281, "")</f>
        <v/>
      </c>
    </row>
    <row r="282" spans="1:20" ht="14.25" customHeight="1" x14ac:dyDescent="0.35">
      <c r="A282" s="32"/>
      <c r="B282" s="82">
        <f>'ABR-26'!A61</f>
        <v>0</v>
      </c>
      <c r="C282" s="82">
        <f>'ABR-26'!B61</f>
        <v>0</v>
      </c>
      <c r="D282" s="82">
        <f>'ABR-26'!C61</f>
        <v>0</v>
      </c>
      <c r="E282" s="83">
        <f>'ABR-26'!D61</f>
        <v>0</v>
      </c>
      <c r="F282" s="84">
        <f>'ABR-26'!E61</f>
        <v>0</v>
      </c>
      <c r="G282" s="85">
        <f>'ABR-26'!F61</f>
        <v>0</v>
      </c>
      <c r="H282" s="85">
        <f t="shared" si="0"/>
        <v>0</v>
      </c>
      <c r="I282" s="83" t="s">
        <v>98</v>
      </c>
      <c r="J282" s="83" t="str">
        <f t="shared" si="1"/>
        <v/>
      </c>
      <c r="K282" s="85">
        <f t="shared" si="2"/>
        <v>0</v>
      </c>
      <c r="L282" s="83" t="str">
        <f t="shared" si="3"/>
        <v/>
      </c>
      <c r="M282" s="83">
        <f>'ABR-26'!H61</f>
        <v>0</v>
      </c>
      <c r="N282" s="92" t="str">
        <f ca="1">IF(BD!$C282="","",IF(AND(TODAY()&gt;BD!$C282,OR(BD!$D282="PENDENTE",BD!$D282="")),"VENCIDO",""))</f>
        <v/>
      </c>
      <c r="O282" s="82" t="str">
        <f ca="1">IF(N282 = "VENCIDO",BD!$B282,"")</f>
        <v/>
      </c>
      <c r="P282" s="82" t="str">
        <f ca="1">IF(N282 = "VENCIDO",BD!$C282,"")</f>
        <v/>
      </c>
      <c r="Q282" s="83" t="str">
        <f ca="1">IF(N282 = "VENCIDO",BD!$E282,"")</f>
        <v/>
      </c>
      <c r="R282" s="83" t="str">
        <f ca="1">IF(N282 = "VENCIDO",BD!$F282,"")</f>
        <v/>
      </c>
      <c r="S282" s="85" t="str">
        <f ca="1">IF(N282 = "VENCIDO",BD!$G282,"")</f>
        <v/>
      </c>
      <c r="T282" s="83" t="str">
        <f ca="1">IF(AND(TODAY()&gt;BD!$C282, OR(BD!$D282="PENDENTE", BD!$D282="")), TODAY()-BD!$C282, "")</f>
        <v/>
      </c>
    </row>
    <row r="283" spans="1:20" ht="14.25" customHeight="1" x14ac:dyDescent="0.35">
      <c r="A283" s="32"/>
      <c r="B283" s="82">
        <f>'ABR-26'!A62</f>
        <v>0</v>
      </c>
      <c r="C283" s="82">
        <f>'ABR-26'!B62</f>
        <v>0</v>
      </c>
      <c r="D283" s="82">
        <f>'ABR-26'!C62</f>
        <v>0</v>
      </c>
      <c r="E283" s="83">
        <f>'ABR-26'!D62</f>
        <v>0</v>
      </c>
      <c r="F283" s="84">
        <f>'ABR-26'!E62</f>
        <v>0</v>
      </c>
      <c r="G283" s="85">
        <f>'ABR-26'!F62</f>
        <v>0</v>
      </c>
      <c r="H283" s="85">
        <f t="shared" si="0"/>
        <v>0</v>
      </c>
      <c r="I283" s="83" t="s">
        <v>98</v>
      </c>
      <c r="J283" s="83" t="str">
        <f t="shared" si="1"/>
        <v/>
      </c>
      <c r="K283" s="85">
        <f t="shared" si="2"/>
        <v>0</v>
      </c>
      <c r="L283" s="83" t="str">
        <f t="shared" si="3"/>
        <v/>
      </c>
      <c r="M283" s="83">
        <f>'ABR-26'!H62</f>
        <v>0</v>
      </c>
      <c r="N283" s="92" t="str">
        <f ca="1">IF(BD!$C283="","",IF(AND(TODAY()&gt;BD!$C283,OR(BD!$D283="PENDENTE",BD!$D283="")),"VENCIDO",""))</f>
        <v/>
      </c>
      <c r="O283" s="82" t="str">
        <f ca="1">IF(N283 = "VENCIDO",BD!$B283,"")</f>
        <v/>
      </c>
      <c r="P283" s="82" t="str">
        <f ca="1">IF(N283 = "VENCIDO",BD!$C283,"")</f>
        <v/>
      </c>
      <c r="Q283" s="83" t="str">
        <f ca="1">IF(N283 = "VENCIDO",BD!$E283,"")</f>
        <v/>
      </c>
      <c r="R283" s="83" t="str">
        <f ca="1">IF(N283 = "VENCIDO",BD!$F283,"")</f>
        <v/>
      </c>
      <c r="S283" s="85" t="str">
        <f ca="1">IF(N283 = "VENCIDO",BD!$G283,"")</f>
        <v/>
      </c>
      <c r="T283" s="83" t="str">
        <f ca="1">IF(AND(TODAY()&gt;BD!$C283, OR(BD!$D283="PENDENTE", BD!$D283="")), TODAY()-BD!$C283, "")</f>
        <v/>
      </c>
    </row>
    <row r="284" spans="1:20" ht="14.25" customHeight="1" x14ac:dyDescent="0.35">
      <c r="A284" s="32"/>
      <c r="B284" s="82">
        <f>'ABR-26'!A63</f>
        <v>0</v>
      </c>
      <c r="C284" s="82">
        <f>'ABR-26'!B63</f>
        <v>0</v>
      </c>
      <c r="D284" s="82">
        <f>'ABR-26'!C63</f>
        <v>0</v>
      </c>
      <c r="E284" s="83">
        <f>'ABR-26'!D63</f>
        <v>0</v>
      </c>
      <c r="F284" s="84">
        <f>'ABR-26'!E63</f>
        <v>0</v>
      </c>
      <c r="G284" s="85">
        <f>'ABR-26'!F63</f>
        <v>0</v>
      </c>
      <c r="H284" s="85">
        <f t="shared" si="0"/>
        <v>0</v>
      </c>
      <c r="I284" s="83" t="s">
        <v>98</v>
      </c>
      <c r="J284" s="83" t="str">
        <f t="shared" si="1"/>
        <v/>
      </c>
      <c r="K284" s="85">
        <f t="shared" si="2"/>
        <v>0</v>
      </c>
      <c r="L284" s="83" t="str">
        <f t="shared" si="3"/>
        <v/>
      </c>
      <c r="M284" s="83">
        <f>'ABR-26'!H63</f>
        <v>0</v>
      </c>
      <c r="N284" s="92" t="str">
        <f ca="1">IF(BD!$C284="","",IF(AND(TODAY()&gt;BD!$C284,OR(BD!$D284="PENDENTE",BD!$D284="")),"VENCIDO",""))</f>
        <v/>
      </c>
      <c r="O284" s="82" t="str">
        <f ca="1">IF(N284 = "VENCIDO",BD!$B284,"")</f>
        <v/>
      </c>
      <c r="P284" s="82" t="str">
        <f ca="1">IF(N284 = "VENCIDO",BD!$C284,"")</f>
        <v/>
      </c>
      <c r="Q284" s="83" t="str">
        <f ca="1">IF(N284 = "VENCIDO",BD!$E284,"")</f>
        <v/>
      </c>
      <c r="R284" s="83" t="str">
        <f ca="1">IF(N284 = "VENCIDO",BD!$F284,"")</f>
        <v/>
      </c>
      <c r="S284" s="85" t="str">
        <f ca="1">IF(N284 = "VENCIDO",BD!$G284,"")</f>
        <v/>
      </c>
      <c r="T284" s="83" t="str">
        <f ca="1">IF(AND(TODAY()&gt;BD!$C284, OR(BD!$D284="PENDENTE", BD!$D284="")), TODAY()-BD!$C284, "")</f>
        <v/>
      </c>
    </row>
    <row r="285" spans="1:20" ht="14.25" customHeight="1" x14ac:dyDescent="0.35">
      <c r="A285" s="32"/>
      <c r="B285" s="82">
        <f>'ABR-26'!A64</f>
        <v>0</v>
      </c>
      <c r="C285" s="82">
        <f>'ABR-26'!B64</f>
        <v>0</v>
      </c>
      <c r="D285" s="82">
        <f>'ABR-26'!C64</f>
        <v>0</v>
      </c>
      <c r="E285" s="83">
        <f>'ABR-26'!D64</f>
        <v>0</v>
      </c>
      <c r="F285" s="84">
        <f>'ABR-26'!E64</f>
        <v>0</v>
      </c>
      <c r="G285" s="85">
        <f>'ABR-26'!F64</f>
        <v>0</v>
      </c>
      <c r="H285" s="85">
        <f t="shared" si="0"/>
        <v>0</v>
      </c>
      <c r="I285" s="83" t="s">
        <v>98</v>
      </c>
      <c r="J285" s="83" t="str">
        <f t="shared" si="1"/>
        <v/>
      </c>
      <c r="K285" s="85">
        <f t="shared" si="2"/>
        <v>0</v>
      </c>
      <c r="L285" s="83" t="str">
        <f t="shared" si="3"/>
        <v/>
      </c>
      <c r="M285" s="83">
        <f>'ABR-26'!H64</f>
        <v>0</v>
      </c>
      <c r="N285" s="92" t="str">
        <f ca="1">IF(BD!$C285="","",IF(AND(TODAY()&gt;BD!$C285,OR(BD!$D285="PENDENTE",BD!$D285="")),"VENCIDO",""))</f>
        <v/>
      </c>
      <c r="O285" s="82" t="str">
        <f ca="1">IF(N285 = "VENCIDO",BD!$B285,"")</f>
        <v/>
      </c>
      <c r="P285" s="82" t="str">
        <f ca="1">IF(N285 = "VENCIDO",BD!$C285,"")</f>
        <v/>
      </c>
      <c r="Q285" s="83" t="str">
        <f ca="1">IF(N285 = "VENCIDO",BD!$E285,"")</f>
        <v/>
      </c>
      <c r="R285" s="83" t="str">
        <f ca="1">IF(N285 = "VENCIDO",BD!$F285,"")</f>
        <v/>
      </c>
      <c r="S285" s="85" t="str">
        <f ca="1">IF(N285 = "VENCIDO",BD!$G285,"")</f>
        <v/>
      </c>
      <c r="T285" s="83" t="str">
        <f ca="1">IF(AND(TODAY()&gt;BD!$C285, OR(BD!$D285="PENDENTE", BD!$D285="")), TODAY()-BD!$C285, "")</f>
        <v/>
      </c>
    </row>
    <row r="286" spans="1:20" ht="14.25" customHeight="1" x14ac:dyDescent="0.35">
      <c r="A286" s="32"/>
      <c r="B286" s="82">
        <f>'ABR-26'!A65</f>
        <v>0</v>
      </c>
      <c r="C286" s="82">
        <f>'ABR-26'!B65</f>
        <v>0</v>
      </c>
      <c r="D286" s="82">
        <f>'ABR-26'!C65</f>
        <v>0</v>
      </c>
      <c r="E286" s="83">
        <f>'ABR-26'!D65</f>
        <v>0</v>
      </c>
      <c r="F286" s="84">
        <f>'ABR-26'!E65</f>
        <v>0</v>
      </c>
      <c r="G286" s="85">
        <f>'ABR-26'!F65</f>
        <v>0</v>
      </c>
      <c r="H286" s="85">
        <f t="shared" si="0"/>
        <v>0</v>
      </c>
      <c r="I286" s="83" t="s">
        <v>98</v>
      </c>
      <c r="J286" s="83" t="str">
        <f t="shared" si="1"/>
        <v/>
      </c>
      <c r="K286" s="85">
        <f t="shared" si="2"/>
        <v>0</v>
      </c>
      <c r="L286" s="83" t="str">
        <f t="shared" si="3"/>
        <v/>
      </c>
      <c r="M286" s="83">
        <f>'ABR-26'!H65</f>
        <v>0</v>
      </c>
      <c r="N286" s="92" t="str">
        <f ca="1">IF(BD!$C286="","",IF(AND(TODAY()&gt;BD!$C286,OR(BD!$D286="PENDENTE",BD!$D286="")),"VENCIDO",""))</f>
        <v/>
      </c>
      <c r="O286" s="82" t="str">
        <f ca="1">IF(N286 = "VENCIDO",BD!$B286,"")</f>
        <v/>
      </c>
      <c r="P286" s="82" t="str">
        <f ca="1">IF(N286 = "VENCIDO",BD!$C286,"")</f>
        <v/>
      </c>
      <c r="Q286" s="83" t="str">
        <f ca="1">IF(N286 = "VENCIDO",BD!$E286,"")</f>
        <v/>
      </c>
      <c r="R286" s="83" t="str">
        <f ca="1">IF(N286 = "VENCIDO",BD!$F286,"")</f>
        <v/>
      </c>
      <c r="S286" s="85" t="str">
        <f ca="1">IF(N286 = "VENCIDO",BD!$G286,"")</f>
        <v/>
      </c>
      <c r="T286" s="83" t="str">
        <f ca="1">IF(AND(TODAY()&gt;BD!$C286, OR(BD!$D286="PENDENTE", BD!$D286="")), TODAY()-BD!$C286, "")</f>
        <v/>
      </c>
    </row>
    <row r="287" spans="1:20" ht="14.25" customHeight="1" x14ac:dyDescent="0.35">
      <c r="A287" s="32"/>
      <c r="B287" s="82">
        <f>'ABR-26'!A66</f>
        <v>0</v>
      </c>
      <c r="C287" s="82">
        <f>'ABR-26'!B66</f>
        <v>0</v>
      </c>
      <c r="D287" s="82">
        <f>'ABR-26'!C66</f>
        <v>0</v>
      </c>
      <c r="E287" s="83">
        <f>'ABR-26'!D66</f>
        <v>0</v>
      </c>
      <c r="F287" s="84">
        <f>'ABR-26'!E66</f>
        <v>0</v>
      </c>
      <c r="G287" s="85">
        <f>'ABR-26'!F66</f>
        <v>0</v>
      </c>
      <c r="H287" s="85">
        <f t="shared" si="0"/>
        <v>0</v>
      </c>
      <c r="I287" s="83" t="s">
        <v>98</v>
      </c>
      <c r="J287" s="83" t="str">
        <f t="shared" si="1"/>
        <v/>
      </c>
      <c r="K287" s="85">
        <f t="shared" si="2"/>
        <v>0</v>
      </c>
      <c r="L287" s="83" t="str">
        <f t="shared" si="3"/>
        <v/>
      </c>
      <c r="M287" s="83">
        <f>'ABR-26'!H66</f>
        <v>0</v>
      </c>
      <c r="N287" s="92" t="str">
        <f ca="1">IF(BD!$C287="","",IF(AND(TODAY()&gt;BD!$C287,OR(BD!$D287="PENDENTE",BD!$D287="")),"VENCIDO",""))</f>
        <v/>
      </c>
      <c r="O287" s="82" t="str">
        <f ca="1">IF(N287 = "VENCIDO",BD!$B287,"")</f>
        <v/>
      </c>
      <c r="P287" s="82" t="str">
        <f ca="1">IF(N287 = "VENCIDO",BD!$C287,"")</f>
        <v/>
      </c>
      <c r="Q287" s="83" t="str">
        <f ca="1">IF(N287 = "VENCIDO",BD!$E287,"")</f>
        <v/>
      </c>
      <c r="R287" s="83" t="str">
        <f ca="1">IF(N287 = "VENCIDO",BD!$F287,"")</f>
        <v/>
      </c>
      <c r="S287" s="85" t="str">
        <f ca="1">IF(N287 = "VENCIDO",BD!$G287,"")</f>
        <v/>
      </c>
      <c r="T287" s="83" t="str">
        <f ca="1">IF(AND(TODAY()&gt;BD!$C287, OR(BD!$D287="PENDENTE", BD!$D287="")), TODAY()-BD!$C287, "")</f>
        <v/>
      </c>
    </row>
    <row r="288" spans="1:20" ht="14.25" customHeight="1" x14ac:dyDescent="0.35">
      <c r="A288" s="32"/>
      <c r="B288" s="82">
        <f>'ABR-26'!A67</f>
        <v>0</v>
      </c>
      <c r="C288" s="82">
        <f>'ABR-26'!B67</f>
        <v>0</v>
      </c>
      <c r="D288" s="82">
        <f>'ABR-26'!C67</f>
        <v>0</v>
      </c>
      <c r="E288" s="83">
        <f>'ABR-26'!D67</f>
        <v>0</v>
      </c>
      <c r="F288" s="84">
        <f>'ABR-26'!E67</f>
        <v>0</v>
      </c>
      <c r="G288" s="85">
        <f>'ABR-26'!F67</f>
        <v>0</v>
      </c>
      <c r="H288" s="85">
        <f t="shared" si="0"/>
        <v>0</v>
      </c>
      <c r="I288" s="83" t="s">
        <v>98</v>
      </c>
      <c r="J288" s="83" t="str">
        <f t="shared" si="1"/>
        <v/>
      </c>
      <c r="K288" s="85">
        <f t="shared" si="2"/>
        <v>0</v>
      </c>
      <c r="L288" s="83" t="str">
        <f t="shared" si="3"/>
        <v/>
      </c>
      <c r="M288" s="83">
        <f>'ABR-26'!H67</f>
        <v>0</v>
      </c>
      <c r="N288" s="92" t="str">
        <f ca="1">IF(BD!$C288="","",IF(AND(TODAY()&gt;BD!$C288,OR(BD!$D288="PENDENTE",BD!$D288="")),"VENCIDO",""))</f>
        <v/>
      </c>
      <c r="O288" s="82" t="str">
        <f ca="1">IF(N288 = "VENCIDO",BD!$B288,"")</f>
        <v/>
      </c>
      <c r="P288" s="82" t="str">
        <f ca="1">IF(N288 = "VENCIDO",BD!$C288,"")</f>
        <v/>
      </c>
      <c r="Q288" s="83" t="str">
        <f ca="1">IF(N288 = "VENCIDO",BD!$E288,"")</f>
        <v/>
      </c>
      <c r="R288" s="83" t="str">
        <f ca="1">IF(N288 = "VENCIDO",BD!$F288,"")</f>
        <v/>
      </c>
      <c r="S288" s="85" t="str">
        <f ca="1">IF(N288 = "VENCIDO",BD!$G288,"")</f>
        <v/>
      </c>
      <c r="T288" s="83" t="str">
        <f ca="1">IF(AND(TODAY()&gt;BD!$C288, OR(BD!$D288="PENDENTE", BD!$D288="")), TODAY()-BD!$C288, "")</f>
        <v/>
      </c>
    </row>
    <row r="289" spans="1:20" ht="14.25" customHeight="1" x14ac:dyDescent="0.35">
      <c r="A289" s="32"/>
      <c r="B289" s="82">
        <f>'ABR-26'!A68</f>
        <v>0</v>
      </c>
      <c r="C289" s="82">
        <f>'ABR-26'!B68</f>
        <v>0</v>
      </c>
      <c r="D289" s="82">
        <f>'ABR-26'!C68</f>
        <v>0</v>
      </c>
      <c r="E289" s="83">
        <f>'ABR-26'!D68</f>
        <v>0</v>
      </c>
      <c r="F289" s="84">
        <f>'ABR-26'!E68</f>
        <v>0</v>
      </c>
      <c r="G289" s="85">
        <f>'ABR-26'!F68</f>
        <v>0</v>
      </c>
      <c r="H289" s="85">
        <f t="shared" si="0"/>
        <v>0</v>
      </c>
      <c r="I289" s="83" t="s">
        <v>98</v>
      </c>
      <c r="J289" s="83" t="str">
        <f t="shared" si="1"/>
        <v/>
      </c>
      <c r="K289" s="85">
        <f t="shared" si="2"/>
        <v>0</v>
      </c>
      <c r="L289" s="83" t="str">
        <f t="shared" si="3"/>
        <v/>
      </c>
      <c r="M289" s="83">
        <f>'ABR-26'!H68</f>
        <v>0</v>
      </c>
      <c r="N289" s="92" t="str">
        <f ca="1">IF(BD!$C289="","",IF(AND(TODAY()&gt;BD!$C289,OR(BD!$D289="PENDENTE",BD!$D289="")),"VENCIDO",""))</f>
        <v/>
      </c>
      <c r="O289" s="82" t="str">
        <f ca="1">IF(N289 = "VENCIDO",BD!$B289,"")</f>
        <v/>
      </c>
      <c r="P289" s="82" t="str">
        <f ca="1">IF(N289 = "VENCIDO",BD!$C289,"")</f>
        <v/>
      </c>
      <c r="Q289" s="83" t="str">
        <f ca="1">IF(N289 = "VENCIDO",BD!$E289,"")</f>
        <v/>
      </c>
      <c r="R289" s="83" t="str">
        <f ca="1">IF(N289 = "VENCIDO",BD!$F289,"")</f>
        <v/>
      </c>
      <c r="S289" s="85" t="str">
        <f ca="1">IF(N289 = "VENCIDO",BD!$G289,"")</f>
        <v/>
      </c>
      <c r="T289" s="83" t="str">
        <f ca="1">IF(AND(TODAY()&gt;BD!$C289, OR(BD!$D289="PENDENTE", BD!$D289="")), TODAY()-BD!$C289, "")</f>
        <v/>
      </c>
    </row>
    <row r="290" spans="1:20" ht="14.25" customHeight="1" x14ac:dyDescent="0.35">
      <c r="A290" s="32"/>
      <c r="B290" s="82">
        <f>'ABR-26'!A69</f>
        <v>0</v>
      </c>
      <c r="C290" s="82">
        <f>'ABR-26'!B69</f>
        <v>0</v>
      </c>
      <c r="D290" s="82">
        <f>'ABR-26'!C69</f>
        <v>0</v>
      </c>
      <c r="E290" s="83">
        <f>'ABR-26'!D69</f>
        <v>0</v>
      </c>
      <c r="F290" s="84">
        <f>'ABR-26'!E69</f>
        <v>0</v>
      </c>
      <c r="G290" s="85">
        <f>'ABR-26'!F69</f>
        <v>0</v>
      </c>
      <c r="H290" s="85">
        <f t="shared" si="0"/>
        <v>0</v>
      </c>
      <c r="I290" s="83" t="s">
        <v>98</v>
      </c>
      <c r="J290" s="83" t="str">
        <f t="shared" si="1"/>
        <v/>
      </c>
      <c r="K290" s="85">
        <f t="shared" si="2"/>
        <v>0</v>
      </c>
      <c r="L290" s="83" t="str">
        <f t="shared" si="3"/>
        <v/>
      </c>
      <c r="M290" s="83">
        <f>'ABR-26'!H69</f>
        <v>0</v>
      </c>
      <c r="N290" s="92" t="str">
        <f ca="1">IF(BD!$C290="","",IF(AND(TODAY()&gt;BD!$C290,OR(BD!$D290="PENDENTE",BD!$D290="")),"VENCIDO",""))</f>
        <v/>
      </c>
      <c r="O290" s="82" t="str">
        <f ca="1">IF(N290 = "VENCIDO",BD!$B290,"")</f>
        <v/>
      </c>
      <c r="P290" s="82" t="str">
        <f ca="1">IF(N290 = "VENCIDO",BD!$C290,"")</f>
        <v/>
      </c>
      <c r="Q290" s="83" t="str">
        <f ca="1">IF(N290 = "VENCIDO",BD!$E290,"")</f>
        <v/>
      </c>
      <c r="R290" s="83" t="str">
        <f ca="1">IF(N290 = "VENCIDO",BD!$F290,"")</f>
        <v/>
      </c>
      <c r="S290" s="85" t="str">
        <f ca="1">IF(N290 = "VENCIDO",BD!$G290,"")</f>
        <v/>
      </c>
      <c r="T290" s="83" t="str">
        <f ca="1">IF(AND(TODAY()&gt;BD!$C290, OR(BD!$D290="PENDENTE", BD!$D290="")), TODAY()-BD!$C290, "")</f>
        <v/>
      </c>
    </row>
    <row r="291" spans="1:20" ht="14.25" customHeight="1" x14ac:dyDescent="0.35">
      <c r="A291" s="32"/>
      <c r="B291" s="82">
        <f>'ABR-26'!A70</f>
        <v>0</v>
      </c>
      <c r="C291" s="82">
        <f>'ABR-26'!B70</f>
        <v>0</v>
      </c>
      <c r="D291" s="82">
        <f>'ABR-26'!C70</f>
        <v>0</v>
      </c>
      <c r="E291" s="83">
        <f>'ABR-26'!D70</f>
        <v>0</v>
      </c>
      <c r="F291" s="84">
        <f>'ABR-26'!E70</f>
        <v>0</v>
      </c>
      <c r="G291" s="85">
        <f>'ABR-26'!F70</f>
        <v>0</v>
      </c>
      <c r="H291" s="85">
        <f t="shared" si="0"/>
        <v>0</v>
      </c>
      <c r="I291" s="83" t="s">
        <v>98</v>
      </c>
      <c r="J291" s="83" t="str">
        <f t="shared" si="1"/>
        <v/>
      </c>
      <c r="K291" s="85">
        <f t="shared" si="2"/>
        <v>0</v>
      </c>
      <c r="L291" s="83" t="str">
        <f t="shared" si="3"/>
        <v/>
      </c>
      <c r="M291" s="83">
        <f>'ABR-26'!H70</f>
        <v>0</v>
      </c>
      <c r="N291" s="92" t="str">
        <f ca="1">IF(BD!$C291="","",IF(AND(TODAY()&gt;BD!$C291,OR(BD!$D291="PENDENTE",BD!$D291="")),"VENCIDO",""))</f>
        <v/>
      </c>
      <c r="O291" s="82" t="str">
        <f ca="1">IF(N291 = "VENCIDO",BD!$B291,"")</f>
        <v/>
      </c>
      <c r="P291" s="82" t="str">
        <f ca="1">IF(N291 = "VENCIDO",BD!$C291,"")</f>
        <v/>
      </c>
      <c r="Q291" s="83" t="str">
        <f ca="1">IF(N291 = "VENCIDO",BD!$E291,"")</f>
        <v/>
      </c>
      <c r="R291" s="83" t="str">
        <f ca="1">IF(N291 = "VENCIDO",BD!$F291,"")</f>
        <v/>
      </c>
      <c r="S291" s="85" t="str">
        <f ca="1">IF(N291 = "VENCIDO",BD!$G291,"")</f>
        <v/>
      </c>
      <c r="T291" s="83" t="str">
        <f ca="1">IF(AND(TODAY()&gt;BD!$C291, OR(BD!$D291="PENDENTE", BD!$D291="")), TODAY()-BD!$C291, "")</f>
        <v/>
      </c>
    </row>
    <row r="292" spans="1:20" ht="14.25" customHeight="1" x14ac:dyDescent="0.35">
      <c r="A292" s="32"/>
      <c r="B292" s="82">
        <f>'ABR-26'!A71</f>
        <v>0</v>
      </c>
      <c r="C292" s="82">
        <f>'ABR-26'!B71</f>
        <v>0</v>
      </c>
      <c r="D292" s="82">
        <f>'ABR-26'!C71</f>
        <v>0</v>
      </c>
      <c r="E292" s="83">
        <f>'ABR-26'!D71</f>
        <v>0</v>
      </c>
      <c r="F292" s="84">
        <f>'ABR-26'!E71</f>
        <v>0</v>
      </c>
      <c r="G292" s="85">
        <f>'ABR-26'!F71</f>
        <v>0</v>
      </c>
      <c r="H292" s="85">
        <f t="shared" si="0"/>
        <v>0</v>
      </c>
      <c r="I292" s="83" t="s">
        <v>98</v>
      </c>
      <c r="J292" s="83" t="str">
        <f t="shared" si="1"/>
        <v/>
      </c>
      <c r="K292" s="85">
        <f t="shared" si="2"/>
        <v>0</v>
      </c>
      <c r="L292" s="83" t="str">
        <f t="shared" si="3"/>
        <v/>
      </c>
      <c r="M292" s="83">
        <f>'ABR-26'!H71</f>
        <v>0</v>
      </c>
      <c r="N292" s="92" t="str">
        <f ca="1">IF(BD!$C292="","",IF(AND(TODAY()&gt;BD!$C292,OR(BD!$D292="PENDENTE",BD!$D292="")),"VENCIDO",""))</f>
        <v/>
      </c>
      <c r="O292" s="82" t="str">
        <f ca="1">IF(N292 = "VENCIDO",BD!$B292,"")</f>
        <v/>
      </c>
      <c r="P292" s="82" t="str">
        <f ca="1">IF(N292 = "VENCIDO",BD!$C292,"")</f>
        <v/>
      </c>
      <c r="Q292" s="83" t="str">
        <f ca="1">IF(N292 = "VENCIDO",BD!$E292,"")</f>
        <v/>
      </c>
      <c r="R292" s="83" t="str">
        <f ca="1">IF(N292 = "VENCIDO",BD!$F292,"")</f>
        <v/>
      </c>
      <c r="S292" s="85" t="str">
        <f ca="1">IF(N292 = "VENCIDO",BD!$G292,"")</f>
        <v/>
      </c>
      <c r="T292" s="83" t="str">
        <f ca="1">IF(AND(TODAY()&gt;BD!$C292, OR(BD!$D292="PENDENTE", BD!$D292="")), TODAY()-BD!$C292, "")</f>
        <v/>
      </c>
    </row>
    <row r="293" spans="1:20" ht="14.25" customHeight="1" x14ac:dyDescent="0.35">
      <c r="A293" s="32"/>
      <c r="B293" s="82">
        <f>'ABR-26'!A72</f>
        <v>0</v>
      </c>
      <c r="C293" s="82">
        <f>'ABR-26'!B72</f>
        <v>0</v>
      </c>
      <c r="D293" s="82">
        <f>'ABR-26'!C72</f>
        <v>0</v>
      </c>
      <c r="E293" s="83">
        <f>'ABR-26'!D72</f>
        <v>0</v>
      </c>
      <c r="F293" s="84">
        <f>'ABR-26'!E72</f>
        <v>0</v>
      </c>
      <c r="G293" s="85">
        <f>'ABR-26'!F72</f>
        <v>0</v>
      </c>
      <c r="H293" s="85">
        <f t="shared" si="0"/>
        <v>0</v>
      </c>
      <c r="I293" s="83" t="s">
        <v>98</v>
      </c>
      <c r="J293" s="83" t="str">
        <f t="shared" si="1"/>
        <v/>
      </c>
      <c r="K293" s="85">
        <f t="shared" si="2"/>
        <v>0</v>
      </c>
      <c r="L293" s="83" t="str">
        <f t="shared" si="3"/>
        <v/>
      </c>
      <c r="M293" s="83">
        <f>'ABR-26'!H72</f>
        <v>0</v>
      </c>
      <c r="N293" s="92" t="str">
        <f ca="1">IF(BD!$C293="","",IF(AND(TODAY()&gt;BD!$C293,OR(BD!$D293="PENDENTE",BD!$D293="")),"VENCIDO",""))</f>
        <v/>
      </c>
      <c r="O293" s="82" t="str">
        <f ca="1">IF(N293 = "VENCIDO",BD!$B293,"")</f>
        <v/>
      </c>
      <c r="P293" s="82" t="str">
        <f ca="1">IF(N293 = "VENCIDO",BD!$C293,"")</f>
        <v/>
      </c>
      <c r="Q293" s="83" t="str">
        <f ca="1">IF(N293 = "VENCIDO",BD!$E293,"")</f>
        <v/>
      </c>
      <c r="R293" s="83" t="str">
        <f ca="1">IF(N293 = "VENCIDO",BD!$F293,"")</f>
        <v/>
      </c>
      <c r="S293" s="85" t="str">
        <f ca="1">IF(N293 = "VENCIDO",BD!$G293,"")</f>
        <v/>
      </c>
      <c r="T293" s="83" t="str">
        <f ca="1">IF(AND(TODAY()&gt;BD!$C293, OR(BD!$D293="PENDENTE", BD!$D293="")), TODAY()-BD!$C293, "")</f>
        <v/>
      </c>
    </row>
    <row r="294" spans="1:20" ht="14.25" customHeight="1" x14ac:dyDescent="0.35">
      <c r="A294" s="32"/>
      <c r="B294" s="82">
        <f>'ABR-26'!A73</f>
        <v>0</v>
      </c>
      <c r="C294" s="82">
        <f>'ABR-26'!B73</f>
        <v>0</v>
      </c>
      <c r="D294" s="82">
        <f>'ABR-26'!C73</f>
        <v>0</v>
      </c>
      <c r="E294" s="83">
        <f>'ABR-26'!D73</f>
        <v>0</v>
      </c>
      <c r="F294" s="84">
        <f>'ABR-26'!E73</f>
        <v>0</v>
      </c>
      <c r="G294" s="85">
        <f>'ABR-26'!F73</f>
        <v>0</v>
      </c>
      <c r="H294" s="85">
        <f t="shared" si="0"/>
        <v>0</v>
      </c>
      <c r="I294" s="83" t="s">
        <v>98</v>
      </c>
      <c r="J294" s="83" t="str">
        <f t="shared" si="1"/>
        <v/>
      </c>
      <c r="K294" s="85">
        <f t="shared" si="2"/>
        <v>0</v>
      </c>
      <c r="L294" s="83" t="str">
        <f t="shared" si="3"/>
        <v/>
      </c>
      <c r="M294" s="83">
        <f>'ABR-26'!H73</f>
        <v>0</v>
      </c>
      <c r="N294" s="92" t="str">
        <f ca="1">IF(BD!$C294="","",IF(AND(TODAY()&gt;BD!$C294,OR(BD!$D294="PENDENTE",BD!$D294="")),"VENCIDO",""))</f>
        <v/>
      </c>
      <c r="O294" s="82" t="str">
        <f ca="1">IF(N294 = "VENCIDO",BD!$B294,"")</f>
        <v/>
      </c>
      <c r="P294" s="82" t="str">
        <f ca="1">IF(N294 = "VENCIDO",BD!$C294,"")</f>
        <v/>
      </c>
      <c r="Q294" s="83" t="str">
        <f ca="1">IF(N294 = "VENCIDO",BD!$E294,"")</f>
        <v/>
      </c>
      <c r="R294" s="83" t="str">
        <f ca="1">IF(N294 = "VENCIDO",BD!$F294,"")</f>
        <v/>
      </c>
      <c r="S294" s="85" t="str">
        <f ca="1">IF(N294 = "VENCIDO",BD!$G294,"")</f>
        <v/>
      </c>
      <c r="T294" s="83" t="str">
        <f ca="1">IF(AND(TODAY()&gt;BD!$C294, OR(BD!$D294="PENDENTE", BD!$D294="")), TODAY()-BD!$C294, "")</f>
        <v/>
      </c>
    </row>
    <row r="295" spans="1:20" ht="14.25" customHeight="1" x14ac:dyDescent="0.35">
      <c r="A295" s="32"/>
      <c r="B295" s="82">
        <f>'ABR-26'!A74</f>
        <v>0</v>
      </c>
      <c r="C295" s="82">
        <f>'ABR-26'!B74</f>
        <v>0</v>
      </c>
      <c r="D295" s="82">
        <f>'ABR-26'!C74</f>
        <v>0</v>
      </c>
      <c r="E295" s="83">
        <f>'ABR-26'!D74</f>
        <v>0</v>
      </c>
      <c r="F295" s="84">
        <f>'ABR-26'!E74</f>
        <v>0</v>
      </c>
      <c r="G295" s="85">
        <f>'ABR-26'!F74</f>
        <v>0</v>
      </c>
      <c r="H295" s="85">
        <f t="shared" si="0"/>
        <v>0</v>
      </c>
      <c r="I295" s="83" t="s">
        <v>98</v>
      </c>
      <c r="J295" s="83" t="str">
        <f t="shared" si="1"/>
        <v/>
      </c>
      <c r="K295" s="85">
        <f t="shared" si="2"/>
        <v>0</v>
      </c>
      <c r="L295" s="83" t="str">
        <f t="shared" si="3"/>
        <v/>
      </c>
      <c r="M295" s="83">
        <f>'ABR-26'!H74</f>
        <v>0</v>
      </c>
      <c r="N295" s="92" t="str">
        <f ca="1">IF(BD!$C295="","",IF(AND(TODAY()&gt;BD!$C295,OR(BD!$D295="PENDENTE",BD!$D295="")),"VENCIDO",""))</f>
        <v/>
      </c>
      <c r="O295" s="82" t="str">
        <f ca="1">IF(N295 = "VENCIDO",BD!$B295,"")</f>
        <v/>
      </c>
      <c r="P295" s="82" t="str">
        <f ca="1">IF(N295 = "VENCIDO",BD!$C295,"")</f>
        <v/>
      </c>
      <c r="Q295" s="83" t="str">
        <f ca="1">IF(N295 = "VENCIDO",BD!$E295,"")</f>
        <v/>
      </c>
      <c r="R295" s="83" t="str">
        <f ca="1">IF(N295 = "VENCIDO",BD!$F295,"")</f>
        <v/>
      </c>
      <c r="S295" s="85" t="str">
        <f ca="1">IF(N295 = "VENCIDO",BD!$G295,"")</f>
        <v/>
      </c>
      <c r="T295" s="83" t="str">
        <f ca="1">IF(AND(TODAY()&gt;BD!$C295, OR(BD!$D295="PENDENTE", BD!$D295="")), TODAY()-BD!$C295, "")</f>
        <v/>
      </c>
    </row>
    <row r="296" spans="1:20" ht="14.25" customHeight="1" x14ac:dyDescent="0.35">
      <c r="A296" s="32"/>
      <c r="B296" s="82">
        <f>'ABR-26'!A75</f>
        <v>0</v>
      </c>
      <c r="C296" s="82">
        <f>'ABR-26'!B75</f>
        <v>0</v>
      </c>
      <c r="D296" s="82">
        <f>'ABR-26'!C75</f>
        <v>0</v>
      </c>
      <c r="E296" s="83">
        <f>'ABR-26'!D75</f>
        <v>0</v>
      </c>
      <c r="F296" s="84">
        <f>'ABR-26'!E75</f>
        <v>0</v>
      </c>
      <c r="G296" s="85">
        <f>'ABR-26'!F75</f>
        <v>0</v>
      </c>
      <c r="H296" s="85">
        <f t="shared" si="0"/>
        <v>0</v>
      </c>
      <c r="I296" s="83" t="s">
        <v>98</v>
      </c>
      <c r="J296" s="83" t="str">
        <f t="shared" si="1"/>
        <v/>
      </c>
      <c r="K296" s="85">
        <f t="shared" si="2"/>
        <v>0</v>
      </c>
      <c r="L296" s="83" t="str">
        <f t="shared" si="3"/>
        <v/>
      </c>
      <c r="M296" s="83">
        <f>'ABR-26'!H75</f>
        <v>0</v>
      </c>
      <c r="N296" s="92" t="str">
        <f ca="1">IF(BD!$C296="","",IF(AND(TODAY()&gt;BD!$C296,OR(BD!$D296="PENDENTE",BD!$D296="")),"VENCIDO",""))</f>
        <v/>
      </c>
      <c r="O296" s="82" t="str">
        <f ca="1">IF(N296 = "VENCIDO",BD!$B296,"")</f>
        <v/>
      </c>
      <c r="P296" s="82" t="str">
        <f ca="1">IF(N296 = "VENCIDO",BD!$C296,"")</f>
        <v/>
      </c>
      <c r="Q296" s="83" t="str">
        <f ca="1">IF(N296 = "VENCIDO",BD!$E296,"")</f>
        <v/>
      </c>
      <c r="R296" s="83" t="str">
        <f ca="1">IF(N296 = "VENCIDO",BD!$F296,"")</f>
        <v/>
      </c>
      <c r="S296" s="85" t="str">
        <f ca="1">IF(N296 = "VENCIDO",BD!$G296,"")</f>
        <v/>
      </c>
      <c r="T296" s="83" t="str">
        <f ca="1">IF(AND(TODAY()&gt;BD!$C296, OR(BD!$D296="PENDENTE", BD!$D296="")), TODAY()-BD!$C296, "")</f>
        <v/>
      </c>
    </row>
    <row r="297" spans="1:20" ht="14.25" customHeight="1" x14ac:dyDescent="0.35">
      <c r="A297" s="32"/>
      <c r="B297" s="82">
        <f>'ABR-26'!A76</f>
        <v>0</v>
      </c>
      <c r="C297" s="82">
        <f>'ABR-26'!B76</f>
        <v>0</v>
      </c>
      <c r="D297" s="82">
        <f>'ABR-26'!C76</f>
        <v>0</v>
      </c>
      <c r="E297" s="83">
        <f>'ABR-26'!D76</f>
        <v>0</v>
      </c>
      <c r="F297" s="84">
        <f>'ABR-26'!E76</f>
        <v>0</v>
      </c>
      <c r="G297" s="85">
        <f>'ABR-26'!F76</f>
        <v>0</v>
      </c>
      <c r="H297" s="85">
        <f t="shared" si="0"/>
        <v>0</v>
      </c>
      <c r="I297" s="83" t="s">
        <v>98</v>
      </c>
      <c r="J297" s="83" t="str">
        <f t="shared" si="1"/>
        <v/>
      </c>
      <c r="K297" s="85">
        <f t="shared" si="2"/>
        <v>0</v>
      </c>
      <c r="L297" s="83" t="str">
        <f t="shared" si="3"/>
        <v/>
      </c>
      <c r="M297" s="83">
        <f>'ABR-26'!H76</f>
        <v>0</v>
      </c>
      <c r="N297" s="92" t="str">
        <f ca="1">IF(BD!$C297="","",IF(AND(TODAY()&gt;BD!$C297,OR(BD!$D297="PENDENTE",BD!$D297="")),"VENCIDO",""))</f>
        <v/>
      </c>
      <c r="O297" s="82" t="str">
        <f ca="1">IF(N297 = "VENCIDO",BD!$B297,"")</f>
        <v/>
      </c>
      <c r="P297" s="82" t="str">
        <f ca="1">IF(N297 = "VENCIDO",BD!$C297,"")</f>
        <v/>
      </c>
      <c r="Q297" s="83" t="str">
        <f ca="1">IF(N297 = "VENCIDO",BD!$E297,"")</f>
        <v/>
      </c>
      <c r="R297" s="83" t="str">
        <f ca="1">IF(N297 = "VENCIDO",BD!$F297,"")</f>
        <v/>
      </c>
      <c r="S297" s="85" t="str">
        <f ca="1">IF(N297 = "VENCIDO",BD!$G297,"")</f>
        <v/>
      </c>
      <c r="T297" s="83" t="str">
        <f ca="1">IF(AND(TODAY()&gt;BD!$C297, OR(BD!$D297="PENDENTE", BD!$D297="")), TODAY()-BD!$C297, "")</f>
        <v/>
      </c>
    </row>
    <row r="298" spans="1:20" ht="14.25" customHeight="1" x14ac:dyDescent="0.35">
      <c r="A298" s="32"/>
      <c r="B298" s="82">
        <f>'MAI-26'!A3</f>
        <v>0</v>
      </c>
      <c r="C298" s="82">
        <f>'MAI-26'!B3</f>
        <v>0</v>
      </c>
      <c r="D298" s="82">
        <f>'MAI-26'!C3</f>
        <v>0</v>
      </c>
      <c r="E298" s="83">
        <f>'MAI-26'!D3</f>
        <v>0</v>
      </c>
      <c r="F298" s="84">
        <f>'MAI-26'!E3</f>
        <v>0</v>
      </c>
      <c r="G298" s="85">
        <f>'MAI-26'!F3</f>
        <v>0</v>
      </c>
      <c r="H298" s="85">
        <f t="shared" si="0"/>
        <v>0</v>
      </c>
      <c r="I298" s="83" t="s">
        <v>99</v>
      </c>
      <c r="J298" s="83" t="str">
        <f t="shared" si="1"/>
        <v/>
      </c>
      <c r="K298" s="85">
        <f t="shared" si="2"/>
        <v>0</v>
      </c>
      <c r="L298" s="83" t="str">
        <f t="shared" si="3"/>
        <v/>
      </c>
      <c r="M298" s="83">
        <f>'MAI-26'!H3</f>
        <v>0</v>
      </c>
      <c r="N298" s="92" t="str">
        <f ca="1">IF(BD!$C298="","",IF(AND(TODAY()&gt;BD!$C298,OR(BD!$D298="PENDENTE",BD!$D298="")),"VENCIDO",""))</f>
        <v/>
      </c>
      <c r="O298" s="82" t="str">
        <f ca="1">IF(N298 = "VENCIDO",BD!$B298,"")</f>
        <v/>
      </c>
      <c r="P298" s="82" t="str">
        <f ca="1">IF(N298 = "VENCIDO",BD!$C298,"")</f>
        <v/>
      </c>
      <c r="Q298" s="83" t="str">
        <f ca="1">IF(N298 = "VENCIDO",BD!$E298,"")</f>
        <v/>
      </c>
      <c r="R298" s="83" t="str">
        <f ca="1">IF(N298 = "VENCIDO",BD!$F298,"")</f>
        <v/>
      </c>
      <c r="S298" s="85" t="str">
        <f ca="1">IF(N298 = "VENCIDO",BD!$G298,"")</f>
        <v/>
      </c>
      <c r="T298" s="83" t="str">
        <f ca="1">IF(AND(TODAY()&gt;BD!$C298, OR(BD!$D298="PENDENTE", BD!$D298="")), TODAY()-BD!$C298, "")</f>
        <v/>
      </c>
    </row>
    <row r="299" spans="1:20" ht="14.25" customHeight="1" x14ac:dyDescent="0.35">
      <c r="A299" s="32"/>
      <c r="B299" s="82">
        <f>'MAI-26'!A4</f>
        <v>0</v>
      </c>
      <c r="C299" s="82">
        <f>'MAI-26'!B4</f>
        <v>0</v>
      </c>
      <c r="D299" s="82">
        <f>'MAI-26'!C4</f>
        <v>0</v>
      </c>
      <c r="E299" s="83">
        <f>'MAI-26'!D4</f>
        <v>0</v>
      </c>
      <c r="F299" s="84">
        <f>'MAI-26'!E4</f>
        <v>0</v>
      </c>
      <c r="G299" s="85">
        <f>'MAI-26'!F4</f>
        <v>0</v>
      </c>
      <c r="H299" s="85">
        <f t="shared" si="0"/>
        <v>0</v>
      </c>
      <c r="I299" s="83" t="s">
        <v>99</v>
      </c>
      <c r="J299" s="83" t="str">
        <f t="shared" si="1"/>
        <v/>
      </c>
      <c r="K299" s="85">
        <f t="shared" si="2"/>
        <v>0</v>
      </c>
      <c r="L299" s="83" t="str">
        <f t="shared" si="3"/>
        <v/>
      </c>
      <c r="M299" s="83">
        <f>'MAI-26'!H4</f>
        <v>0</v>
      </c>
      <c r="N299" s="92" t="str">
        <f ca="1">IF(BD!$C299="","",IF(AND(TODAY()&gt;BD!$C299,OR(BD!$D299="PENDENTE",BD!$D299="")),"VENCIDO",""))</f>
        <v/>
      </c>
      <c r="O299" s="82" t="str">
        <f ca="1">IF(N299 = "VENCIDO",BD!$B299,"")</f>
        <v/>
      </c>
      <c r="P299" s="82" t="str">
        <f ca="1">IF(N299 = "VENCIDO",BD!$C299,"")</f>
        <v/>
      </c>
      <c r="Q299" s="83" t="str">
        <f ca="1">IF(N299 = "VENCIDO",BD!$E299,"")</f>
        <v/>
      </c>
      <c r="R299" s="83" t="str">
        <f ca="1">IF(N299 = "VENCIDO",BD!$F299,"")</f>
        <v/>
      </c>
      <c r="S299" s="85" t="str">
        <f ca="1">IF(N299 = "VENCIDO",BD!$G299,"")</f>
        <v/>
      </c>
      <c r="T299" s="83" t="str">
        <f ca="1">IF(AND(TODAY()&gt;BD!$C299, OR(BD!$D299="PENDENTE", BD!$D299="")), TODAY()-BD!$C299, "")</f>
        <v/>
      </c>
    </row>
    <row r="300" spans="1:20" ht="14.25" customHeight="1" x14ac:dyDescent="0.35">
      <c r="A300" s="32"/>
      <c r="B300" s="82">
        <f>'MAI-26'!A5</f>
        <v>0</v>
      </c>
      <c r="C300" s="82">
        <f>'MAI-26'!B5</f>
        <v>0</v>
      </c>
      <c r="D300" s="82">
        <f>'MAI-26'!C5</f>
        <v>0</v>
      </c>
      <c r="E300" s="83">
        <f>'MAI-26'!D5</f>
        <v>0</v>
      </c>
      <c r="F300" s="84">
        <f>'MAI-26'!E5</f>
        <v>0</v>
      </c>
      <c r="G300" s="85">
        <f>'MAI-26'!F5</f>
        <v>0</v>
      </c>
      <c r="H300" s="85">
        <f t="shared" si="0"/>
        <v>0</v>
      </c>
      <c r="I300" s="83" t="s">
        <v>99</v>
      </c>
      <c r="J300" s="83" t="str">
        <f t="shared" si="1"/>
        <v/>
      </c>
      <c r="K300" s="85">
        <f t="shared" si="2"/>
        <v>0</v>
      </c>
      <c r="L300" s="83" t="str">
        <f t="shared" si="3"/>
        <v/>
      </c>
      <c r="M300" s="83">
        <f>'MAI-26'!H5</f>
        <v>0</v>
      </c>
      <c r="N300" s="92" t="str">
        <f ca="1">IF(BD!$C300="","",IF(AND(TODAY()&gt;BD!$C300,OR(BD!$D300="PENDENTE",BD!$D300="")),"VENCIDO",""))</f>
        <v/>
      </c>
      <c r="O300" s="82" t="str">
        <f ca="1">IF(N300 = "VENCIDO",BD!$B300,"")</f>
        <v/>
      </c>
      <c r="P300" s="82" t="str">
        <f ca="1">IF(N300 = "VENCIDO",BD!$C300,"")</f>
        <v/>
      </c>
      <c r="Q300" s="83" t="str">
        <f ca="1">IF(N300 = "VENCIDO",BD!$E300,"")</f>
        <v/>
      </c>
      <c r="R300" s="83" t="str">
        <f ca="1">IF(N300 = "VENCIDO",BD!$F300,"")</f>
        <v/>
      </c>
      <c r="S300" s="85" t="str">
        <f ca="1">IF(N300 = "VENCIDO",BD!$G300,"")</f>
        <v/>
      </c>
      <c r="T300" s="83" t="str">
        <f ca="1">IF(AND(TODAY()&gt;BD!$C300, OR(BD!$D300="PENDENTE", BD!$D300="")), TODAY()-BD!$C300, "")</f>
        <v/>
      </c>
    </row>
    <row r="301" spans="1:20" ht="14.25" customHeight="1" x14ac:dyDescent="0.35">
      <c r="A301" s="32"/>
      <c r="B301" s="82">
        <f>'MAI-26'!A6</f>
        <v>0</v>
      </c>
      <c r="C301" s="82">
        <f>'MAI-26'!B6</f>
        <v>0</v>
      </c>
      <c r="D301" s="82">
        <f>'MAI-26'!C6</f>
        <v>0</v>
      </c>
      <c r="E301" s="83">
        <f>'MAI-26'!D6</f>
        <v>0</v>
      </c>
      <c r="F301" s="84">
        <f>'MAI-26'!E6</f>
        <v>0</v>
      </c>
      <c r="G301" s="85">
        <f>'MAI-26'!F6</f>
        <v>0</v>
      </c>
      <c r="H301" s="85">
        <f t="shared" si="0"/>
        <v>0</v>
      </c>
      <c r="I301" s="83" t="s">
        <v>99</v>
      </c>
      <c r="J301" s="83" t="str">
        <f t="shared" si="1"/>
        <v/>
      </c>
      <c r="K301" s="85">
        <f t="shared" si="2"/>
        <v>0</v>
      </c>
      <c r="L301" s="83" t="str">
        <f t="shared" si="3"/>
        <v/>
      </c>
      <c r="M301" s="83">
        <f>'MAI-26'!H6</f>
        <v>0</v>
      </c>
      <c r="N301" s="92" t="str">
        <f ca="1">IF(BD!$C301="","",IF(AND(TODAY()&gt;BD!$C301,OR(BD!$D301="PENDENTE",BD!$D301="")),"VENCIDO",""))</f>
        <v/>
      </c>
      <c r="O301" s="82" t="str">
        <f ca="1">IF(N301 = "VENCIDO",BD!$B301,"")</f>
        <v/>
      </c>
      <c r="P301" s="82" t="str">
        <f ca="1">IF(N301 = "VENCIDO",BD!$C301,"")</f>
        <v/>
      </c>
      <c r="Q301" s="83" t="str">
        <f ca="1">IF(N301 = "VENCIDO",BD!$E301,"")</f>
        <v/>
      </c>
      <c r="R301" s="83" t="str">
        <f ca="1">IF(N301 = "VENCIDO",BD!$F301,"")</f>
        <v/>
      </c>
      <c r="S301" s="85" t="str">
        <f ca="1">IF(N301 = "VENCIDO",BD!$G301,"")</f>
        <v/>
      </c>
      <c r="T301" s="83" t="str">
        <f ca="1">IF(AND(TODAY()&gt;BD!$C301, OR(BD!$D301="PENDENTE", BD!$D301="")), TODAY()-BD!$C301, "")</f>
        <v/>
      </c>
    </row>
    <row r="302" spans="1:20" ht="14.25" customHeight="1" x14ac:dyDescent="0.35">
      <c r="A302" s="32"/>
      <c r="B302" s="82">
        <f>'MAI-26'!A7</f>
        <v>0</v>
      </c>
      <c r="C302" s="82">
        <f>'MAI-26'!B7</f>
        <v>0</v>
      </c>
      <c r="D302" s="82">
        <f>'MAI-26'!C7</f>
        <v>0</v>
      </c>
      <c r="E302" s="83">
        <f>'MAI-26'!D7</f>
        <v>0</v>
      </c>
      <c r="F302" s="84">
        <f>'MAI-26'!E7</f>
        <v>0</v>
      </c>
      <c r="G302" s="85">
        <f>'MAI-26'!F7</f>
        <v>0</v>
      </c>
      <c r="H302" s="85">
        <f t="shared" si="0"/>
        <v>0</v>
      </c>
      <c r="I302" s="83" t="s">
        <v>99</v>
      </c>
      <c r="J302" s="83" t="str">
        <f t="shared" si="1"/>
        <v/>
      </c>
      <c r="K302" s="85">
        <f t="shared" si="2"/>
        <v>0</v>
      </c>
      <c r="L302" s="83" t="str">
        <f t="shared" si="3"/>
        <v/>
      </c>
      <c r="M302" s="83">
        <f>'MAI-26'!H7</f>
        <v>0</v>
      </c>
      <c r="N302" s="92" t="str">
        <f ca="1">IF(BD!$C302="","",IF(AND(TODAY()&gt;BD!$C302,OR(BD!$D302="PENDENTE",BD!$D302="")),"VENCIDO",""))</f>
        <v/>
      </c>
      <c r="O302" s="82" t="str">
        <f ca="1">IF(N302 = "VENCIDO",BD!$B302,"")</f>
        <v/>
      </c>
      <c r="P302" s="82" t="str">
        <f ca="1">IF(N302 = "VENCIDO",BD!$C302,"")</f>
        <v/>
      </c>
      <c r="Q302" s="83" t="str">
        <f ca="1">IF(N302 = "VENCIDO",BD!$E302,"")</f>
        <v/>
      </c>
      <c r="R302" s="83" t="str">
        <f ca="1">IF(N302 = "VENCIDO",BD!$F302,"")</f>
        <v/>
      </c>
      <c r="S302" s="85" t="str">
        <f ca="1">IF(N302 = "VENCIDO",BD!$G302,"")</f>
        <v/>
      </c>
      <c r="T302" s="83" t="str">
        <f ca="1">IF(AND(TODAY()&gt;BD!$C302, OR(BD!$D302="PENDENTE", BD!$D302="")), TODAY()-BD!$C302, "")</f>
        <v/>
      </c>
    </row>
    <row r="303" spans="1:20" ht="14.25" customHeight="1" x14ac:dyDescent="0.35">
      <c r="A303" s="32"/>
      <c r="B303" s="82">
        <f>'MAI-26'!A8</f>
        <v>0</v>
      </c>
      <c r="C303" s="82">
        <f>'MAI-26'!B8</f>
        <v>0</v>
      </c>
      <c r="D303" s="82">
        <f>'MAI-26'!C8</f>
        <v>0</v>
      </c>
      <c r="E303" s="83">
        <f>'MAI-26'!D8</f>
        <v>0</v>
      </c>
      <c r="F303" s="84">
        <f>'MAI-26'!E8</f>
        <v>0</v>
      </c>
      <c r="G303" s="85">
        <f>'MAI-26'!F8</f>
        <v>0</v>
      </c>
      <c r="H303" s="85">
        <f t="shared" si="0"/>
        <v>0</v>
      </c>
      <c r="I303" s="83" t="s">
        <v>99</v>
      </c>
      <c r="J303" s="83" t="str">
        <f t="shared" si="1"/>
        <v/>
      </c>
      <c r="K303" s="85">
        <f t="shared" si="2"/>
        <v>0</v>
      </c>
      <c r="L303" s="83" t="str">
        <f t="shared" si="3"/>
        <v/>
      </c>
      <c r="M303" s="83">
        <f>'MAI-26'!H8</f>
        <v>0</v>
      </c>
      <c r="N303" s="92" t="str">
        <f ca="1">IF(BD!$C303="","",IF(AND(TODAY()&gt;BD!$C303,OR(BD!$D303="PENDENTE",BD!$D303="")),"VENCIDO",""))</f>
        <v/>
      </c>
      <c r="O303" s="82" t="str">
        <f ca="1">IF(N303 = "VENCIDO",BD!$B303,"")</f>
        <v/>
      </c>
      <c r="P303" s="82" t="str">
        <f ca="1">IF(N303 = "VENCIDO",BD!$C303,"")</f>
        <v/>
      </c>
      <c r="Q303" s="83" t="str">
        <f ca="1">IF(N303 = "VENCIDO",BD!$E303,"")</f>
        <v/>
      </c>
      <c r="R303" s="83" t="str">
        <f ca="1">IF(N303 = "VENCIDO",BD!$F303,"")</f>
        <v/>
      </c>
      <c r="S303" s="85" t="str">
        <f ca="1">IF(N303 = "VENCIDO",BD!$G303,"")</f>
        <v/>
      </c>
      <c r="T303" s="83" t="str">
        <f ca="1">IF(AND(TODAY()&gt;BD!$C303, OR(BD!$D303="PENDENTE", BD!$D303="")), TODAY()-BD!$C303, "")</f>
        <v/>
      </c>
    </row>
    <row r="304" spans="1:20" ht="14.25" customHeight="1" x14ac:dyDescent="0.35">
      <c r="A304" s="32"/>
      <c r="B304" s="82">
        <f>'MAI-26'!A9</f>
        <v>0</v>
      </c>
      <c r="C304" s="82">
        <f>'MAI-26'!B9</f>
        <v>0</v>
      </c>
      <c r="D304" s="82">
        <f>'MAI-26'!C9</f>
        <v>0</v>
      </c>
      <c r="E304" s="83">
        <f>'MAI-26'!D9</f>
        <v>0</v>
      </c>
      <c r="F304" s="84">
        <f>'MAI-26'!E9</f>
        <v>0</v>
      </c>
      <c r="G304" s="85">
        <f>'MAI-26'!F9</f>
        <v>0</v>
      </c>
      <c r="H304" s="85">
        <f t="shared" si="0"/>
        <v>0</v>
      </c>
      <c r="I304" s="83" t="s">
        <v>99</v>
      </c>
      <c r="J304" s="83" t="str">
        <f t="shared" si="1"/>
        <v/>
      </c>
      <c r="K304" s="85">
        <f t="shared" si="2"/>
        <v>0</v>
      </c>
      <c r="L304" s="83" t="str">
        <f t="shared" si="3"/>
        <v/>
      </c>
      <c r="M304" s="83">
        <f>'MAI-26'!H9</f>
        <v>0</v>
      </c>
      <c r="N304" s="92" t="str">
        <f ca="1">IF(BD!$C304="","",IF(AND(TODAY()&gt;BD!$C304,OR(BD!$D304="PENDENTE",BD!$D304="")),"VENCIDO",""))</f>
        <v/>
      </c>
      <c r="O304" s="82" t="str">
        <f ca="1">IF(N304 = "VENCIDO",BD!$B304,"")</f>
        <v/>
      </c>
      <c r="P304" s="82" t="str">
        <f ca="1">IF(N304 = "VENCIDO",BD!$C304,"")</f>
        <v/>
      </c>
      <c r="Q304" s="83" t="str">
        <f ca="1">IF(N304 = "VENCIDO",BD!$E304,"")</f>
        <v/>
      </c>
      <c r="R304" s="83" t="str">
        <f ca="1">IF(N304 = "VENCIDO",BD!$F304,"")</f>
        <v/>
      </c>
      <c r="S304" s="85" t="str">
        <f ca="1">IF(N304 = "VENCIDO",BD!$G304,"")</f>
        <v/>
      </c>
      <c r="T304" s="83" t="str">
        <f ca="1">IF(AND(TODAY()&gt;BD!$C304, OR(BD!$D304="PENDENTE", BD!$D304="")), TODAY()-BD!$C304, "")</f>
        <v/>
      </c>
    </row>
    <row r="305" spans="1:20" ht="14.25" customHeight="1" x14ac:dyDescent="0.35">
      <c r="A305" s="32"/>
      <c r="B305" s="82">
        <f>'MAI-26'!A10</f>
        <v>0</v>
      </c>
      <c r="C305" s="82">
        <f>'MAI-26'!B10</f>
        <v>0</v>
      </c>
      <c r="D305" s="82">
        <f>'MAI-26'!C10</f>
        <v>0</v>
      </c>
      <c r="E305" s="83">
        <f>'MAI-26'!D10</f>
        <v>0</v>
      </c>
      <c r="F305" s="84">
        <f>'MAI-26'!E10</f>
        <v>0</v>
      </c>
      <c r="G305" s="85">
        <f>'MAI-26'!F10</f>
        <v>0</v>
      </c>
      <c r="H305" s="85">
        <f t="shared" si="0"/>
        <v>0</v>
      </c>
      <c r="I305" s="83" t="s">
        <v>99</v>
      </c>
      <c r="J305" s="83" t="str">
        <f t="shared" si="1"/>
        <v/>
      </c>
      <c r="K305" s="85">
        <f t="shared" si="2"/>
        <v>0</v>
      </c>
      <c r="L305" s="83" t="str">
        <f t="shared" si="3"/>
        <v/>
      </c>
      <c r="M305" s="83">
        <f>'MAI-26'!H10</f>
        <v>0</v>
      </c>
      <c r="N305" s="92" t="str">
        <f ca="1">IF(BD!$C305="","",IF(AND(TODAY()&gt;BD!$C305,OR(BD!$D305="PENDENTE",BD!$D305="")),"VENCIDO",""))</f>
        <v/>
      </c>
      <c r="O305" s="82" t="str">
        <f ca="1">IF(N305 = "VENCIDO",BD!$B305,"")</f>
        <v/>
      </c>
      <c r="P305" s="82" t="str">
        <f ca="1">IF(N305 = "VENCIDO",BD!$C305,"")</f>
        <v/>
      </c>
      <c r="Q305" s="83" t="str">
        <f ca="1">IF(N305 = "VENCIDO",BD!$E305,"")</f>
        <v/>
      </c>
      <c r="R305" s="83" t="str">
        <f ca="1">IF(N305 = "VENCIDO",BD!$F305,"")</f>
        <v/>
      </c>
      <c r="S305" s="85" t="str">
        <f ca="1">IF(N305 = "VENCIDO",BD!$G305,"")</f>
        <v/>
      </c>
      <c r="T305" s="83" t="str">
        <f ca="1">IF(AND(TODAY()&gt;BD!$C305, OR(BD!$D305="PENDENTE", BD!$D305="")), TODAY()-BD!$C305, "")</f>
        <v/>
      </c>
    </row>
    <row r="306" spans="1:20" ht="14.25" customHeight="1" x14ac:dyDescent="0.35">
      <c r="A306" s="32"/>
      <c r="B306" s="82">
        <f>'MAI-26'!A11</f>
        <v>0</v>
      </c>
      <c r="C306" s="82">
        <f>'MAI-26'!B11</f>
        <v>0</v>
      </c>
      <c r="D306" s="82">
        <f>'MAI-26'!C11</f>
        <v>0</v>
      </c>
      <c r="E306" s="83">
        <f>'MAI-26'!D11</f>
        <v>0</v>
      </c>
      <c r="F306" s="84">
        <f>'MAI-26'!E11</f>
        <v>0</v>
      </c>
      <c r="G306" s="85">
        <f>'MAI-26'!F11</f>
        <v>0</v>
      </c>
      <c r="H306" s="85">
        <f t="shared" si="0"/>
        <v>0</v>
      </c>
      <c r="I306" s="83" t="s">
        <v>99</v>
      </c>
      <c r="J306" s="83" t="str">
        <f t="shared" si="1"/>
        <v/>
      </c>
      <c r="K306" s="85">
        <f t="shared" si="2"/>
        <v>0</v>
      </c>
      <c r="L306" s="83" t="str">
        <f t="shared" si="3"/>
        <v/>
      </c>
      <c r="M306" s="83">
        <f>'MAI-26'!H11</f>
        <v>0</v>
      </c>
      <c r="N306" s="92" t="str">
        <f ca="1">IF(BD!$C306="","",IF(AND(TODAY()&gt;BD!$C306,OR(BD!$D306="PENDENTE",BD!$D306="")),"VENCIDO",""))</f>
        <v/>
      </c>
      <c r="O306" s="82" t="str">
        <f ca="1">IF(N306 = "VENCIDO",BD!$B306,"")</f>
        <v/>
      </c>
      <c r="P306" s="82" t="str">
        <f ca="1">IF(N306 = "VENCIDO",BD!$C306,"")</f>
        <v/>
      </c>
      <c r="Q306" s="83" t="str">
        <f ca="1">IF(N306 = "VENCIDO",BD!$E306,"")</f>
        <v/>
      </c>
      <c r="R306" s="83" t="str">
        <f ca="1">IF(N306 = "VENCIDO",BD!$F306,"")</f>
        <v/>
      </c>
      <c r="S306" s="85" t="str">
        <f ca="1">IF(N306 = "VENCIDO",BD!$G306,"")</f>
        <v/>
      </c>
      <c r="T306" s="83" t="str">
        <f ca="1">IF(AND(TODAY()&gt;BD!$C306, OR(BD!$D306="PENDENTE", BD!$D306="")), TODAY()-BD!$C306, "")</f>
        <v/>
      </c>
    </row>
    <row r="307" spans="1:20" ht="14.25" customHeight="1" x14ac:dyDescent="0.35">
      <c r="A307" s="32"/>
      <c r="B307" s="82">
        <f>'MAI-26'!A12</f>
        <v>0</v>
      </c>
      <c r="C307" s="82">
        <f>'MAI-26'!B12</f>
        <v>0</v>
      </c>
      <c r="D307" s="82">
        <f>'MAI-26'!C12</f>
        <v>0</v>
      </c>
      <c r="E307" s="83">
        <f>'MAI-26'!D12</f>
        <v>0</v>
      </c>
      <c r="F307" s="84">
        <f>'MAI-26'!E12</f>
        <v>0</v>
      </c>
      <c r="G307" s="85">
        <f>'MAI-26'!F12</f>
        <v>0</v>
      </c>
      <c r="H307" s="85">
        <f t="shared" si="0"/>
        <v>0</v>
      </c>
      <c r="I307" s="83" t="s">
        <v>99</v>
      </c>
      <c r="J307" s="83" t="str">
        <f t="shared" si="1"/>
        <v/>
      </c>
      <c r="K307" s="85">
        <f t="shared" si="2"/>
        <v>0</v>
      </c>
      <c r="L307" s="83" t="str">
        <f t="shared" si="3"/>
        <v/>
      </c>
      <c r="M307" s="83">
        <f>'MAI-26'!H12</f>
        <v>0</v>
      </c>
      <c r="N307" s="92" t="str">
        <f ca="1">IF(BD!$C307="","",IF(AND(TODAY()&gt;BD!$C307,OR(BD!$D307="PENDENTE",BD!$D307="")),"VENCIDO",""))</f>
        <v/>
      </c>
      <c r="O307" s="82" t="str">
        <f ca="1">IF(N307 = "VENCIDO",BD!$B307,"")</f>
        <v/>
      </c>
      <c r="P307" s="82" t="str">
        <f ca="1">IF(N307 = "VENCIDO",BD!$C307,"")</f>
        <v/>
      </c>
      <c r="Q307" s="83" t="str">
        <f ca="1">IF(N307 = "VENCIDO",BD!$E307,"")</f>
        <v/>
      </c>
      <c r="R307" s="83" t="str">
        <f ca="1">IF(N307 = "VENCIDO",BD!$F307,"")</f>
        <v/>
      </c>
      <c r="S307" s="85" t="str">
        <f ca="1">IF(N307 = "VENCIDO",BD!$G307,"")</f>
        <v/>
      </c>
      <c r="T307" s="83" t="str">
        <f ca="1">IF(AND(TODAY()&gt;BD!$C307, OR(BD!$D307="PENDENTE", BD!$D307="")), TODAY()-BD!$C307, "")</f>
        <v/>
      </c>
    </row>
    <row r="308" spans="1:20" ht="14.25" customHeight="1" x14ac:dyDescent="0.35">
      <c r="A308" s="32"/>
      <c r="B308" s="82">
        <f>'MAI-26'!A13</f>
        <v>0</v>
      </c>
      <c r="C308" s="82">
        <f>'MAI-26'!B13</f>
        <v>0</v>
      </c>
      <c r="D308" s="82">
        <f>'MAI-26'!C13</f>
        <v>0</v>
      </c>
      <c r="E308" s="83">
        <f>'MAI-26'!D13</f>
        <v>0</v>
      </c>
      <c r="F308" s="84">
        <f>'MAI-26'!E13</f>
        <v>0</v>
      </c>
      <c r="G308" s="85">
        <f>'MAI-26'!F13</f>
        <v>0</v>
      </c>
      <c r="H308" s="85">
        <f t="shared" si="0"/>
        <v>0</v>
      </c>
      <c r="I308" s="83" t="s">
        <v>99</v>
      </c>
      <c r="J308" s="83" t="str">
        <f t="shared" si="1"/>
        <v/>
      </c>
      <c r="K308" s="85">
        <f t="shared" si="2"/>
        <v>0</v>
      </c>
      <c r="L308" s="83" t="str">
        <f t="shared" si="3"/>
        <v/>
      </c>
      <c r="M308" s="83">
        <f>'MAI-26'!H13</f>
        <v>0</v>
      </c>
      <c r="N308" s="92" t="str">
        <f ca="1">IF(BD!$C308="","",IF(AND(TODAY()&gt;BD!$C308,OR(BD!$D308="PENDENTE",BD!$D308="")),"VENCIDO",""))</f>
        <v/>
      </c>
      <c r="O308" s="82" t="str">
        <f ca="1">IF(N308 = "VENCIDO",BD!$B308,"")</f>
        <v/>
      </c>
      <c r="P308" s="82" t="str">
        <f ca="1">IF(N308 = "VENCIDO",BD!$C308,"")</f>
        <v/>
      </c>
      <c r="Q308" s="83" t="str">
        <f ca="1">IF(N308 = "VENCIDO",BD!$E308,"")</f>
        <v/>
      </c>
      <c r="R308" s="83" t="str">
        <f ca="1">IF(N308 = "VENCIDO",BD!$F308,"")</f>
        <v/>
      </c>
      <c r="S308" s="85" t="str">
        <f ca="1">IF(N308 = "VENCIDO",BD!$G308,"")</f>
        <v/>
      </c>
      <c r="T308" s="83" t="str">
        <f ca="1">IF(AND(TODAY()&gt;BD!$C308, OR(BD!$D308="PENDENTE", BD!$D308="")), TODAY()-BD!$C308, "")</f>
        <v/>
      </c>
    </row>
    <row r="309" spans="1:20" ht="14.25" customHeight="1" x14ac:dyDescent="0.35">
      <c r="A309" s="32"/>
      <c r="B309" s="82">
        <f>'MAI-26'!A14</f>
        <v>0</v>
      </c>
      <c r="C309" s="82">
        <f>'MAI-26'!B14</f>
        <v>0</v>
      </c>
      <c r="D309" s="82">
        <f>'MAI-26'!C14</f>
        <v>0</v>
      </c>
      <c r="E309" s="83">
        <f>'MAI-26'!D14</f>
        <v>0</v>
      </c>
      <c r="F309" s="84">
        <f>'MAI-26'!E14</f>
        <v>0</v>
      </c>
      <c r="G309" s="85">
        <f>'MAI-26'!F14</f>
        <v>0</v>
      </c>
      <c r="H309" s="85">
        <f t="shared" si="0"/>
        <v>0</v>
      </c>
      <c r="I309" s="83" t="s">
        <v>99</v>
      </c>
      <c r="J309" s="83" t="str">
        <f t="shared" si="1"/>
        <v/>
      </c>
      <c r="K309" s="85">
        <f t="shared" si="2"/>
        <v>0</v>
      </c>
      <c r="L309" s="83" t="str">
        <f t="shared" si="3"/>
        <v/>
      </c>
      <c r="M309" s="83">
        <f>'MAI-26'!H14</f>
        <v>0</v>
      </c>
      <c r="N309" s="92" t="str">
        <f ca="1">IF(BD!$C309="","",IF(AND(TODAY()&gt;BD!$C309,OR(BD!$D309="PENDENTE",BD!$D309="")),"VENCIDO",""))</f>
        <v/>
      </c>
      <c r="O309" s="82" t="str">
        <f ca="1">IF(N309 = "VENCIDO",BD!$B309,"")</f>
        <v/>
      </c>
      <c r="P309" s="82" t="str">
        <f ca="1">IF(N309 = "VENCIDO",BD!$C309,"")</f>
        <v/>
      </c>
      <c r="Q309" s="83" t="str">
        <f ca="1">IF(N309 = "VENCIDO",BD!$E309,"")</f>
        <v/>
      </c>
      <c r="R309" s="83" t="str">
        <f ca="1">IF(N309 = "VENCIDO",BD!$F309,"")</f>
        <v/>
      </c>
      <c r="S309" s="85" t="str">
        <f ca="1">IF(N309 = "VENCIDO",BD!$G309,"")</f>
        <v/>
      </c>
      <c r="T309" s="83" t="str">
        <f ca="1">IF(AND(TODAY()&gt;BD!$C309, OR(BD!$D309="PENDENTE", BD!$D309="")), TODAY()-BD!$C309, "")</f>
        <v/>
      </c>
    </row>
    <row r="310" spans="1:20" ht="14.25" customHeight="1" x14ac:dyDescent="0.35">
      <c r="A310" s="32"/>
      <c r="B310" s="82">
        <f>'MAI-26'!A15</f>
        <v>0</v>
      </c>
      <c r="C310" s="82">
        <f>'MAI-26'!B15</f>
        <v>0</v>
      </c>
      <c r="D310" s="82">
        <f>'MAI-26'!C15</f>
        <v>0</v>
      </c>
      <c r="E310" s="83">
        <f>'MAI-26'!D15</f>
        <v>0</v>
      </c>
      <c r="F310" s="84">
        <f>'MAI-26'!E15</f>
        <v>0</v>
      </c>
      <c r="G310" s="85">
        <f>'MAI-26'!F15</f>
        <v>0</v>
      </c>
      <c r="H310" s="85">
        <f t="shared" si="0"/>
        <v>0</v>
      </c>
      <c r="I310" s="83" t="s">
        <v>99</v>
      </c>
      <c r="J310" s="83" t="str">
        <f t="shared" si="1"/>
        <v/>
      </c>
      <c r="K310" s="85">
        <f t="shared" si="2"/>
        <v>0</v>
      </c>
      <c r="L310" s="83" t="str">
        <f t="shared" si="3"/>
        <v/>
      </c>
      <c r="M310" s="83">
        <f>'MAI-26'!H15</f>
        <v>0</v>
      </c>
      <c r="N310" s="92" t="str">
        <f ca="1">IF(BD!$C310="","",IF(AND(TODAY()&gt;BD!$C310,OR(BD!$D310="PENDENTE",BD!$D310="")),"VENCIDO",""))</f>
        <v/>
      </c>
      <c r="O310" s="82" t="str">
        <f ca="1">IF(N310 = "VENCIDO",BD!$B310,"")</f>
        <v/>
      </c>
      <c r="P310" s="82" t="str">
        <f ca="1">IF(N310 = "VENCIDO",BD!$C310,"")</f>
        <v/>
      </c>
      <c r="Q310" s="83" t="str">
        <f ca="1">IF(N310 = "VENCIDO",BD!$E310,"")</f>
        <v/>
      </c>
      <c r="R310" s="83" t="str">
        <f ca="1">IF(N310 = "VENCIDO",BD!$F310,"")</f>
        <v/>
      </c>
      <c r="S310" s="85" t="str">
        <f ca="1">IF(N310 = "VENCIDO",BD!$G310,"")</f>
        <v/>
      </c>
      <c r="T310" s="83" t="str">
        <f ca="1">IF(AND(TODAY()&gt;BD!$C310, OR(BD!$D310="PENDENTE", BD!$D310="")), TODAY()-BD!$C310, "")</f>
        <v/>
      </c>
    </row>
    <row r="311" spans="1:20" ht="14.25" customHeight="1" x14ac:dyDescent="0.35">
      <c r="A311" s="32"/>
      <c r="B311" s="82">
        <f>'MAI-26'!A16</f>
        <v>0</v>
      </c>
      <c r="C311" s="82">
        <f>'MAI-26'!B16</f>
        <v>0</v>
      </c>
      <c r="D311" s="82">
        <f>'MAI-26'!C16</f>
        <v>0</v>
      </c>
      <c r="E311" s="83">
        <f>'MAI-26'!D16</f>
        <v>0</v>
      </c>
      <c r="F311" s="84">
        <f>'MAI-26'!E16</f>
        <v>0</v>
      </c>
      <c r="G311" s="85">
        <f>'MAI-26'!F16</f>
        <v>0</v>
      </c>
      <c r="H311" s="85">
        <f t="shared" si="0"/>
        <v>0</v>
      </c>
      <c r="I311" s="83" t="s">
        <v>99</v>
      </c>
      <c r="J311" s="83" t="str">
        <f t="shared" si="1"/>
        <v/>
      </c>
      <c r="K311" s="85">
        <f t="shared" si="2"/>
        <v>0</v>
      </c>
      <c r="L311" s="83" t="str">
        <f t="shared" si="3"/>
        <v/>
      </c>
      <c r="M311" s="83">
        <f>'MAI-26'!H16</f>
        <v>0</v>
      </c>
      <c r="N311" s="92" t="str">
        <f ca="1">IF(BD!$C311="","",IF(AND(TODAY()&gt;BD!$C311,OR(BD!$D311="PENDENTE",BD!$D311="")),"VENCIDO",""))</f>
        <v/>
      </c>
      <c r="O311" s="82" t="str">
        <f ca="1">IF(N311 = "VENCIDO",BD!$B311,"")</f>
        <v/>
      </c>
      <c r="P311" s="82" t="str">
        <f ca="1">IF(N311 = "VENCIDO",BD!$C311,"")</f>
        <v/>
      </c>
      <c r="Q311" s="83" t="str">
        <f ca="1">IF(N311 = "VENCIDO",BD!$E311,"")</f>
        <v/>
      </c>
      <c r="R311" s="83" t="str">
        <f ca="1">IF(N311 = "VENCIDO",BD!$F311,"")</f>
        <v/>
      </c>
      <c r="S311" s="85" t="str">
        <f ca="1">IF(N311 = "VENCIDO",BD!$G311,"")</f>
        <v/>
      </c>
      <c r="T311" s="83" t="str">
        <f ca="1">IF(AND(TODAY()&gt;BD!$C311, OR(BD!$D311="PENDENTE", BD!$D311="")), TODAY()-BD!$C311, "")</f>
        <v/>
      </c>
    </row>
    <row r="312" spans="1:20" ht="14.25" customHeight="1" x14ac:dyDescent="0.35">
      <c r="A312" s="32"/>
      <c r="B312" s="82">
        <f>'MAI-26'!A17</f>
        <v>0</v>
      </c>
      <c r="C312" s="82">
        <f>'MAI-26'!B17</f>
        <v>0</v>
      </c>
      <c r="D312" s="82">
        <f>'MAI-26'!C17</f>
        <v>0</v>
      </c>
      <c r="E312" s="83">
        <f>'MAI-26'!D17</f>
        <v>0</v>
      </c>
      <c r="F312" s="84">
        <f>'MAI-26'!E17</f>
        <v>0</v>
      </c>
      <c r="G312" s="85">
        <f>'MAI-26'!F17</f>
        <v>0</v>
      </c>
      <c r="H312" s="85">
        <f t="shared" si="0"/>
        <v>0</v>
      </c>
      <c r="I312" s="83" t="s">
        <v>99</v>
      </c>
      <c r="J312" s="83" t="str">
        <f t="shared" si="1"/>
        <v/>
      </c>
      <c r="K312" s="85">
        <f t="shared" si="2"/>
        <v>0</v>
      </c>
      <c r="L312" s="83" t="str">
        <f t="shared" si="3"/>
        <v/>
      </c>
      <c r="M312" s="83">
        <f>'MAI-26'!H17</f>
        <v>0</v>
      </c>
      <c r="N312" s="92" t="str">
        <f ca="1">IF(BD!$C312="","",IF(AND(TODAY()&gt;BD!$C312,OR(BD!$D312="PENDENTE",BD!$D312="")),"VENCIDO",""))</f>
        <v/>
      </c>
      <c r="O312" s="82" t="str">
        <f ca="1">IF(N312 = "VENCIDO",BD!$B312,"")</f>
        <v/>
      </c>
      <c r="P312" s="82" t="str">
        <f ca="1">IF(N312 = "VENCIDO",BD!$C312,"")</f>
        <v/>
      </c>
      <c r="Q312" s="83" t="str">
        <f ca="1">IF(N312 = "VENCIDO",BD!$E312,"")</f>
        <v/>
      </c>
      <c r="R312" s="83" t="str">
        <f ca="1">IF(N312 = "VENCIDO",BD!$F312,"")</f>
        <v/>
      </c>
      <c r="S312" s="85" t="str">
        <f ca="1">IF(N312 = "VENCIDO",BD!$G312,"")</f>
        <v/>
      </c>
      <c r="T312" s="83" t="str">
        <f ca="1">IF(AND(TODAY()&gt;BD!$C312, OR(BD!$D312="PENDENTE", BD!$D312="")), TODAY()-BD!$C312, "")</f>
        <v/>
      </c>
    </row>
    <row r="313" spans="1:20" ht="14.25" customHeight="1" x14ac:dyDescent="0.35">
      <c r="A313" s="32"/>
      <c r="B313" s="82">
        <f>'MAI-26'!A18</f>
        <v>0</v>
      </c>
      <c r="C313" s="82">
        <f>'MAI-26'!B18</f>
        <v>0</v>
      </c>
      <c r="D313" s="82">
        <f>'MAI-26'!C18</f>
        <v>0</v>
      </c>
      <c r="E313" s="83">
        <f>'MAI-26'!D18</f>
        <v>0</v>
      </c>
      <c r="F313" s="84">
        <f>'MAI-26'!E18</f>
        <v>0</v>
      </c>
      <c r="G313" s="85">
        <f>'MAI-26'!F18</f>
        <v>0</v>
      </c>
      <c r="H313" s="85">
        <f t="shared" si="0"/>
        <v>0</v>
      </c>
      <c r="I313" s="83" t="s">
        <v>99</v>
      </c>
      <c r="J313" s="83" t="str">
        <f t="shared" si="1"/>
        <v/>
      </c>
      <c r="K313" s="85">
        <f t="shared" si="2"/>
        <v>0</v>
      </c>
      <c r="L313" s="83" t="str">
        <f t="shared" si="3"/>
        <v/>
      </c>
      <c r="M313" s="83">
        <f>'MAI-26'!H18</f>
        <v>0</v>
      </c>
      <c r="N313" s="92" t="str">
        <f ca="1">IF(BD!$C313="","",IF(AND(TODAY()&gt;BD!$C313,OR(BD!$D313="PENDENTE",BD!$D313="")),"VENCIDO",""))</f>
        <v/>
      </c>
      <c r="O313" s="82" t="str">
        <f ca="1">IF(N313 = "VENCIDO",BD!$B313,"")</f>
        <v/>
      </c>
      <c r="P313" s="82" t="str">
        <f ca="1">IF(N313 = "VENCIDO",BD!$C313,"")</f>
        <v/>
      </c>
      <c r="Q313" s="83" t="str">
        <f ca="1">IF(N313 = "VENCIDO",BD!$E313,"")</f>
        <v/>
      </c>
      <c r="R313" s="83" t="str">
        <f ca="1">IF(N313 = "VENCIDO",BD!$F313,"")</f>
        <v/>
      </c>
      <c r="S313" s="85" t="str">
        <f ca="1">IF(N313 = "VENCIDO",BD!$G313,"")</f>
        <v/>
      </c>
      <c r="T313" s="83" t="str">
        <f ca="1">IF(AND(TODAY()&gt;BD!$C313, OR(BD!$D313="PENDENTE", BD!$D313="")), TODAY()-BD!$C313, "")</f>
        <v/>
      </c>
    </row>
    <row r="314" spans="1:20" ht="14.25" customHeight="1" x14ac:dyDescent="0.35">
      <c r="A314" s="32"/>
      <c r="B314" s="82">
        <f>'MAI-26'!A19</f>
        <v>0</v>
      </c>
      <c r="C314" s="82">
        <f>'MAI-26'!B19</f>
        <v>0</v>
      </c>
      <c r="D314" s="82">
        <f>'MAI-26'!C19</f>
        <v>0</v>
      </c>
      <c r="E314" s="83">
        <f>'MAI-26'!D19</f>
        <v>0</v>
      </c>
      <c r="F314" s="84">
        <f>'MAI-26'!E19</f>
        <v>0</v>
      </c>
      <c r="G314" s="85">
        <f>'MAI-26'!F19</f>
        <v>0</v>
      </c>
      <c r="H314" s="85">
        <f t="shared" si="0"/>
        <v>0</v>
      </c>
      <c r="I314" s="83" t="s">
        <v>99</v>
      </c>
      <c r="J314" s="83" t="str">
        <f t="shared" si="1"/>
        <v/>
      </c>
      <c r="K314" s="85">
        <f t="shared" si="2"/>
        <v>0</v>
      </c>
      <c r="L314" s="83" t="str">
        <f t="shared" si="3"/>
        <v/>
      </c>
      <c r="M314" s="83">
        <f>'MAI-26'!H19</f>
        <v>0</v>
      </c>
      <c r="N314" s="92" t="str">
        <f ca="1">IF(BD!$C314="","",IF(AND(TODAY()&gt;BD!$C314,OR(BD!$D314="PENDENTE",BD!$D314="")),"VENCIDO",""))</f>
        <v/>
      </c>
      <c r="O314" s="82" t="str">
        <f ca="1">IF(N314 = "VENCIDO",BD!$B314,"")</f>
        <v/>
      </c>
      <c r="P314" s="82" t="str">
        <f ca="1">IF(N314 = "VENCIDO",BD!$C314,"")</f>
        <v/>
      </c>
      <c r="Q314" s="83" t="str">
        <f ca="1">IF(N314 = "VENCIDO",BD!$E314,"")</f>
        <v/>
      </c>
      <c r="R314" s="83" t="str">
        <f ca="1">IF(N314 = "VENCIDO",BD!$F314,"")</f>
        <v/>
      </c>
      <c r="S314" s="85" t="str">
        <f ca="1">IF(N314 = "VENCIDO",BD!$G314,"")</f>
        <v/>
      </c>
      <c r="T314" s="83" t="str">
        <f ca="1">IF(AND(TODAY()&gt;BD!$C314, OR(BD!$D314="PENDENTE", BD!$D314="")), TODAY()-BD!$C314, "")</f>
        <v/>
      </c>
    </row>
    <row r="315" spans="1:20" ht="14.25" customHeight="1" x14ac:dyDescent="0.35">
      <c r="A315" s="32"/>
      <c r="B315" s="82">
        <f>'MAI-26'!A20</f>
        <v>0</v>
      </c>
      <c r="C315" s="82">
        <f>'MAI-26'!B20</f>
        <v>0</v>
      </c>
      <c r="D315" s="82">
        <f>'MAI-26'!C20</f>
        <v>0</v>
      </c>
      <c r="E315" s="83">
        <f>'MAI-26'!D20</f>
        <v>0</v>
      </c>
      <c r="F315" s="84">
        <f>'MAI-26'!E20</f>
        <v>0</v>
      </c>
      <c r="G315" s="85">
        <f>'MAI-26'!F20</f>
        <v>0</v>
      </c>
      <c r="H315" s="85">
        <f t="shared" si="0"/>
        <v>0</v>
      </c>
      <c r="I315" s="83" t="s">
        <v>99</v>
      </c>
      <c r="J315" s="83" t="str">
        <f t="shared" si="1"/>
        <v/>
      </c>
      <c r="K315" s="85">
        <f t="shared" si="2"/>
        <v>0</v>
      </c>
      <c r="L315" s="83" t="str">
        <f t="shared" si="3"/>
        <v/>
      </c>
      <c r="M315" s="83">
        <f>'MAI-26'!H20</f>
        <v>0</v>
      </c>
      <c r="N315" s="92" t="str">
        <f ca="1">IF(BD!$C315="","",IF(AND(TODAY()&gt;BD!$C315,OR(BD!$D315="PENDENTE",BD!$D315="")),"VENCIDO",""))</f>
        <v/>
      </c>
      <c r="O315" s="82" t="str">
        <f ca="1">IF(N315 = "VENCIDO",BD!$B315,"")</f>
        <v/>
      </c>
      <c r="P315" s="82" t="str">
        <f ca="1">IF(N315 = "VENCIDO",BD!$C315,"")</f>
        <v/>
      </c>
      <c r="Q315" s="83" t="str">
        <f ca="1">IF(N315 = "VENCIDO",BD!$E315,"")</f>
        <v/>
      </c>
      <c r="R315" s="83" t="str">
        <f ca="1">IF(N315 = "VENCIDO",BD!$F315,"")</f>
        <v/>
      </c>
      <c r="S315" s="85" t="str">
        <f ca="1">IF(N315 = "VENCIDO",BD!$G315,"")</f>
        <v/>
      </c>
      <c r="T315" s="83" t="str">
        <f ca="1">IF(AND(TODAY()&gt;BD!$C315, OR(BD!$D315="PENDENTE", BD!$D315="")), TODAY()-BD!$C315, "")</f>
        <v/>
      </c>
    </row>
    <row r="316" spans="1:20" ht="14.25" customHeight="1" x14ac:dyDescent="0.35">
      <c r="A316" s="32"/>
      <c r="B316" s="82">
        <f>'MAI-26'!A21</f>
        <v>0</v>
      </c>
      <c r="C316" s="82">
        <f>'MAI-26'!B21</f>
        <v>0</v>
      </c>
      <c r="D316" s="82">
        <f>'MAI-26'!C21</f>
        <v>0</v>
      </c>
      <c r="E316" s="83">
        <f>'MAI-26'!D21</f>
        <v>0</v>
      </c>
      <c r="F316" s="84">
        <f>'MAI-26'!E21</f>
        <v>0</v>
      </c>
      <c r="G316" s="85">
        <f>'MAI-26'!F21</f>
        <v>0</v>
      </c>
      <c r="H316" s="85">
        <f t="shared" si="0"/>
        <v>0</v>
      </c>
      <c r="I316" s="83" t="s">
        <v>99</v>
      </c>
      <c r="J316" s="83" t="str">
        <f t="shared" si="1"/>
        <v/>
      </c>
      <c r="K316" s="85">
        <f t="shared" si="2"/>
        <v>0</v>
      </c>
      <c r="L316" s="83" t="str">
        <f t="shared" si="3"/>
        <v/>
      </c>
      <c r="M316" s="83">
        <f>'MAI-26'!H21</f>
        <v>0</v>
      </c>
      <c r="N316" s="92" t="str">
        <f ca="1">IF(BD!$C316="","",IF(AND(TODAY()&gt;BD!$C316,OR(BD!$D316="PENDENTE",BD!$D316="")),"VENCIDO",""))</f>
        <v/>
      </c>
      <c r="O316" s="82" t="str">
        <f ca="1">IF(N316 = "VENCIDO",BD!$B316,"")</f>
        <v/>
      </c>
      <c r="P316" s="82" t="str">
        <f ca="1">IF(N316 = "VENCIDO",BD!$C316,"")</f>
        <v/>
      </c>
      <c r="Q316" s="83" t="str">
        <f ca="1">IF(N316 = "VENCIDO",BD!$E316,"")</f>
        <v/>
      </c>
      <c r="R316" s="83" t="str">
        <f ca="1">IF(N316 = "VENCIDO",BD!$F316,"")</f>
        <v/>
      </c>
      <c r="S316" s="85" t="str">
        <f ca="1">IF(N316 = "VENCIDO",BD!$G316,"")</f>
        <v/>
      </c>
      <c r="T316" s="83" t="str">
        <f ca="1">IF(AND(TODAY()&gt;BD!$C316, OR(BD!$D316="PENDENTE", BD!$D316="")), TODAY()-BD!$C316, "")</f>
        <v/>
      </c>
    </row>
    <row r="317" spans="1:20" ht="14.25" customHeight="1" x14ac:dyDescent="0.35">
      <c r="A317" s="32"/>
      <c r="B317" s="82">
        <f>'MAI-26'!A22</f>
        <v>0</v>
      </c>
      <c r="C317" s="82">
        <f>'MAI-26'!B22</f>
        <v>0</v>
      </c>
      <c r="D317" s="82">
        <f>'MAI-26'!C22</f>
        <v>0</v>
      </c>
      <c r="E317" s="83">
        <f>'MAI-26'!D22</f>
        <v>0</v>
      </c>
      <c r="F317" s="84">
        <f>'MAI-26'!E22</f>
        <v>0</v>
      </c>
      <c r="G317" s="85">
        <f>'MAI-26'!F22</f>
        <v>0</v>
      </c>
      <c r="H317" s="85">
        <f t="shared" si="0"/>
        <v>0</v>
      </c>
      <c r="I317" s="83" t="s">
        <v>99</v>
      </c>
      <c r="J317" s="83" t="str">
        <f t="shared" si="1"/>
        <v/>
      </c>
      <c r="K317" s="85">
        <f t="shared" si="2"/>
        <v>0</v>
      </c>
      <c r="L317" s="83" t="str">
        <f t="shared" si="3"/>
        <v/>
      </c>
      <c r="M317" s="83">
        <f>'MAI-26'!H22</f>
        <v>0</v>
      </c>
      <c r="N317" s="92" t="str">
        <f ca="1">IF(BD!$C317="","",IF(AND(TODAY()&gt;BD!$C317,OR(BD!$D317="PENDENTE",BD!$D317="")),"VENCIDO",""))</f>
        <v/>
      </c>
      <c r="O317" s="82" t="str">
        <f ca="1">IF(N317 = "VENCIDO",BD!$B317,"")</f>
        <v/>
      </c>
      <c r="P317" s="82" t="str">
        <f ca="1">IF(N317 = "VENCIDO",BD!$C317,"")</f>
        <v/>
      </c>
      <c r="Q317" s="83" t="str">
        <f ca="1">IF(N317 = "VENCIDO",BD!$E317,"")</f>
        <v/>
      </c>
      <c r="R317" s="83" t="str">
        <f ca="1">IF(N317 = "VENCIDO",BD!$F317,"")</f>
        <v/>
      </c>
      <c r="S317" s="85" t="str">
        <f ca="1">IF(N317 = "VENCIDO",BD!$G317,"")</f>
        <v/>
      </c>
      <c r="T317" s="83" t="str">
        <f ca="1">IF(AND(TODAY()&gt;BD!$C317, OR(BD!$D317="PENDENTE", BD!$D317="")), TODAY()-BD!$C317, "")</f>
        <v/>
      </c>
    </row>
    <row r="318" spans="1:20" ht="14.25" customHeight="1" x14ac:dyDescent="0.35">
      <c r="A318" s="32"/>
      <c r="B318" s="82">
        <f>'MAI-26'!A23</f>
        <v>0</v>
      </c>
      <c r="C318" s="82">
        <f>'MAI-26'!B23</f>
        <v>0</v>
      </c>
      <c r="D318" s="82">
        <f>'MAI-26'!C23</f>
        <v>0</v>
      </c>
      <c r="E318" s="83">
        <f>'MAI-26'!D23</f>
        <v>0</v>
      </c>
      <c r="F318" s="84">
        <f>'MAI-26'!E23</f>
        <v>0</v>
      </c>
      <c r="G318" s="85">
        <f>'MAI-26'!F23</f>
        <v>0</v>
      </c>
      <c r="H318" s="85">
        <f t="shared" si="0"/>
        <v>0</v>
      </c>
      <c r="I318" s="83" t="s">
        <v>99</v>
      </c>
      <c r="J318" s="83" t="str">
        <f t="shared" si="1"/>
        <v/>
      </c>
      <c r="K318" s="85">
        <f t="shared" si="2"/>
        <v>0</v>
      </c>
      <c r="L318" s="83" t="str">
        <f t="shared" si="3"/>
        <v/>
      </c>
      <c r="M318" s="83">
        <f>'MAI-26'!H23</f>
        <v>0</v>
      </c>
      <c r="N318" s="92" t="str">
        <f ca="1">IF(BD!$C318="","",IF(AND(TODAY()&gt;BD!$C318,OR(BD!$D318="PENDENTE",BD!$D318="")),"VENCIDO",""))</f>
        <v/>
      </c>
      <c r="O318" s="82" t="str">
        <f ca="1">IF(N318 = "VENCIDO",BD!$B318,"")</f>
        <v/>
      </c>
      <c r="P318" s="82" t="str">
        <f ca="1">IF(N318 = "VENCIDO",BD!$C318,"")</f>
        <v/>
      </c>
      <c r="Q318" s="83" t="str">
        <f ca="1">IF(N318 = "VENCIDO",BD!$E318,"")</f>
        <v/>
      </c>
      <c r="R318" s="83" t="str">
        <f ca="1">IF(N318 = "VENCIDO",BD!$F318,"")</f>
        <v/>
      </c>
      <c r="S318" s="85" t="str">
        <f ca="1">IF(N318 = "VENCIDO",BD!$G318,"")</f>
        <v/>
      </c>
      <c r="T318" s="83" t="str">
        <f ca="1">IF(AND(TODAY()&gt;BD!$C318, OR(BD!$D318="PENDENTE", BD!$D318="")), TODAY()-BD!$C318, "")</f>
        <v/>
      </c>
    </row>
    <row r="319" spans="1:20" ht="14.25" customHeight="1" x14ac:dyDescent="0.35">
      <c r="A319" s="32"/>
      <c r="B319" s="82">
        <f>'MAI-26'!A24</f>
        <v>0</v>
      </c>
      <c r="C319" s="82">
        <f>'MAI-26'!B24</f>
        <v>0</v>
      </c>
      <c r="D319" s="82">
        <f>'MAI-26'!C24</f>
        <v>0</v>
      </c>
      <c r="E319" s="83">
        <f>'MAI-26'!D24</f>
        <v>0</v>
      </c>
      <c r="F319" s="84">
        <f>'MAI-26'!E24</f>
        <v>0</v>
      </c>
      <c r="G319" s="85">
        <f>'MAI-26'!F24</f>
        <v>0</v>
      </c>
      <c r="H319" s="85">
        <f t="shared" si="0"/>
        <v>0</v>
      </c>
      <c r="I319" s="83" t="s">
        <v>99</v>
      </c>
      <c r="J319" s="83" t="str">
        <f t="shared" si="1"/>
        <v/>
      </c>
      <c r="K319" s="85">
        <f t="shared" si="2"/>
        <v>0</v>
      </c>
      <c r="L319" s="83" t="str">
        <f t="shared" si="3"/>
        <v/>
      </c>
      <c r="M319" s="83">
        <f>'MAI-26'!H24</f>
        <v>0</v>
      </c>
      <c r="N319" s="92" t="str">
        <f ca="1">IF(BD!$C319="","",IF(AND(TODAY()&gt;BD!$C319,OR(BD!$D319="PENDENTE",BD!$D319="")),"VENCIDO",""))</f>
        <v/>
      </c>
      <c r="O319" s="82" t="str">
        <f ca="1">IF(N319 = "VENCIDO",BD!$B319,"")</f>
        <v/>
      </c>
      <c r="P319" s="82" t="str">
        <f ca="1">IF(N319 = "VENCIDO",BD!$C319,"")</f>
        <v/>
      </c>
      <c r="Q319" s="83" t="str">
        <f ca="1">IF(N319 = "VENCIDO",BD!$E319,"")</f>
        <v/>
      </c>
      <c r="R319" s="83" t="str">
        <f ca="1">IF(N319 = "VENCIDO",BD!$F319,"")</f>
        <v/>
      </c>
      <c r="S319" s="85" t="str">
        <f ca="1">IF(N319 = "VENCIDO",BD!$G319,"")</f>
        <v/>
      </c>
      <c r="T319" s="83" t="str">
        <f ca="1">IF(AND(TODAY()&gt;BD!$C319, OR(BD!$D319="PENDENTE", BD!$D319="")), TODAY()-BD!$C319, "")</f>
        <v/>
      </c>
    </row>
    <row r="320" spans="1:20" ht="14.25" customHeight="1" x14ac:dyDescent="0.35">
      <c r="A320" s="32"/>
      <c r="B320" s="82">
        <f>'MAI-26'!A25</f>
        <v>0</v>
      </c>
      <c r="C320" s="82">
        <f>'MAI-26'!B25</f>
        <v>0</v>
      </c>
      <c r="D320" s="82">
        <f>'MAI-26'!C25</f>
        <v>0</v>
      </c>
      <c r="E320" s="93">
        <f>'MAI-26'!D25</f>
        <v>0</v>
      </c>
      <c r="F320" s="84">
        <f>'MAI-26'!E25</f>
        <v>0</v>
      </c>
      <c r="G320" s="85">
        <f>'MAI-26'!F25</f>
        <v>0</v>
      </c>
      <c r="H320" s="85">
        <f t="shared" si="0"/>
        <v>0</v>
      </c>
      <c r="I320" s="83" t="s">
        <v>99</v>
      </c>
      <c r="J320" s="83" t="str">
        <f t="shared" si="1"/>
        <v/>
      </c>
      <c r="K320" s="85">
        <f t="shared" si="2"/>
        <v>0</v>
      </c>
      <c r="L320" s="83" t="str">
        <f t="shared" si="3"/>
        <v/>
      </c>
      <c r="M320" s="83">
        <f>'MAI-26'!H25</f>
        <v>0</v>
      </c>
      <c r="N320" s="92" t="str">
        <f ca="1">IF(BD!$C320="","",IF(AND(TODAY()&gt;BD!$C320,OR(BD!$D320="PENDENTE",BD!$D320="")),"VENCIDO",""))</f>
        <v/>
      </c>
      <c r="O320" s="82" t="str">
        <f ca="1">IF(N320 = "VENCIDO",BD!$B320,"")</f>
        <v/>
      </c>
      <c r="P320" s="82" t="str">
        <f ca="1">IF(N320 = "VENCIDO",BD!$C320,"")</f>
        <v/>
      </c>
      <c r="Q320" s="83" t="str">
        <f ca="1">IF(N320 = "VENCIDO",BD!$E320,"")</f>
        <v/>
      </c>
      <c r="R320" s="83" t="str">
        <f ca="1">IF(N320 = "VENCIDO",BD!$F320,"")</f>
        <v/>
      </c>
      <c r="S320" s="85" t="str">
        <f ca="1">IF(N320 = "VENCIDO",BD!$G320,"")</f>
        <v/>
      </c>
      <c r="T320" s="83" t="str">
        <f ca="1">IF(AND(TODAY()&gt;BD!$C320, OR(BD!$D320="PENDENTE", BD!$D320="")), TODAY()-BD!$C320, "")</f>
        <v/>
      </c>
    </row>
    <row r="321" spans="1:20" ht="14.25" customHeight="1" x14ac:dyDescent="0.35">
      <c r="A321" s="32"/>
      <c r="B321" s="82">
        <f>'MAI-26'!A26</f>
        <v>0</v>
      </c>
      <c r="C321" s="82">
        <f>'MAI-26'!B26</f>
        <v>0</v>
      </c>
      <c r="D321" s="82">
        <f>'MAI-26'!C26</f>
        <v>0</v>
      </c>
      <c r="E321" s="83">
        <f>'MAI-26'!D26</f>
        <v>0</v>
      </c>
      <c r="F321" s="84">
        <f>'MAI-26'!E26</f>
        <v>0</v>
      </c>
      <c r="G321" s="85">
        <f>'MAI-26'!F26</f>
        <v>0</v>
      </c>
      <c r="H321" s="85">
        <f t="shared" si="0"/>
        <v>0</v>
      </c>
      <c r="I321" s="83" t="s">
        <v>99</v>
      </c>
      <c r="J321" s="83" t="str">
        <f t="shared" si="1"/>
        <v/>
      </c>
      <c r="K321" s="85">
        <f t="shared" si="2"/>
        <v>0</v>
      </c>
      <c r="L321" s="83" t="str">
        <f t="shared" si="3"/>
        <v/>
      </c>
      <c r="M321" s="83">
        <f>'MAI-26'!H26</f>
        <v>0</v>
      </c>
      <c r="N321" s="92" t="str">
        <f ca="1">IF(BD!$C321="","",IF(AND(TODAY()&gt;BD!$C321,OR(BD!$D321="PENDENTE",BD!$D321="")),"VENCIDO",""))</f>
        <v/>
      </c>
      <c r="O321" s="82" t="str">
        <f ca="1">IF(N321 = "VENCIDO",BD!$B321,"")</f>
        <v/>
      </c>
      <c r="P321" s="82" t="str">
        <f ca="1">IF(N321 = "VENCIDO",BD!$C321,"")</f>
        <v/>
      </c>
      <c r="Q321" s="83" t="str">
        <f ca="1">IF(N321 = "VENCIDO",BD!$E321,"")</f>
        <v/>
      </c>
      <c r="R321" s="83" t="str">
        <f ca="1">IF(N321 = "VENCIDO",BD!$F321,"")</f>
        <v/>
      </c>
      <c r="S321" s="85" t="str">
        <f ca="1">IF(N321 = "VENCIDO",BD!$G321,"")</f>
        <v/>
      </c>
      <c r="T321" s="83" t="str">
        <f ca="1">IF(AND(TODAY()&gt;BD!$C321, OR(BD!$D321="PENDENTE", BD!$D321="")), TODAY()-BD!$C321, "")</f>
        <v/>
      </c>
    </row>
    <row r="322" spans="1:20" ht="14.25" customHeight="1" x14ac:dyDescent="0.35">
      <c r="A322" s="32"/>
      <c r="B322" s="82">
        <f>'MAI-26'!A27</f>
        <v>0</v>
      </c>
      <c r="C322" s="82">
        <f>'MAI-26'!B27</f>
        <v>0</v>
      </c>
      <c r="D322" s="82">
        <f>'MAI-26'!C27</f>
        <v>0</v>
      </c>
      <c r="E322" s="83">
        <f>'MAI-26'!D27</f>
        <v>0</v>
      </c>
      <c r="F322" s="84">
        <f>'MAI-26'!E27</f>
        <v>0</v>
      </c>
      <c r="G322" s="85">
        <f>'MAI-26'!F27</f>
        <v>0</v>
      </c>
      <c r="H322" s="85">
        <f t="shared" si="0"/>
        <v>0</v>
      </c>
      <c r="I322" s="83" t="s">
        <v>99</v>
      </c>
      <c r="J322" s="83" t="str">
        <f t="shared" si="1"/>
        <v/>
      </c>
      <c r="K322" s="85">
        <f t="shared" si="2"/>
        <v>0</v>
      </c>
      <c r="L322" s="83" t="str">
        <f t="shared" si="3"/>
        <v/>
      </c>
      <c r="M322" s="83">
        <f>'MAI-26'!H27</f>
        <v>0</v>
      </c>
      <c r="N322" s="92" t="str">
        <f ca="1">IF(BD!$C322="","",IF(AND(TODAY()&gt;BD!$C322,OR(BD!$D322="PENDENTE",BD!$D322="")),"VENCIDO",""))</f>
        <v/>
      </c>
      <c r="O322" s="82" t="str">
        <f ca="1">IF(N322 = "VENCIDO",BD!$B322,"")</f>
        <v/>
      </c>
      <c r="P322" s="82" t="str">
        <f ca="1">IF(N322 = "VENCIDO",BD!$C322,"")</f>
        <v/>
      </c>
      <c r="Q322" s="83" t="str">
        <f ca="1">IF(N322 = "VENCIDO",BD!$E322,"")</f>
        <v/>
      </c>
      <c r="R322" s="83" t="str">
        <f ca="1">IF(N322 = "VENCIDO",BD!$F322,"")</f>
        <v/>
      </c>
      <c r="S322" s="85" t="str">
        <f ca="1">IF(N322 = "VENCIDO",BD!$G322,"")</f>
        <v/>
      </c>
      <c r="T322" s="83" t="str">
        <f ca="1">IF(AND(TODAY()&gt;BD!$C322, OR(BD!$D322="PENDENTE", BD!$D322="")), TODAY()-BD!$C322, "")</f>
        <v/>
      </c>
    </row>
    <row r="323" spans="1:20" ht="14.25" customHeight="1" x14ac:dyDescent="0.35">
      <c r="A323" s="32"/>
      <c r="B323" s="82">
        <f>'MAI-26'!A28</f>
        <v>0</v>
      </c>
      <c r="C323" s="82">
        <f>'MAI-26'!B28</f>
        <v>0</v>
      </c>
      <c r="D323" s="82">
        <f>'MAI-26'!C28</f>
        <v>0</v>
      </c>
      <c r="E323" s="83">
        <f>'MAI-26'!D28</f>
        <v>0</v>
      </c>
      <c r="F323" s="84">
        <f>'MAI-26'!E28</f>
        <v>0</v>
      </c>
      <c r="G323" s="85">
        <f>'MAI-26'!F28</f>
        <v>0</v>
      </c>
      <c r="H323" s="85">
        <f t="shared" si="0"/>
        <v>0</v>
      </c>
      <c r="I323" s="83" t="s">
        <v>99</v>
      </c>
      <c r="J323" s="83" t="str">
        <f t="shared" si="1"/>
        <v/>
      </c>
      <c r="K323" s="85">
        <f t="shared" si="2"/>
        <v>0</v>
      </c>
      <c r="L323" s="83" t="str">
        <f t="shared" si="3"/>
        <v/>
      </c>
      <c r="M323" s="83">
        <f>'MAI-26'!H28</f>
        <v>0</v>
      </c>
      <c r="N323" s="92" t="str">
        <f ca="1">IF(BD!$C323="","",IF(AND(TODAY()&gt;BD!$C323,OR(BD!$D323="PENDENTE",BD!$D323="")),"VENCIDO",""))</f>
        <v/>
      </c>
      <c r="O323" s="82" t="str">
        <f ca="1">IF(N323 = "VENCIDO",BD!$B323,"")</f>
        <v/>
      </c>
      <c r="P323" s="82" t="str">
        <f ca="1">IF(N323 = "VENCIDO",BD!$C323,"")</f>
        <v/>
      </c>
      <c r="Q323" s="83" t="str">
        <f ca="1">IF(N323 = "VENCIDO",BD!$E323,"")</f>
        <v/>
      </c>
      <c r="R323" s="83" t="str">
        <f ca="1">IF(N323 = "VENCIDO",BD!$F323,"")</f>
        <v/>
      </c>
      <c r="S323" s="85" t="str">
        <f ca="1">IF(N323 = "VENCIDO",BD!$G323,"")</f>
        <v/>
      </c>
      <c r="T323" s="83" t="str">
        <f ca="1">IF(AND(TODAY()&gt;BD!$C323, OR(BD!$D323="PENDENTE", BD!$D323="")), TODAY()-BD!$C323, "")</f>
        <v/>
      </c>
    </row>
    <row r="324" spans="1:20" ht="14.25" customHeight="1" x14ac:dyDescent="0.35">
      <c r="A324" s="32"/>
      <c r="B324" s="82">
        <f>'MAI-26'!A29</f>
        <v>0</v>
      </c>
      <c r="C324" s="82">
        <f>'MAI-26'!B29</f>
        <v>0</v>
      </c>
      <c r="D324" s="82">
        <f>'MAI-26'!C29</f>
        <v>0</v>
      </c>
      <c r="E324" s="83">
        <f>'MAI-26'!D29</f>
        <v>0</v>
      </c>
      <c r="F324" s="84">
        <f>'MAI-26'!E29</f>
        <v>0</v>
      </c>
      <c r="G324" s="85">
        <f>'MAI-26'!F29</f>
        <v>0</v>
      </c>
      <c r="H324" s="85">
        <f t="shared" si="0"/>
        <v>0</v>
      </c>
      <c r="I324" s="83" t="s">
        <v>99</v>
      </c>
      <c r="J324" s="83" t="str">
        <f t="shared" si="1"/>
        <v/>
      </c>
      <c r="K324" s="85">
        <f t="shared" si="2"/>
        <v>0</v>
      </c>
      <c r="L324" s="83" t="str">
        <f t="shared" si="3"/>
        <v/>
      </c>
      <c r="M324" s="83">
        <f>'MAI-26'!H29</f>
        <v>0</v>
      </c>
      <c r="N324" s="92" t="str">
        <f ca="1">IF(BD!$C324="","",IF(AND(TODAY()&gt;BD!$C324,OR(BD!$D324="PENDENTE",BD!$D324="")),"VENCIDO",""))</f>
        <v/>
      </c>
      <c r="O324" s="82" t="str">
        <f ca="1">IF(N324 = "VENCIDO",BD!$B324,"")</f>
        <v/>
      </c>
      <c r="P324" s="82" t="str">
        <f ca="1">IF(N324 = "VENCIDO",BD!$C324,"")</f>
        <v/>
      </c>
      <c r="Q324" s="83" t="str">
        <f ca="1">IF(N324 = "VENCIDO",BD!$E324,"")</f>
        <v/>
      </c>
      <c r="R324" s="83" t="str">
        <f ca="1">IF(N324 = "VENCIDO",BD!$F324,"")</f>
        <v/>
      </c>
      <c r="S324" s="85" t="str">
        <f ca="1">IF(N324 = "VENCIDO",BD!$G324,"")</f>
        <v/>
      </c>
      <c r="T324" s="83" t="str">
        <f ca="1">IF(AND(TODAY()&gt;BD!$C324, OR(BD!$D324="PENDENTE", BD!$D324="")), TODAY()-BD!$C324, "")</f>
        <v/>
      </c>
    </row>
    <row r="325" spans="1:20" ht="14.25" customHeight="1" x14ac:dyDescent="0.35">
      <c r="A325" s="32"/>
      <c r="B325" s="82">
        <f>'MAI-26'!A30</f>
        <v>0</v>
      </c>
      <c r="C325" s="82">
        <f>'MAI-26'!B30</f>
        <v>0</v>
      </c>
      <c r="D325" s="82">
        <f>'MAI-26'!C30</f>
        <v>0</v>
      </c>
      <c r="E325" s="83">
        <f>'MAI-26'!D30</f>
        <v>0</v>
      </c>
      <c r="F325" s="84">
        <f>'MAI-26'!E30</f>
        <v>0</v>
      </c>
      <c r="G325" s="85">
        <f>'MAI-26'!F30</f>
        <v>0</v>
      </c>
      <c r="H325" s="85">
        <f t="shared" si="0"/>
        <v>0</v>
      </c>
      <c r="I325" s="83" t="s">
        <v>99</v>
      </c>
      <c r="J325" s="83" t="str">
        <f t="shared" si="1"/>
        <v/>
      </c>
      <c r="K325" s="85">
        <f t="shared" si="2"/>
        <v>0</v>
      </c>
      <c r="L325" s="83" t="str">
        <f t="shared" si="3"/>
        <v/>
      </c>
      <c r="M325" s="83">
        <f>'MAI-26'!H30</f>
        <v>0</v>
      </c>
      <c r="N325" s="92" t="str">
        <f ca="1">IF(BD!$C325="","",IF(AND(TODAY()&gt;BD!$C325,OR(BD!$D325="PENDENTE",BD!$D325="")),"VENCIDO",""))</f>
        <v/>
      </c>
      <c r="O325" s="82" t="str">
        <f ca="1">IF(N325 = "VENCIDO",BD!$B325,"")</f>
        <v/>
      </c>
      <c r="P325" s="82" t="str">
        <f ca="1">IF(N325 = "VENCIDO",BD!$C325,"")</f>
        <v/>
      </c>
      <c r="Q325" s="83" t="str">
        <f ca="1">IF(N325 = "VENCIDO",BD!$E325,"")</f>
        <v/>
      </c>
      <c r="R325" s="83" t="str">
        <f ca="1">IF(N325 = "VENCIDO",BD!$F325,"")</f>
        <v/>
      </c>
      <c r="S325" s="85" t="str">
        <f ca="1">IF(N325 = "VENCIDO",BD!$G325,"")</f>
        <v/>
      </c>
      <c r="T325" s="83" t="str">
        <f ca="1">IF(AND(TODAY()&gt;BD!$C325, OR(BD!$D325="PENDENTE", BD!$D325="")), TODAY()-BD!$C325, "")</f>
        <v/>
      </c>
    </row>
    <row r="326" spans="1:20" ht="14.25" customHeight="1" x14ac:dyDescent="0.35">
      <c r="A326" s="32"/>
      <c r="B326" s="82">
        <f>'MAI-26'!A31</f>
        <v>0</v>
      </c>
      <c r="C326" s="82">
        <f>'MAI-26'!B31</f>
        <v>0</v>
      </c>
      <c r="D326" s="82">
        <f>'MAI-26'!C31</f>
        <v>0</v>
      </c>
      <c r="E326" s="83">
        <f>'MAI-26'!D31</f>
        <v>0</v>
      </c>
      <c r="F326" s="84">
        <f>'MAI-26'!E31</f>
        <v>0</v>
      </c>
      <c r="G326" s="85">
        <f>'MAI-26'!F31</f>
        <v>0</v>
      </c>
      <c r="H326" s="85">
        <f t="shared" si="0"/>
        <v>0</v>
      </c>
      <c r="I326" s="83" t="s">
        <v>99</v>
      </c>
      <c r="J326" s="83" t="str">
        <f t="shared" si="1"/>
        <v/>
      </c>
      <c r="K326" s="85">
        <f t="shared" si="2"/>
        <v>0</v>
      </c>
      <c r="L326" s="83" t="str">
        <f t="shared" si="3"/>
        <v/>
      </c>
      <c r="M326" s="83">
        <f>'MAI-26'!H31</f>
        <v>0</v>
      </c>
      <c r="N326" s="92" t="str">
        <f ca="1">IF(BD!$C326="","",IF(AND(TODAY()&gt;BD!$C326,OR(BD!$D326="PENDENTE",BD!$D326="")),"VENCIDO",""))</f>
        <v/>
      </c>
      <c r="O326" s="82" t="str">
        <f ca="1">IF(N326 = "VENCIDO",BD!$B326,"")</f>
        <v/>
      </c>
      <c r="P326" s="82" t="str">
        <f ca="1">IF(N326 = "VENCIDO",BD!$C326,"")</f>
        <v/>
      </c>
      <c r="Q326" s="83" t="str">
        <f ca="1">IF(N326 = "VENCIDO",BD!$E326,"")</f>
        <v/>
      </c>
      <c r="R326" s="83" t="str">
        <f ca="1">IF(N326 = "VENCIDO",BD!$F326,"")</f>
        <v/>
      </c>
      <c r="S326" s="85" t="str">
        <f ca="1">IF(N326 = "VENCIDO",BD!$G326,"")</f>
        <v/>
      </c>
      <c r="T326" s="83" t="str">
        <f ca="1">IF(AND(TODAY()&gt;BD!$C326, OR(BD!$D326="PENDENTE", BD!$D326="")), TODAY()-BD!$C326, "")</f>
        <v/>
      </c>
    </row>
    <row r="327" spans="1:20" ht="14.25" customHeight="1" x14ac:dyDescent="0.35">
      <c r="A327" s="32"/>
      <c r="B327" s="82">
        <f>'MAI-26'!A32</f>
        <v>0</v>
      </c>
      <c r="C327" s="82">
        <f>'MAI-26'!B32</f>
        <v>0</v>
      </c>
      <c r="D327" s="82">
        <f>'MAI-26'!C32</f>
        <v>0</v>
      </c>
      <c r="E327" s="83">
        <f>'MAI-26'!D32</f>
        <v>0</v>
      </c>
      <c r="F327" s="84">
        <f>'MAI-26'!E32</f>
        <v>0</v>
      </c>
      <c r="G327" s="85">
        <f>'MAI-26'!F32</f>
        <v>0</v>
      </c>
      <c r="H327" s="85">
        <f t="shared" si="0"/>
        <v>0</v>
      </c>
      <c r="I327" s="83" t="s">
        <v>99</v>
      </c>
      <c r="J327" s="83" t="str">
        <f t="shared" si="1"/>
        <v/>
      </c>
      <c r="K327" s="85">
        <f t="shared" si="2"/>
        <v>0</v>
      </c>
      <c r="L327" s="83" t="str">
        <f t="shared" si="3"/>
        <v/>
      </c>
      <c r="M327" s="83">
        <f>'MAI-26'!H32</f>
        <v>0</v>
      </c>
      <c r="N327" s="92" t="str">
        <f ca="1">IF(BD!$C327="","",IF(AND(TODAY()&gt;BD!$C327,OR(BD!$D327="PENDENTE",BD!$D327="")),"VENCIDO",""))</f>
        <v/>
      </c>
      <c r="O327" s="82" t="str">
        <f ca="1">IF(N327 = "VENCIDO",BD!$B327,"")</f>
        <v/>
      </c>
      <c r="P327" s="82" t="str">
        <f ca="1">IF(N327 = "VENCIDO",BD!$C327,"")</f>
        <v/>
      </c>
      <c r="Q327" s="83" t="str">
        <f ca="1">IF(N327 = "VENCIDO",BD!$E327,"")</f>
        <v/>
      </c>
      <c r="R327" s="83" t="str">
        <f ca="1">IF(N327 = "VENCIDO",BD!$F327,"")</f>
        <v/>
      </c>
      <c r="S327" s="85" t="str">
        <f ca="1">IF(N327 = "VENCIDO",BD!$G327,"")</f>
        <v/>
      </c>
      <c r="T327" s="83" t="str">
        <f ca="1">IF(AND(TODAY()&gt;BD!$C327, OR(BD!$D327="PENDENTE", BD!$D327="")), TODAY()-BD!$C327, "")</f>
        <v/>
      </c>
    </row>
    <row r="328" spans="1:20" ht="14.25" customHeight="1" x14ac:dyDescent="0.35">
      <c r="A328" s="32"/>
      <c r="B328" s="82">
        <f>'MAI-26'!A33</f>
        <v>0</v>
      </c>
      <c r="C328" s="82">
        <f>'MAI-26'!B33</f>
        <v>0</v>
      </c>
      <c r="D328" s="82">
        <f>'MAI-26'!C33</f>
        <v>0</v>
      </c>
      <c r="E328" s="83">
        <f>'MAI-26'!D33</f>
        <v>0</v>
      </c>
      <c r="F328" s="84">
        <f>'MAI-26'!E33</f>
        <v>0</v>
      </c>
      <c r="G328" s="85">
        <f>'MAI-26'!F33</f>
        <v>0</v>
      </c>
      <c r="H328" s="85">
        <f t="shared" si="0"/>
        <v>0</v>
      </c>
      <c r="I328" s="83" t="s">
        <v>99</v>
      </c>
      <c r="J328" s="83" t="str">
        <f t="shared" si="1"/>
        <v/>
      </c>
      <c r="K328" s="85">
        <f t="shared" si="2"/>
        <v>0</v>
      </c>
      <c r="L328" s="83" t="str">
        <f t="shared" si="3"/>
        <v/>
      </c>
      <c r="M328" s="83">
        <f>'MAI-26'!H33</f>
        <v>0</v>
      </c>
      <c r="N328" s="92" t="str">
        <f ca="1">IF(BD!$C328="","",IF(AND(TODAY()&gt;BD!$C328,OR(BD!$D328="PENDENTE",BD!$D328="")),"VENCIDO",""))</f>
        <v/>
      </c>
      <c r="O328" s="82" t="str">
        <f ca="1">IF(N328 = "VENCIDO",BD!$B328,"")</f>
        <v/>
      </c>
      <c r="P328" s="82" t="str">
        <f ca="1">IF(N328 = "VENCIDO",BD!$C328,"")</f>
        <v/>
      </c>
      <c r="Q328" s="83" t="str">
        <f ca="1">IF(N328 = "VENCIDO",BD!$E328,"")</f>
        <v/>
      </c>
      <c r="R328" s="83" t="str">
        <f ca="1">IF(N328 = "VENCIDO",BD!$F328,"")</f>
        <v/>
      </c>
      <c r="S328" s="85" t="str">
        <f ca="1">IF(N328 = "VENCIDO",BD!$G328,"")</f>
        <v/>
      </c>
      <c r="T328" s="83" t="str">
        <f ca="1">IF(AND(TODAY()&gt;BD!$C328, OR(BD!$D328="PENDENTE", BD!$D328="")), TODAY()-BD!$C328, "")</f>
        <v/>
      </c>
    </row>
    <row r="329" spans="1:20" ht="14.25" customHeight="1" x14ac:dyDescent="0.35">
      <c r="A329" s="32"/>
      <c r="B329" s="82">
        <f>'MAI-26'!A34</f>
        <v>0</v>
      </c>
      <c r="C329" s="82">
        <f>'MAI-26'!B34</f>
        <v>0</v>
      </c>
      <c r="D329" s="82">
        <f>'MAI-26'!C34</f>
        <v>0</v>
      </c>
      <c r="E329" s="83">
        <f>'MAI-26'!D34</f>
        <v>0</v>
      </c>
      <c r="F329" s="84">
        <f>'MAI-26'!E34</f>
        <v>0</v>
      </c>
      <c r="G329" s="85">
        <f>'MAI-26'!F34</f>
        <v>0</v>
      </c>
      <c r="H329" s="85">
        <f t="shared" si="0"/>
        <v>0</v>
      </c>
      <c r="I329" s="83" t="s">
        <v>99</v>
      </c>
      <c r="J329" s="83" t="str">
        <f t="shared" si="1"/>
        <v/>
      </c>
      <c r="K329" s="85">
        <f t="shared" si="2"/>
        <v>0</v>
      </c>
      <c r="L329" s="83" t="str">
        <f t="shared" si="3"/>
        <v/>
      </c>
      <c r="M329" s="83">
        <f>'MAI-26'!H34</f>
        <v>0</v>
      </c>
      <c r="N329" s="92" t="str">
        <f ca="1">IF(BD!$C329="","",IF(AND(TODAY()&gt;BD!$C329,OR(BD!$D329="PENDENTE",BD!$D329="")),"VENCIDO",""))</f>
        <v/>
      </c>
      <c r="O329" s="82" t="str">
        <f ca="1">IF(N329 = "VENCIDO",BD!$B329,"")</f>
        <v/>
      </c>
      <c r="P329" s="82" t="str">
        <f ca="1">IF(N329 = "VENCIDO",BD!$C329,"")</f>
        <v/>
      </c>
      <c r="Q329" s="83" t="str">
        <f ca="1">IF(N329 = "VENCIDO",BD!$E329,"")</f>
        <v/>
      </c>
      <c r="R329" s="83" t="str">
        <f ca="1">IF(N329 = "VENCIDO",BD!$F329,"")</f>
        <v/>
      </c>
      <c r="S329" s="85" t="str">
        <f ca="1">IF(N329 = "VENCIDO",BD!$G329,"")</f>
        <v/>
      </c>
      <c r="T329" s="83" t="str">
        <f ca="1">IF(AND(TODAY()&gt;BD!$C329, OR(BD!$D329="PENDENTE", BD!$D329="")), TODAY()-BD!$C329, "")</f>
        <v/>
      </c>
    </row>
    <row r="330" spans="1:20" ht="14.25" customHeight="1" x14ac:dyDescent="0.35">
      <c r="A330" s="32"/>
      <c r="B330" s="82">
        <f>'MAI-26'!A35</f>
        <v>0</v>
      </c>
      <c r="C330" s="82">
        <f>'MAI-26'!B35</f>
        <v>0</v>
      </c>
      <c r="D330" s="82">
        <f>'MAI-26'!C35</f>
        <v>0</v>
      </c>
      <c r="E330" s="93">
        <f>'MAI-26'!D35</f>
        <v>0</v>
      </c>
      <c r="F330" s="84">
        <f>'MAI-26'!E35</f>
        <v>0</v>
      </c>
      <c r="G330" s="85">
        <f>'MAI-26'!F35</f>
        <v>0</v>
      </c>
      <c r="H330" s="85">
        <f t="shared" si="0"/>
        <v>0</v>
      </c>
      <c r="I330" s="83" t="s">
        <v>99</v>
      </c>
      <c r="J330" s="83" t="str">
        <f t="shared" si="1"/>
        <v/>
      </c>
      <c r="K330" s="85">
        <f t="shared" si="2"/>
        <v>0</v>
      </c>
      <c r="L330" s="83" t="str">
        <f t="shared" si="3"/>
        <v/>
      </c>
      <c r="M330" s="83">
        <f>'MAI-26'!H35</f>
        <v>0</v>
      </c>
      <c r="N330" s="92" t="str">
        <f ca="1">IF(BD!$C330="","",IF(AND(TODAY()&gt;BD!$C330,OR(BD!$D330="PENDENTE",BD!$D330="")),"VENCIDO",""))</f>
        <v/>
      </c>
      <c r="O330" s="82" t="str">
        <f ca="1">IF(N330 = "VENCIDO",BD!$B330,"")</f>
        <v/>
      </c>
      <c r="P330" s="82" t="str">
        <f ca="1">IF(N330 = "VENCIDO",BD!$C330,"")</f>
        <v/>
      </c>
      <c r="Q330" s="83" t="str">
        <f ca="1">IF(N330 = "VENCIDO",BD!$E330,"")</f>
        <v/>
      </c>
      <c r="R330" s="83" t="str">
        <f ca="1">IF(N330 = "VENCIDO",BD!$F330,"")</f>
        <v/>
      </c>
      <c r="S330" s="85" t="str">
        <f ca="1">IF(N330 = "VENCIDO",BD!$G330,"")</f>
        <v/>
      </c>
      <c r="T330" s="83" t="str">
        <f ca="1">IF(AND(TODAY()&gt;BD!$C330, OR(BD!$D330="PENDENTE", BD!$D330="")), TODAY()-BD!$C330, "")</f>
        <v/>
      </c>
    </row>
    <row r="331" spans="1:20" ht="14.25" customHeight="1" x14ac:dyDescent="0.35">
      <c r="A331" s="32"/>
      <c r="B331" s="82">
        <f>'MAI-26'!A36</f>
        <v>0</v>
      </c>
      <c r="C331" s="82">
        <f>'MAI-26'!B36</f>
        <v>0</v>
      </c>
      <c r="D331" s="82">
        <f>'MAI-26'!C36</f>
        <v>0</v>
      </c>
      <c r="E331" s="93">
        <f>'MAI-26'!D36</f>
        <v>0</v>
      </c>
      <c r="F331" s="84">
        <f>'MAI-26'!E36</f>
        <v>0</v>
      </c>
      <c r="G331" s="85">
        <f>'MAI-26'!F36</f>
        <v>0</v>
      </c>
      <c r="H331" s="85">
        <f t="shared" si="0"/>
        <v>0</v>
      </c>
      <c r="I331" s="83" t="s">
        <v>99</v>
      </c>
      <c r="J331" s="83" t="str">
        <f t="shared" si="1"/>
        <v/>
      </c>
      <c r="K331" s="85">
        <f t="shared" si="2"/>
        <v>0</v>
      </c>
      <c r="L331" s="83" t="str">
        <f t="shared" si="3"/>
        <v/>
      </c>
      <c r="M331" s="83">
        <f>'MAI-26'!H36</f>
        <v>0</v>
      </c>
      <c r="N331" s="92" t="str">
        <f ca="1">IF(BD!$C331="","",IF(AND(TODAY()&gt;BD!$C331,OR(BD!$D331="PENDENTE",BD!$D331="")),"VENCIDO",""))</f>
        <v/>
      </c>
      <c r="O331" s="82" t="str">
        <f ca="1">IF(N331 = "VENCIDO",BD!$B331,"")</f>
        <v/>
      </c>
      <c r="P331" s="82" t="str">
        <f ca="1">IF(N331 = "VENCIDO",BD!$C331,"")</f>
        <v/>
      </c>
      <c r="Q331" s="83" t="str">
        <f ca="1">IF(N331 = "VENCIDO",BD!$E331,"")</f>
        <v/>
      </c>
      <c r="R331" s="83" t="str">
        <f ca="1">IF(N331 = "VENCIDO",BD!$F331,"")</f>
        <v/>
      </c>
      <c r="S331" s="85" t="str">
        <f ca="1">IF(N331 = "VENCIDO",BD!$G331,"")</f>
        <v/>
      </c>
      <c r="T331" s="83" t="str">
        <f ca="1">IF(AND(TODAY()&gt;BD!$C331, OR(BD!$D331="PENDENTE", BD!$D331="")), TODAY()-BD!$C331, "")</f>
        <v/>
      </c>
    </row>
    <row r="332" spans="1:20" ht="14.25" customHeight="1" x14ac:dyDescent="0.35">
      <c r="A332" s="32"/>
      <c r="B332" s="82">
        <f>'MAI-26'!A37</f>
        <v>0</v>
      </c>
      <c r="C332" s="82">
        <f>'MAI-26'!B37</f>
        <v>0</v>
      </c>
      <c r="D332" s="82">
        <f>'MAI-26'!C37</f>
        <v>0</v>
      </c>
      <c r="E332" s="83">
        <f>'MAI-26'!D37</f>
        <v>0</v>
      </c>
      <c r="F332" s="84">
        <f>'MAI-26'!E37</f>
        <v>0</v>
      </c>
      <c r="G332" s="85">
        <f>'MAI-26'!F37</f>
        <v>0</v>
      </c>
      <c r="H332" s="85">
        <f t="shared" si="0"/>
        <v>0</v>
      </c>
      <c r="I332" s="83" t="s">
        <v>99</v>
      </c>
      <c r="J332" s="83" t="str">
        <f t="shared" si="1"/>
        <v/>
      </c>
      <c r="K332" s="85">
        <f t="shared" si="2"/>
        <v>0</v>
      </c>
      <c r="L332" s="83" t="str">
        <f t="shared" si="3"/>
        <v/>
      </c>
      <c r="M332" s="83">
        <f>'MAI-26'!H37</f>
        <v>0</v>
      </c>
      <c r="N332" s="92" t="str">
        <f ca="1">IF(BD!$C332="","",IF(AND(TODAY()&gt;BD!$C332,OR(BD!$D332="PENDENTE",BD!$D332="")),"VENCIDO",""))</f>
        <v/>
      </c>
      <c r="O332" s="82" t="str">
        <f ca="1">IF(N332 = "VENCIDO",BD!$B332,"")</f>
        <v/>
      </c>
      <c r="P332" s="82" t="str">
        <f ca="1">IF(N332 = "VENCIDO",BD!$C332,"")</f>
        <v/>
      </c>
      <c r="Q332" s="83" t="str">
        <f ca="1">IF(N332 = "VENCIDO",BD!$E332,"")</f>
        <v/>
      </c>
      <c r="R332" s="83" t="str">
        <f ca="1">IF(N332 = "VENCIDO",BD!$F332,"")</f>
        <v/>
      </c>
      <c r="S332" s="85" t="str">
        <f ca="1">IF(N332 = "VENCIDO",BD!$G332,"")</f>
        <v/>
      </c>
      <c r="T332" s="83" t="str">
        <f ca="1">IF(AND(TODAY()&gt;BD!$C332, OR(BD!$D332="PENDENTE", BD!$D332="")), TODAY()-BD!$C332, "")</f>
        <v/>
      </c>
    </row>
    <row r="333" spans="1:20" ht="14.25" customHeight="1" x14ac:dyDescent="0.35">
      <c r="A333" s="32"/>
      <c r="B333" s="82">
        <f>'MAI-26'!A38</f>
        <v>0</v>
      </c>
      <c r="C333" s="82">
        <f>'MAI-26'!B38</f>
        <v>0</v>
      </c>
      <c r="D333" s="82">
        <f>'MAI-26'!C38</f>
        <v>0</v>
      </c>
      <c r="E333" s="83">
        <f>'MAI-26'!D38</f>
        <v>0</v>
      </c>
      <c r="F333" s="84">
        <f>'MAI-26'!E38</f>
        <v>0</v>
      </c>
      <c r="G333" s="85">
        <f>'MAI-26'!F38</f>
        <v>0</v>
      </c>
      <c r="H333" s="85">
        <f t="shared" si="0"/>
        <v>0</v>
      </c>
      <c r="I333" s="83" t="s">
        <v>99</v>
      </c>
      <c r="J333" s="83" t="str">
        <f t="shared" si="1"/>
        <v/>
      </c>
      <c r="K333" s="85">
        <f t="shared" si="2"/>
        <v>0</v>
      </c>
      <c r="L333" s="83" t="str">
        <f t="shared" si="3"/>
        <v/>
      </c>
      <c r="M333" s="83">
        <f>'MAI-26'!H38</f>
        <v>0</v>
      </c>
      <c r="N333" s="92" t="str">
        <f ca="1">IF(BD!$C333="","",IF(AND(TODAY()&gt;BD!$C333,OR(BD!$D333="PENDENTE",BD!$D333="")),"VENCIDO",""))</f>
        <v/>
      </c>
      <c r="O333" s="82" t="str">
        <f ca="1">IF(N333 = "VENCIDO",BD!$B333,"")</f>
        <v/>
      </c>
      <c r="P333" s="82" t="str">
        <f ca="1">IF(N333 = "VENCIDO",BD!$C333,"")</f>
        <v/>
      </c>
      <c r="Q333" s="83" t="str">
        <f ca="1">IF(N333 = "VENCIDO",BD!$E333,"")</f>
        <v/>
      </c>
      <c r="R333" s="83" t="str">
        <f ca="1">IF(N333 = "VENCIDO",BD!$F333,"")</f>
        <v/>
      </c>
      <c r="S333" s="85" t="str">
        <f ca="1">IF(N333 = "VENCIDO",BD!$G333,"")</f>
        <v/>
      </c>
      <c r="T333" s="83" t="str">
        <f ca="1">IF(AND(TODAY()&gt;BD!$C333, OR(BD!$D333="PENDENTE", BD!$D333="")), TODAY()-BD!$C333, "")</f>
        <v/>
      </c>
    </row>
    <row r="334" spans="1:20" ht="14.25" customHeight="1" x14ac:dyDescent="0.35">
      <c r="A334" s="32"/>
      <c r="B334" s="82">
        <f>'MAI-26'!A39</f>
        <v>0</v>
      </c>
      <c r="C334" s="82">
        <f>'MAI-26'!B39</f>
        <v>0</v>
      </c>
      <c r="D334" s="82">
        <f>'MAI-26'!C39</f>
        <v>0</v>
      </c>
      <c r="E334" s="83">
        <f>'MAI-26'!D39</f>
        <v>0</v>
      </c>
      <c r="F334" s="84">
        <f>'MAI-26'!E39</f>
        <v>0</v>
      </c>
      <c r="G334" s="85">
        <f>'MAI-26'!F39</f>
        <v>0</v>
      </c>
      <c r="H334" s="85">
        <f t="shared" si="0"/>
        <v>0</v>
      </c>
      <c r="I334" s="83" t="s">
        <v>99</v>
      </c>
      <c r="J334" s="83" t="str">
        <f t="shared" si="1"/>
        <v/>
      </c>
      <c r="K334" s="85">
        <f t="shared" si="2"/>
        <v>0</v>
      </c>
      <c r="L334" s="83" t="str">
        <f t="shared" si="3"/>
        <v/>
      </c>
      <c r="M334" s="83">
        <f>'MAI-26'!H39</f>
        <v>0</v>
      </c>
      <c r="N334" s="92" t="str">
        <f ca="1">IF(BD!$C334="","",IF(AND(TODAY()&gt;BD!$C334,OR(BD!$D334="PENDENTE",BD!$D334="")),"VENCIDO",""))</f>
        <v/>
      </c>
      <c r="O334" s="82" t="str">
        <f ca="1">IF(N334 = "VENCIDO",BD!$B334,"")</f>
        <v/>
      </c>
      <c r="P334" s="82" t="str">
        <f ca="1">IF(N334 = "VENCIDO",BD!$C334,"")</f>
        <v/>
      </c>
      <c r="Q334" s="83" t="str">
        <f ca="1">IF(N334 = "VENCIDO",BD!$E334,"")</f>
        <v/>
      </c>
      <c r="R334" s="83" t="str">
        <f ca="1">IF(N334 = "VENCIDO",BD!$F334,"")</f>
        <v/>
      </c>
      <c r="S334" s="85" t="str">
        <f ca="1">IF(N334 = "VENCIDO",BD!$G334,"")</f>
        <v/>
      </c>
      <c r="T334" s="83" t="str">
        <f ca="1">IF(AND(TODAY()&gt;BD!$C334, OR(BD!$D334="PENDENTE", BD!$D334="")), TODAY()-BD!$C334, "")</f>
        <v/>
      </c>
    </row>
    <row r="335" spans="1:20" ht="14.25" customHeight="1" x14ac:dyDescent="0.35">
      <c r="A335" s="32"/>
      <c r="B335" s="82">
        <f>'MAI-26'!A40</f>
        <v>0</v>
      </c>
      <c r="C335" s="82">
        <f>'MAI-26'!B40</f>
        <v>0</v>
      </c>
      <c r="D335" s="82">
        <f>'MAI-26'!C40</f>
        <v>0</v>
      </c>
      <c r="E335" s="83">
        <f>'MAI-26'!D40</f>
        <v>0</v>
      </c>
      <c r="F335" s="84">
        <f>'MAI-26'!E40</f>
        <v>0</v>
      </c>
      <c r="G335" s="85">
        <f>'MAI-26'!F40</f>
        <v>0</v>
      </c>
      <c r="H335" s="85">
        <f t="shared" si="0"/>
        <v>0</v>
      </c>
      <c r="I335" s="83" t="s">
        <v>99</v>
      </c>
      <c r="J335" s="83" t="str">
        <f t="shared" si="1"/>
        <v/>
      </c>
      <c r="K335" s="85">
        <f t="shared" si="2"/>
        <v>0</v>
      </c>
      <c r="L335" s="83" t="str">
        <f t="shared" si="3"/>
        <v/>
      </c>
      <c r="M335" s="83">
        <f>'MAI-26'!H40</f>
        <v>0</v>
      </c>
      <c r="N335" s="92" t="str">
        <f ca="1">IF(BD!$C335="","",IF(AND(TODAY()&gt;BD!$C335,OR(BD!$D335="PENDENTE",BD!$D335="")),"VENCIDO",""))</f>
        <v/>
      </c>
      <c r="O335" s="82" t="str">
        <f ca="1">IF(N335 = "VENCIDO",BD!$B335,"")</f>
        <v/>
      </c>
      <c r="P335" s="82" t="str">
        <f ca="1">IF(N335 = "VENCIDO",BD!$C335,"")</f>
        <v/>
      </c>
      <c r="Q335" s="83" t="str">
        <f ca="1">IF(N335 = "VENCIDO",BD!$E335,"")</f>
        <v/>
      </c>
      <c r="R335" s="83" t="str">
        <f ca="1">IF(N335 = "VENCIDO",BD!$F335,"")</f>
        <v/>
      </c>
      <c r="S335" s="85" t="str">
        <f ca="1">IF(N335 = "VENCIDO",BD!$G335,"")</f>
        <v/>
      </c>
      <c r="T335" s="83" t="str">
        <f ca="1">IF(AND(TODAY()&gt;BD!$C335, OR(BD!$D335="PENDENTE", BD!$D335="")), TODAY()-BD!$C335, "")</f>
        <v/>
      </c>
    </row>
    <row r="336" spans="1:20" ht="14.25" customHeight="1" x14ac:dyDescent="0.35">
      <c r="A336" s="32"/>
      <c r="B336" s="82">
        <f>'MAI-26'!A41</f>
        <v>0</v>
      </c>
      <c r="C336" s="82">
        <f>'MAI-26'!B41</f>
        <v>0</v>
      </c>
      <c r="D336" s="82">
        <f>'MAI-26'!C41</f>
        <v>0</v>
      </c>
      <c r="E336" s="83">
        <f>'MAI-26'!D41</f>
        <v>0</v>
      </c>
      <c r="F336" s="84">
        <f>'MAI-26'!E41</f>
        <v>0</v>
      </c>
      <c r="G336" s="85">
        <f>'MAI-26'!F41</f>
        <v>0</v>
      </c>
      <c r="H336" s="85">
        <f t="shared" si="0"/>
        <v>0</v>
      </c>
      <c r="I336" s="83" t="s">
        <v>99</v>
      </c>
      <c r="J336" s="83" t="str">
        <f t="shared" si="1"/>
        <v/>
      </c>
      <c r="K336" s="85">
        <f t="shared" si="2"/>
        <v>0</v>
      </c>
      <c r="L336" s="83" t="str">
        <f t="shared" si="3"/>
        <v/>
      </c>
      <c r="M336" s="83">
        <f>'MAI-26'!H41</f>
        <v>0</v>
      </c>
      <c r="N336" s="92" t="str">
        <f ca="1">IF(BD!$C336="","",IF(AND(TODAY()&gt;BD!$C336,OR(BD!$D336="PENDENTE",BD!$D336="")),"VENCIDO",""))</f>
        <v/>
      </c>
      <c r="O336" s="82" t="str">
        <f ca="1">IF(N336 = "VENCIDO",BD!$B336,"")</f>
        <v/>
      </c>
      <c r="P336" s="82" t="str">
        <f ca="1">IF(N336 = "VENCIDO",BD!$C336,"")</f>
        <v/>
      </c>
      <c r="Q336" s="83" t="str">
        <f ca="1">IF(N336 = "VENCIDO",BD!$E336,"")</f>
        <v/>
      </c>
      <c r="R336" s="83" t="str">
        <f ca="1">IF(N336 = "VENCIDO",BD!$F336,"")</f>
        <v/>
      </c>
      <c r="S336" s="85" t="str">
        <f ca="1">IF(N336 = "VENCIDO",BD!$G336,"")</f>
        <v/>
      </c>
      <c r="T336" s="83" t="str">
        <f ca="1">IF(AND(TODAY()&gt;BD!$C336, OR(BD!$D336="PENDENTE", BD!$D336="")), TODAY()-BD!$C336, "")</f>
        <v/>
      </c>
    </row>
    <row r="337" spans="1:20" ht="14.25" customHeight="1" x14ac:dyDescent="0.35">
      <c r="A337" s="32"/>
      <c r="B337" s="82">
        <f>'MAI-26'!A42</f>
        <v>0</v>
      </c>
      <c r="C337" s="82">
        <f>'MAI-26'!B42</f>
        <v>0</v>
      </c>
      <c r="D337" s="82">
        <f>'MAI-26'!C42</f>
        <v>0</v>
      </c>
      <c r="E337" s="83">
        <f>'MAI-26'!D42</f>
        <v>0</v>
      </c>
      <c r="F337" s="84">
        <f>'MAI-26'!E42</f>
        <v>0</v>
      </c>
      <c r="G337" s="85">
        <f>'MAI-26'!F42</f>
        <v>0</v>
      </c>
      <c r="H337" s="85">
        <f t="shared" si="0"/>
        <v>0</v>
      </c>
      <c r="I337" s="83" t="s">
        <v>99</v>
      </c>
      <c r="J337" s="83" t="str">
        <f t="shared" si="1"/>
        <v/>
      </c>
      <c r="K337" s="85">
        <f t="shared" si="2"/>
        <v>0</v>
      </c>
      <c r="L337" s="83" t="str">
        <f t="shared" si="3"/>
        <v/>
      </c>
      <c r="M337" s="83">
        <f>'MAI-26'!H42</f>
        <v>0</v>
      </c>
      <c r="N337" s="92" t="str">
        <f ca="1">IF(BD!$C337="","",IF(AND(TODAY()&gt;BD!$C337,OR(BD!$D337="PENDENTE",BD!$D337="")),"VENCIDO",""))</f>
        <v/>
      </c>
      <c r="O337" s="82" t="str">
        <f ca="1">IF(N337 = "VENCIDO",BD!$B337,"")</f>
        <v/>
      </c>
      <c r="P337" s="82" t="str">
        <f ca="1">IF(N337 = "VENCIDO",BD!$C337,"")</f>
        <v/>
      </c>
      <c r="Q337" s="83" t="str">
        <f ca="1">IF(N337 = "VENCIDO",BD!$E337,"")</f>
        <v/>
      </c>
      <c r="R337" s="83" t="str">
        <f ca="1">IF(N337 = "VENCIDO",BD!$F337,"")</f>
        <v/>
      </c>
      <c r="S337" s="85" t="str">
        <f ca="1">IF(N337 = "VENCIDO",BD!$G337,"")</f>
        <v/>
      </c>
      <c r="T337" s="83" t="str">
        <f ca="1">IF(AND(TODAY()&gt;BD!$C337, OR(BD!$D337="PENDENTE", BD!$D337="")), TODAY()-BD!$C337, "")</f>
        <v/>
      </c>
    </row>
    <row r="338" spans="1:20" ht="14.25" customHeight="1" x14ac:dyDescent="0.35">
      <c r="A338" s="32"/>
      <c r="B338" s="82">
        <f>'MAI-26'!A43</f>
        <v>0</v>
      </c>
      <c r="C338" s="82">
        <f>'MAI-26'!B43</f>
        <v>0</v>
      </c>
      <c r="D338" s="82">
        <f>'MAI-26'!C43</f>
        <v>0</v>
      </c>
      <c r="E338" s="83">
        <f>'MAI-26'!D43</f>
        <v>0</v>
      </c>
      <c r="F338" s="84">
        <f>'MAI-26'!E43</f>
        <v>0</v>
      </c>
      <c r="G338" s="85">
        <f>'MAI-26'!F43</f>
        <v>0</v>
      </c>
      <c r="H338" s="85">
        <f t="shared" si="0"/>
        <v>0</v>
      </c>
      <c r="I338" s="83" t="s">
        <v>99</v>
      </c>
      <c r="J338" s="83" t="str">
        <f t="shared" si="1"/>
        <v/>
      </c>
      <c r="K338" s="85">
        <f t="shared" si="2"/>
        <v>0</v>
      </c>
      <c r="L338" s="83" t="str">
        <f t="shared" si="3"/>
        <v/>
      </c>
      <c r="M338" s="83">
        <f>'MAI-26'!H43</f>
        <v>0</v>
      </c>
      <c r="N338" s="92" t="str">
        <f ca="1">IF(BD!$C338="","",IF(AND(TODAY()&gt;BD!$C338,OR(BD!$D338="PENDENTE",BD!$D338="")),"VENCIDO",""))</f>
        <v/>
      </c>
      <c r="O338" s="82" t="str">
        <f ca="1">IF(N338 = "VENCIDO",BD!$B338,"")</f>
        <v/>
      </c>
      <c r="P338" s="82" t="str">
        <f ca="1">IF(N338 = "VENCIDO",BD!$C338,"")</f>
        <v/>
      </c>
      <c r="Q338" s="83" t="str">
        <f ca="1">IF(N338 = "VENCIDO",BD!$E338,"")</f>
        <v/>
      </c>
      <c r="R338" s="83" t="str">
        <f ca="1">IF(N338 = "VENCIDO",BD!$F338,"")</f>
        <v/>
      </c>
      <c r="S338" s="85" t="str">
        <f ca="1">IF(N338 = "VENCIDO",BD!$G338,"")</f>
        <v/>
      </c>
      <c r="T338" s="83" t="str">
        <f ca="1">IF(AND(TODAY()&gt;BD!$C338, OR(BD!$D338="PENDENTE", BD!$D338="")), TODAY()-BD!$C338, "")</f>
        <v/>
      </c>
    </row>
    <row r="339" spans="1:20" ht="14.25" customHeight="1" x14ac:dyDescent="0.35">
      <c r="A339" s="32"/>
      <c r="B339" s="82">
        <f>'MAI-26'!A44</f>
        <v>0</v>
      </c>
      <c r="C339" s="82">
        <f>'MAI-26'!B44</f>
        <v>0</v>
      </c>
      <c r="D339" s="82">
        <f>'MAI-26'!C44</f>
        <v>0</v>
      </c>
      <c r="E339" s="83">
        <f>'MAI-26'!D44</f>
        <v>0</v>
      </c>
      <c r="F339" s="84">
        <f>'MAI-26'!E44</f>
        <v>0</v>
      </c>
      <c r="G339" s="85">
        <f>'MAI-26'!F44</f>
        <v>0</v>
      </c>
      <c r="H339" s="85">
        <f t="shared" si="0"/>
        <v>0</v>
      </c>
      <c r="I339" s="83" t="s">
        <v>99</v>
      </c>
      <c r="J339" s="83" t="str">
        <f t="shared" si="1"/>
        <v/>
      </c>
      <c r="K339" s="85">
        <f t="shared" si="2"/>
        <v>0</v>
      </c>
      <c r="L339" s="83" t="str">
        <f t="shared" si="3"/>
        <v/>
      </c>
      <c r="M339" s="83">
        <f>'MAI-26'!H44</f>
        <v>0</v>
      </c>
      <c r="N339" s="92" t="str">
        <f ca="1">IF(BD!$C339="","",IF(AND(TODAY()&gt;BD!$C339,OR(BD!$D339="PENDENTE",BD!$D339="")),"VENCIDO",""))</f>
        <v/>
      </c>
      <c r="O339" s="82" t="str">
        <f ca="1">IF(N339 = "VENCIDO",BD!$B339,"")</f>
        <v/>
      </c>
      <c r="P339" s="82" t="str">
        <f ca="1">IF(N339 = "VENCIDO",BD!$C339,"")</f>
        <v/>
      </c>
      <c r="Q339" s="83" t="str">
        <f ca="1">IF(N339 = "VENCIDO",BD!$E339,"")</f>
        <v/>
      </c>
      <c r="R339" s="83" t="str">
        <f ca="1">IF(N339 = "VENCIDO",BD!$F339,"")</f>
        <v/>
      </c>
      <c r="S339" s="85" t="str">
        <f ca="1">IF(N339 = "VENCIDO",BD!$G339,"")</f>
        <v/>
      </c>
      <c r="T339" s="83" t="str">
        <f ca="1">IF(AND(TODAY()&gt;BD!$C339, OR(BD!$D339="PENDENTE", BD!$D339="")), TODAY()-BD!$C339, "")</f>
        <v/>
      </c>
    </row>
    <row r="340" spans="1:20" ht="14.25" customHeight="1" x14ac:dyDescent="0.35">
      <c r="A340" s="32"/>
      <c r="B340" s="82">
        <f>'MAI-26'!A45</f>
        <v>0</v>
      </c>
      <c r="C340" s="82">
        <f>'MAI-26'!B45</f>
        <v>0</v>
      </c>
      <c r="D340" s="82">
        <f>'MAI-26'!C45</f>
        <v>0</v>
      </c>
      <c r="E340" s="83">
        <f>'MAI-26'!D45</f>
        <v>0</v>
      </c>
      <c r="F340" s="84">
        <f>'MAI-26'!E45</f>
        <v>0</v>
      </c>
      <c r="G340" s="85">
        <f>'MAI-26'!F45</f>
        <v>0</v>
      </c>
      <c r="H340" s="85">
        <f t="shared" si="0"/>
        <v>0</v>
      </c>
      <c r="I340" s="83" t="s">
        <v>99</v>
      </c>
      <c r="J340" s="83" t="str">
        <f t="shared" si="1"/>
        <v/>
      </c>
      <c r="K340" s="85">
        <f t="shared" si="2"/>
        <v>0</v>
      </c>
      <c r="L340" s="83" t="str">
        <f t="shared" si="3"/>
        <v/>
      </c>
      <c r="M340" s="83">
        <f>'MAI-26'!H45</f>
        <v>0</v>
      </c>
      <c r="N340" s="92" t="str">
        <f ca="1">IF(BD!$C340="","",IF(AND(TODAY()&gt;BD!$C340,OR(BD!$D340="PENDENTE",BD!$D340="")),"VENCIDO",""))</f>
        <v/>
      </c>
      <c r="O340" s="82" t="str">
        <f ca="1">IF(N340 = "VENCIDO",BD!$B340,"")</f>
        <v/>
      </c>
      <c r="P340" s="82" t="str">
        <f ca="1">IF(N340 = "VENCIDO",BD!$C340,"")</f>
        <v/>
      </c>
      <c r="Q340" s="83" t="str">
        <f ca="1">IF(N340 = "VENCIDO",BD!$E340,"")</f>
        <v/>
      </c>
      <c r="R340" s="83" t="str">
        <f ca="1">IF(N340 = "VENCIDO",BD!$F340,"")</f>
        <v/>
      </c>
      <c r="S340" s="85" t="str">
        <f ca="1">IF(N340 = "VENCIDO",BD!$G340,"")</f>
        <v/>
      </c>
      <c r="T340" s="83" t="str">
        <f ca="1">IF(AND(TODAY()&gt;BD!$C340, OR(BD!$D340="PENDENTE", BD!$D340="")), TODAY()-BD!$C340, "")</f>
        <v/>
      </c>
    </row>
    <row r="341" spans="1:20" ht="14.25" customHeight="1" x14ac:dyDescent="0.35">
      <c r="A341" s="32"/>
      <c r="B341" s="82">
        <f>'MAI-26'!A46</f>
        <v>0</v>
      </c>
      <c r="C341" s="82">
        <f>'MAI-26'!B46</f>
        <v>0</v>
      </c>
      <c r="D341" s="82">
        <f>'MAI-26'!C46</f>
        <v>0</v>
      </c>
      <c r="E341" s="83">
        <f>'MAI-26'!D46</f>
        <v>0</v>
      </c>
      <c r="F341" s="84">
        <f>'MAI-26'!E46</f>
        <v>0</v>
      </c>
      <c r="G341" s="85">
        <f>'MAI-26'!F46</f>
        <v>0</v>
      </c>
      <c r="H341" s="85">
        <f t="shared" si="0"/>
        <v>0</v>
      </c>
      <c r="I341" s="83" t="s">
        <v>99</v>
      </c>
      <c r="J341" s="83" t="str">
        <f t="shared" si="1"/>
        <v/>
      </c>
      <c r="K341" s="85">
        <f t="shared" si="2"/>
        <v>0</v>
      </c>
      <c r="L341" s="83" t="str">
        <f t="shared" si="3"/>
        <v/>
      </c>
      <c r="M341" s="83">
        <f>'MAI-26'!H46</f>
        <v>0</v>
      </c>
      <c r="N341" s="92" t="str">
        <f ca="1">IF(BD!$C341="","",IF(AND(TODAY()&gt;BD!$C341,OR(BD!$D341="PENDENTE",BD!$D341="")),"VENCIDO",""))</f>
        <v/>
      </c>
      <c r="O341" s="82" t="str">
        <f ca="1">IF(N341 = "VENCIDO",BD!$B341,"")</f>
        <v/>
      </c>
      <c r="P341" s="82" t="str">
        <f ca="1">IF(N341 = "VENCIDO",BD!$C341,"")</f>
        <v/>
      </c>
      <c r="Q341" s="83" t="str">
        <f ca="1">IF(N341 = "VENCIDO",BD!$E341,"")</f>
        <v/>
      </c>
      <c r="R341" s="83" t="str">
        <f ca="1">IF(N341 = "VENCIDO",BD!$F341,"")</f>
        <v/>
      </c>
      <c r="S341" s="85" t="str">
        <f ca="1">IF(N341 = "VENCIDO",BD!$G341,"")</f>
        <v/>
      </c>
      <c r="T341" s="83" t="str">
        <f ca="1">IF(AND(TODAY()&gt;BD!$C341, OR(BD!$D341="PENDENTE", BD!$D341="")), TODAY()-BD!$C341, "")</f>
        <v/>
      </c>
    </row>
    <row r="342" spans="1:20" ht="14.25" customHeight="1" x14ac:dyDescent="0.35">
      <c r="A342" s="32"/>
      <c r="B342" s="82">
        <f>'MAI-26'!A47</f>
        <v>0</v>
      </c>
      <c r="C342" s="82">
        <f>'MAI-26'!B47</f>
        <v>0</v>
      </c>
      <c r="D342" s="82">
        <f>'MAI-26'!C47</f>
        <v>0</v>
      </c>
      <c r="E342" s="83">
        <f>'MAI-26'!D47</f>
        <v>0</v>
      </c>
      <c r="F342" s="84">
        <f>'MAI-26'!E47</f>
        <v>0</v>
      </c>
      <c r="G342" s="85">
        <f>'MAI-26'!F47</f>
        <v>0</v>
      </c>
      <c r="H342" s="85">
        <f t="shared" si="0"/>
        <v>0</v>
      </c>
      <c r="I342" s="83" t="s">
        <v>99</v>
      </c>
      <c r="J342" s="83" t="str">
        <f t="shared" si="1"/>
        <v/>
      </c>
      <c r="K342" s="85">
        <f t="shared" si="2"/>
        <v>0</v>
      </c>
      <c r="L342" s="83" t="str">
        <f t="shared" si="3"/>
        <v/>
      </c>
      <c r="M342" s="83">
        <f>'MAI-26'!H47</f>
        <v>0</v>
      </c>
      <c r="N342" s="92" t="str">
        <f ca="1">IF(BD!$C342="","",IF(AND(TODAY()&gt;BD!$C342,OR(BD!$D342="PENDENTE",BD!$D342="")),"VENCIDO",""))</f>
        <v/>
      </c>
      <c r="O342" s="82" t="str">
        <f ca="1">IF(N342 = "VENCIDO",BD!$B342,"")</f>
        <v/>
      </c>
      <c r="P342" s="82" t="str">
        <f ca="1">IF(N342 = "VENCIDO",BD!$C342,"")</f>
        <v/>
      </c>
      <c r="Q342" s="83" t="str">
        <f ca="1">IF(N342 = "VENCIDO",BD!$E342,"")</f>
        <v/>
      </c>
      <c r="R342" s="83" t="str">
        <f ca="1">IF(N342 = "VENCIDO",BD!$F342,"")</f>
        <v/>
      </c>
      <c r="S342" s="85" t="str">
        <f ca="1">IF(N342 = "VENCIDO",BD!$G342,"")</f>
        <v/>
      </c>
      <c r="T342" s="83" t="str">
        <f ca="1">IF(AND(TODAY()&gt;BD!$C342, OR(BD!$D342="PENDENTE", BD!$D342="")), TODAY()-BD!$C342, "")</f>
        <v/>
      </c>
    </row>
    <row r="343" spans="1:20" ht="14.25" customHeight="1" x14ac:dyDescent="0.35">
      <c r="A343" s="32"/>
      <c r="B343" s="82">
        <f>'MAI-26'!A48</f>
        <v>0</v>
      </c>
      <c r="C343" s="82">
        <f>'MAI-26'!B48</f>
        <v>0</v>
      </c>
      <c r="D343" s="82">
        <f>'MAI-26'!C48</f>
        <v>0</v>
      </c>
      <c r="E343" s="83">
        <f>'MAI-26'!D48</f>
        <v>0</v>
      </c>
      <c r="F343" s="84">
        <f>'MAI-26'!E48</f>
        <v>0</v>
      </c>
      <c r="G343" s="85">
        <f>'MAI-26'!F48</f>
        <v>0</v>
      </c>
      <c r="H343" s="85">
        <f t="shared" si="0"/>
        <v>0</v>
      </c>
      <c r="I343" s="83" t="s">
        <v>99</v>
      </c>
      <c r="J343" s="83" t="str">
        <f t="shared" si="1"/>
        <v/>
      </c>
      <c r="K343" s="85">
        <f t="shared" si="2"/>
        <v>0</v>
      </c>
      <c r="L343" s="83" t="str">
        <f t="shared" si="3"/>
        <v/>
      </c>
      <c r="M343" s="83">
        <f>'MAI-26'!H48</f>
        <v>0</v>
      </c>
      <c r="N343" s="92" t="str">
        <f ca="1">IF(BD!$C343="","",IF(AND(TODAY()&gt;BD!$C343,OR(BD!$D343="PENDENTE",BD!$D343="")),"VENCIDO",""))</f>
        <v/>
      </c>
      <c r="O343" s="82" t="str">
        <f ca="1">IF(N343 = "VENCIDO",BD!$B343,"")</f>
        <v/>
      </c>
      <c r="P343" s="82" t="str">
        <f ca="1">IF(N343 = "VENCIDO",BD!$C343,"")</f>
        <v/>
      </c>
      <c r="Q343" s="83" t="str">
        <f ca="1">IF(N343 = "VENCIDO",BD!$E343,"")</f>
        <v/>
      </c>
      <c r="R343" s="83" t="str">
        <f ca="1">IF(N343 = "VENCIDO",BD!$F343,"")</f>
        <v/>
      </c>
      <c r="S343" s="85" t="str">
        <f ca="1">IF(N343 = "VENCIDO",BD!$G343,"")</f>
        <v/>
      </c>
      <c r="T343" s="83" t="str">
        <f ca="1">IF(AND(TODAY()&gt;BD!$C343, OR(BD!$D343="PENDENTE", BD!$D343="")), TODAY()-BD!$C343, "")</f>
        <v/>
      </c>
    </row>
    <row r="344" spans="1:20" ht="14.25" customHeight="1" x14ac:dyDescent="0.35">
      <c r="A344" s="32"/>
      <c r="B344" s="82">
        <f>'MAI-26'!A49</f>
        <v>0</v>
      </c>
      <c r="C344" s="82">
        <f>'MAI-26'!B49</f>
        <v>0</v>
      </c>
      <c r="D344" s="82">
        <f>'MAI-26'!C49</f>
        <v>0</v>
      </c>
      <c r="E344" s="83">
        <f>'MAI-26'!D49</f>
        <v>0</v>
      </c>
      <c r="F344" s="84">
        <f>'MAI-26'!E49</f>
        <v>0</v>
      </c>
      <c r="G344" s="85">
        <f>'MAI-26'!F49</f>
        <v>0</v>
      </c>
      <c r="H344" s="85">
        <f t="shared" si="0"/>
        <v>0</v>
      </c>
      <c r="I344" s="83" t="s">
        <v>99</v>
      </c>
      <c r="J344" s="83" t="str">
        <f t="shared" si="1"/>
        <v/>
      </c>
      <c r="K344" s="85">
        <f t="shared" si="2"/>
        <v>0</v>
      </c>
      <c r="L344" s="83" t="str">
        <f t="shared" si="3"/>
        <v/>
      </c>
      <c r="M344" s="83">
        <f>'MAI-26'!H49</f>
        <v>0</v>
      </c>
      <c r="N344" s="92" t="str">
        <f ca="1">IF(BD!$C344="","",IF(AND(TODAY()&gt;BD!$C344,OR(BD!$D344="PENDENTE",BD!$D344="")),"VENCIDO",""))</f>
        <v/>
      </c>
      <c r="O344" s="82" t="str">
        <f ca="1">IF(N344 = "VENCIDO",BD!$B344,"")</f>
        <v/>
      </c>
      <c r="P344" s="82" t="str">
        <f ca="1">IF(N344 = "VENCIDO",BD!$C344,"")</f>
        <v/>
      </c>
      <c r="Q344" s="83" t="str">
        <f ca="1">IF(N344 = "VENCIDO",BD!$E344,"")</f>
        <v/>
      </c>
      <c r="R344" s="83" t="str">
        <f ca="1">IF(N344 = "VENCIDO",BD!$F344,"")</f>
        <v/>
      </c>
      <c r="S344" s="85" t="str">
        <f ca="1">IF(N344 = "VENCIDO",BD!$G344,"")</f>
        <v/>
      </c>
      <c r="T344" s="83" t="str">
        <f ca="1">IF(AND(TODAY()&gt;BD!$C344, OR(BD!$D344="PENDENTE", BD!$D344="")), TODAY()-BD!$C344, "")</f>
        <v/>
      </c>
    </row>
    <row r="345" spans="1:20" ht="14.25" customHeight="1" x14ac:dyDescent="0.35">
      <c r="A345" s="32"/>
      <c r="B345" s="82">
        <f>'MAI-26'!A50</f>
        <v>0</v>
      </c>
      <c r="C345" s="82">
        <f>'MAI-26'!B50</f>
        <v>0</v>
      </c>
      <c r="D345" s="82">
        <f>'MAI-26'!C50</f>
        <v>0</v>
      </c>
      <c r="E345" s="83">
        <f>'MAI-26'!D50</f>
        <v>0</v>
      </c>
      <c r="F345" s="84">
        <f>'MAI-26'!E50</f>
        <v>0</v>
      </c>
      <c r="G345" s="85">
        <f>'MAI-26'!F50</f>
        <v>0</v>
      </c>
      <c r="H345" s="85">
        <f t="shared" si="0"/>
        <v>0</v>
      </c>
      <c r="I345" s="83" t="s">
        <v>99</v>
      </c>
      <c r="J345" s="83" t="str">
        <f t="shared" si="1"/>
        <v/>
      </c>
      <c r="K345" s="85">
        <f t="shared" si="2"/>
        <v>0</v>
      </c>
      <c r="L345" s="83" t="str">
        <f t="shared" si="3"/>
        <v/>
      </c>
      <c r="M345" s="83">
        <f>'MAI-26'!H50</f>
        <v>0</v>
      </c>
      <c r="N345" s="92" t="str">
        <f ca="1">IF(BD!$C345="","",IF(AND(TODAY()&gt;BD!$C345,OR(BD!$D345="PENDENTE",BD!$D345="")),"VENCIDO",""))</f>
        <v/>
      </c>
      <c r="O345" s="82" t="str">
        <f ca="1">IF(N345 = "VENCIDO",BD!$B345,"")</f>
        <v/>
      </c>
      <c r="P345" s="82" t="str">
        <f ca="1">IF(N345 = "VENCIDO",BD!$C345,"")</f>
        <v/>
      </c>
      <c r="Q345" s="83" t="str">
        <f ca="1">IF(N345 = "VENCIDO",BD!$E345,"")</f>
        <v/>
      </c>
      <c r="R345" s="83" t="str">
        <f ca="1">IF(N345 = "VENCIDO",BD!$F345,"")</f>
        <v/>
      </c>
      <c r="S345" s="85" t="str">
        <f ca="1">IF(N345 = "VENCIDO",BD!$G345,"")</f>
        <v/>
      </c>
      <c r="T345" s="83" t="str">
        <f ca="1">IF(AND(TODAY()&gt;BD!$C345, OR(BD!$D345="PENDENTE", BD!$D345="")), TODAY()-BD!$C345, "")</f>
        <v/>
      </c>
    </row>
    <row r="346" spans="1:20" ht="14.25" customHeight="1" x14ac:dyDescent="0.35">
      <c r="A346" s="32"/>
      <c r="B346" s="82">
        <f>'MAI-26'!A51</f>
        <v>0</v>
      </c>
      <c r="C346" s="82">
        <f>'MAI-26'!B51</f>
        <v>0</v>
      </c>
      <c r="D346" s="82">
        <f>'MAI-26'!C51</f>
        <v>0</v>
      </c>
      <c r="E346" s="83">
        <f>'MAI-26'!D51</f>
        <v>0</v>
      </c>
      <c r="F346" s="84">
        <f>'MAI-26'!E51</f>
        <v>0</v>
      </c>
      <c r="G346" s="85">
        <f>'MAI-26'!F51</f>
        <v>0</v>
      </c>
      <c r="H346" s="85">
        <f t="shared" si="0"/>
        <v>0</v>
      </c>
      <c r="I346" s="83" t="s">
        <v>99</v>
      </c>
      <c r="J346" s="83" t="str">
        <f t="shared" si="1"/>
        <v/>
      </c>
      <c r="K346" s="85">
        <f t="shared" si="2"/>
        <v>0</v>
      </c>
      <c r="L346" s="83" t="str">
        <f t="shared" si="3"/>
        <v/>
      </c>
      <c r="M346" s="83">
        <f>'MAI-26'!H51</f>
        <v>0</v>
      </c>
      <c r="N346" s="92" t="str">
        <f ca="1">IF(BD!$C346="","",IF(AND(TODAY()&gt;BD!$C346,OR(BD!$D346="PENDENTE",BD!$D346="")),"VENCIDO",""))</f>
        <v/>
      </c>
      <c r="O346" s="82" t="str">
        <f ca="1">IF(N346 = "VENCIDO",BD!$B346,"")</f>
        <v/>
      </c>
      <c r="P346" s="82" t="str">
        <f ca="1">IF(N346 = "VENCIDO",BD!$C346,"")</f>
        <v/>
      </c>
      <c r="Q346" s="83" t="str">
        <f ca="1">IF(N346 = "VENCIDO",BD!$E346,"")</f>
        <v/>
      </c>
      <c r="R346" s="83" t="str">
        <f ca="1">IF(N346 = "VENCIDO",BD!$F346,"")</f>
        <v/>
      </c>
      <c r="S346" s="85" t="str">
        <f ca="1">IF(N346 = "VENCIDO",BD!$G346,"")</f>
        <v/>
      </c>
      <c r="T346" s="83" t="str">
        <f ca="1">IF(AND(TODAY()&gt;BD!$C346, OR(BD!$D346="PENDENTE", BD!$D346="")), TODAY()-BD!$C346, "")</f>
        <v/>
      </c>
    </row>
    <row r="347" spans="1:20" ht="14.25" customHeight="1" x14ac:dyDescent="0.35">
      <c r="A347" s="32"/>
      <c r="B347" s="82">
        <f>'MAI-26'!A52</f>
        <v>0</v>
      </c>
      <c r="C347" s="82">
        <f>'MAI-26'!B52</f>
        <v>0</v>
      </c>
      <c r="D347" s="82">
        <f>'MAI-26'!C52</f>
        <v>0</v>
      </c>
      <c r="E347" s="83">
        <f>'MAI-26'!D52</f>
        <v>0</v>
      </c>
      <c r="F347" s="84">
        <f>'MAI-26'!E52</f>
        <v>0</v>
      </c>
      <c r="G347" s="85">
        <f>'MAI-26'!F52</f>
        <v>0</v>
      </c>
      <c r="H347" s="85">
        <f t="shared" si="0"/>
        <v>0</v>
      </c>
      <c r="I347" s="83" t="s">
        <v>99</v>
      </c>
      <c r="J347" s="83" t="str">
        <f t="shared" si="1"/>
        <v/>
      </c>
      <c r="K347" s="85">
        <f t="shared" si="2"/>
        <v>0</v>
      </c>
      <c r="L347" s="83" t="str">
        <f t="shared" si="3"/>
        <v/>
      </c>
      <c r="M347" s="83">
        <f>'MAI-26'!H52</f>
        <v>0</v>
      </c>
      <c r="N347" s="92" t="str">
        <f ca="1">IF(BD!$C347="","",IF(AND(TODAY()&gt;BD!$C347,OR(BD!$D347="PENDENTE",BD!$D347="")),"VENCIDO",""))</f>
        <v/>
      </c>
      <c r="O347" s="82" t="str">
        <f ca="1">IF(N347 = "VENCIDO",BD!$B347,"")</f>
        <v/>
      </c>
      <c r="P347" s="82" t="str">
        <f ca="1">IF(N347 = "VENCIDO",BD!$C347,"")</f>
        <v/>
      </c>
      <c r="Q347" s="83" t="str">
        <f ca="1">IF(N347 = "VENCIDO",BD!$E347,"")</f>
        <v/>
      </c>
      <c r="R347" s="83" t="str">
        <f ca="1">IF(N347 = "VENCIDO",BD!$F347,"")</f>
        <v/>
      </c>
      <c r="S347" s="85" t="str">
        <f ca="1">IF(N347 = "VENCIDO",BD!$G347,"")</f>
        <v/>
      </c>
      <c r="T347" s="83" t="str">
        <f ca="1">IF(AND(TODAY()&gt;BD!$C347, OR(BD!$D347="PENDENTE", BD!$D347="")), TODAY()-BD!$C347, "")</f>
        <v/>
      </c>
    </row>
    <row r="348" spans="1:20" ht="14.25" customHeight="1" x14ac:dyDescent="0.35">
      <c r="A348" s="32"/>
      <c r="B348" s="82">
        <f>'MAI-26'!A53</f>
        <v>0</v>
      </c>
      <c r="C348" s="82">
        <f>'MAI-26'!B53</f>
        <v>0</v>
      </c>
      <c r="D348" s="82">
        <f>'MAI-26'!C53</f>
        <v>0</v>
      </c>
      <c r="E348" s="83">
        <f>'MAI-26'!D53</f>
        <v>0</v>
      </c>
      <c r="F348" s="84">
        <f>'MAI-26'!E53</f>
        <v>0</v>
      </c>
      <c r="G348" s="85">
        <f>'MAI-26'!F53</f>
        <v>0</v>
      </c>
      <c r="H348" s="85">
        <f t="shared" si="0"/>
        <v>0</v>
      </c>
      <c r="I348" s="83" t="s">
        <v>99</v>
      </c>
      <c r="J348" s="83" t="str">
        <f t="shared" si="1"/>
        <v/>
      </c>
      <c r="K348" s="85">
        <f t="shared" si="2"/>
        <v>0</v>
      </c>
      <c r="L348" s="83" t="str">
        <f t="shared" si="3"/>
        <v/>
      </c>
      <c r="M348" s="83">
        <f>'MAI-26'!H53</f>
        <v>0</v>
      </c>
      <c r="N348" s="92" t="str">
        <f ca="1">IF(BD!$C348="","",IF(AND(TODAY()&gt;BD!$C348,OR(BD!$D348="PENDENTE",BD!$D348="")),"VENCIDO",""))</f>
        <v/>
      </c>
      <c r="O348" s="82" t="str">
        <f ca="1">IF(N348 = "VENCIDO",BD!$B348,"")</f>
        <v/>
      </c>
      <c r="P348" s="82" t="str">
        <f ca="1">IF(N348 = "VENCIDO",BD!$C348,"")</f>
        <v/>
      </c>
      <c r="Q348" s="83" t="str">
        <f ca="1">IF(N348 = "VENCIDO",BD!$E348,"")</f>
        <v/>
      </c>
      <c r="R348" s="83" t="str">
        <f ca="1">IF(N348 = "VENCIDO",BD!$F348,"")</f>
        <v/>
      </c>
      <c r="S348" s="85" t="str">
        <f ca="1">IF(N348 = "VENCIDO",BD!$G348,"")</f>
        <v/>
      </c>
      <c r="T348" s="83" t="str">
        <f ca="1">IF(AND(TODAY()&gt;BD!$C348, OR(BD!$D348="PENDENTE", BD!$D348="")), TODAY()-BD!$C348, "")</f>
        <v/>
      </c>
    </row>
    <row r="349" spans="1:20" ht="14.25" customHeight="1" x14ac:dyDescent="0.35">
      <c r="A349" s="32"/>
      <c r="B349" s="82">
        <f>'MAI-26'!A54</f>
        <v>0</v>
      </c>
      <c r="C349" s="82">
        <f>'MAI-26'!B54</f>
        <v>0</v>
      </c>
      <c r="D349" s="82">
        <f>'MAI-26'!C54</f>
        <v>0</v>
      </c>
      <c r="E349" s="83">
        <f>'MAI-26'!D54</f>
        <v>0</v>
      </c>
      <c r="F349" s="84">
        <f>'MAI-26'!E54</f>
        <v>0</v>
      </c>
      <c r="G349" s="85">
        <f>'MAI-26'!F54</f>
        <v>0</v>
      </c>
      <c r="H349" s="85">
        <f t="shared" si="0"/>
        <v>0</v>
      </c>
      <c r="I349" s="83" t="s">
        <v>99</v>
      </c>
      <c r="J349" s="83" t="str">
        <f t="shared" si="1"/>
        <v/>
      </c>
      <c r="K349" s="85">
        <f t="shared" si="2"/>
        <v>0</v>
      </c>
      <c r="L349" s="83" t="str">
        <f t="shared" si="3"/>
        <v/>
      </c>
      <c r="M349" s="83">
        <f>'MAI-26'!H54</f>
        <v>0</v>
      </c>
      <c r="N349" s="92" t="str">
        <f ca="1">IF(BD!$C349="","",IF(AND(TODAY()&gt;BD!$C349,OR(BD!$D349="PENDENTE",BD!$D349="")),"VENCIDO",""))</f>
        <v/>
      </c>
      <c r="O349" s="82" t="str">
        <f ca="1">IF(N349 = "VENCIDO",BD!$B349,"")</f>
        <v/>
      </c>
      <c r="P349" s="82" t="str">
        <f ca="1">IF(N349 = "VENCIDO",BD!$C349,"")</f>
        <v/>
      </c>
      <c r="Q349" s="83" t="str">
        <f ca="1">IF(N349 = "VENCIDO",BD!$E349,"")</f>
        <v/>
      </c>
      <c r="R349" s="83" t="str">
        <f ca="1">IF(N349 = "VENCIDO",BD!$F349,"")</f>
        <v/>
      </c>
      <c r="S349" s="85" t="str">
        <f ca="1">IF(N349 = "VENCIDO",BD!$G349,"")</f>
        <v/>
      </c>
      <c r="T349" s="83" t="str">
        <f ca="1">IF(AND(TODAY()&gt;BD!$C349, OR(BD!$D349="PENDENTE", BD!$D349="")), TODAY()-BD!$C349, "")</f>
        <v/>
      </c>
    </row>
    <row r="350" spans="1:20" ht="14.25" customHeight="1" x14ac:dyDescent="0.35">
      <c r="A350" s="32"/>
      <c r="B350" s="82">
        <f>'MAI-26'!A55</f>
        <v>0</v>
      </c>
      <c r="C350" s="82">
        <f>'MAI-26'!B55</f>
        <v>0</v>
      </c>
      <c r="D350" s="82">
        <f>'MAI-26'!C55</f>
        <v>0</v>
      </c>
      <c r="E350" s="83">
        <f>'MAI-26'!D55</f>
        <v>0</v>
      </c>
      <c r="F350" s="84">
        <f>'MAI-26'!E55</f>
        <v>0</v>
      </c>
      <c r="G350" s="85">
        <f>'MAI-26'!F55</f>
        <v>0</v>
      </c>
      <c r="H350" s="85">
        <f t="shared" si="0"/>
        <v>0</v>
      </c>
      <c r="I350" s="83" t="s">
        <v>99</v>
      </c>
      <c r="J350" s="83" t="str">
        <f t="shared" si="1"/>
        <v/>
      </c>
      <c r="K350" s="85">
        <f t="shared" si="2"/>
        <v>0</v>
      </c>
      <c r="L350" s="83" t="str">
        <f t="shared" si="3"/>
        <v/>
      </c>
      <c r="M350" s="83">
        <f>'MAI-26'!H55</f>
        <v>0</v>
      </c>
      <c r="N350" s="92" t="str">
        <f ca="1">IF(BD!$C350="","",IF(AND(TODAY()&gt;BD!$C350,OR(BD!$D350="PENDENTE",BD!$D350="")),"VENCIDO",""))</f>
        <v/>
      </c>
      <c r="O350" s="82" t="str">
        <f ca="1">IF(N350 = "VENCIDO",BD!$B350,"")</f>
        <v/>
      </c>
      <c r="P350" s="82" t="str">
        <f ca="1">IF(N350 = "VENCIDO",BD!$C350,"")</f>
        <v/>
      </c>
      <c r="Q350" s="83" t="str">
        <f ca="1">IF(N350 = "VENCIDO",BD!$E350,"")</f>
        <v/>
      </c>
      <c r="R350" s="83" t="str">
        <f ca="1">IF(N350 = "VENCIDO",BD!$F350,"")</f>
        <v/>
      </c>
      <c r="S350" s="85" t="str">
        <f ca="1">IF(N350 = "VENCIDO",BD!$G350,"")</f>
        <v/>
      </c>
      <c r="T350" s="83" t="str">
        <f ca="1">IF(AND(TODAY()&gt;BD!$C350, OR(BD!$D350="PENDENTE", BD!$D350="")), TODAY()-BD!$C350, "")</f>
        <v/>
      </c>
    </row>
    <row r="351" spans="1:20" ht="14.25" customHeight="1" x14ac:dyDescent="0.35">
      <c r="A351" s="32"/>
      <c r="B351" s="82">
        <f>'MAI-26'!A56</f>
        <v>0</v>
      </c>
      <c r="C351" s="82">
        <f>'MAI-26'!B56</f>
        <v>0</v>
      </c>
      <c r="D351" s="82">
        <f>'MAI-26'!C56</f>
        <v>0</v>
      </c>
      <c r="E351" s="83">
        <f>'MAI-26'!D56</f>
        <v>0</v>
      </c>
      <c r="F351" s="84">
        <f>'MAI-26'!E56</f>
        <v>0</v>
      </c>
      <c r="G351" s="85">
        <f>'MAI-26'!F56</f>
        <v>0</v>
      </c>
      <c r="H351" s="85">
        <f t="shared" si="0"/>
        <v>0</v>
      </c>
      <c r="I351" s="83" t="s">
        <v>99</v>
      </c>
      <c r="J351" s="83" t="str">
        <f t="shared" si="1"/>
        <v/>
      </c>
      <c r="K351" s="85">
        <f t="shared" si="2"/>
        <v>0</v>
      </c>
      <c r="L351" s="83" t="str">
        <f t="shared" si="3"/>
        <v/>
      </c>
      <c r="M351" s="83">
        <f>'MAI-26'!H56</f>
        <v>0</v>
      </c>
      <c r="N351" s="92" t="str">
        <f ca="1">IF(BD!$C351="","",IF(AND(TODAY()&gt;BD!$C351,OR(BD!$D351="PENDENTE",BD!$D351="")),"VENCIDO",""))</f>
        <v/>
      </c>
      <c r="O351" s="82" t="str">
        <f ca="1">IF(N351 = "VENCIDO",BD!$B351,"")</f>
        <v/>
      </c>
      <c r="P351" s="82" t="str">
        <f ca="1">IF(N351 = "VENCIDO",BD!$C351,"")</f>
        <v/>
      </c>
      <c r="Q351" s="83" t="str">
        <f ca="1">IF(N351 = "VENCIDO",BD!$E351,"")</f>
        <v/>
      </c>
      <c r="R351" s="83" t="str">
        <f ca="1">IF(N351 = "VENCIDO",BD!$F351,"")</f>
        <v/>
      </c>
      <c r="S351" s="85" t="str">
        <f ca="1">IF(N351 = "VENCIDO",BD!$G351,"")</f>
        <v/>
      </c>
      <c r="T351" s="83" t="str">
        <f ca="1">IF(AND(TODAY()&gt;BD!$C351, OR(BD!$D351="PENDENTE", BD!$D351="")), TODAY()-BD!$C351, "")</f>
        <v/>
      </c>
    </row>
    <row r="352" spans="1:20" ht="14.25" customHeight="1" x14ac:dyDescent="0.35">
      <c r="A352" s="32"/>
      <c r="B352" s="82">
        <f>'MAI-26'!A57</f>
        <v>0</v>
      </c>
      <c r="C352" s="82">
        <f>'MAI-26'!B57</f>
        <v>0</v>
      </c>
      <c r="D352" s="82">
        <f>'MAI-26'!C57</f>
        <v>0</v>
      </c>
      <c r="E352" s="83">
        <f>'MAI-26'!D57</f>
        <v>0</v>
      </c>
      <c r="F352" s="84">
        <f>'MAI-26'!E57</f>
        <v>0</v>
      </c>
      <c r="G352" s="85">
        <f>'MAI-26'!F57</f>
        <v>0</v>
      </c>
      <c r="H352" s="85">
        <f t="shared" si="0"/>
        <v>0</v>
      </c>
      <c r="I352" s="83" t="s">
        <v>99</v>
      </c>
      <c r="J352" s="83" t="str">
        <f t="shared" si="1"/>
        <v/>
      </c>
      <c r="K352" s="85">
        <f t="shared" si="2"/>
        <v>0</v>
      </c>
      <c r="L352" s="83" t="str">
        <f t="shared" si="3"/>
        <v/>
      </c>
      <c r="M352" s="83">
        <f>'MAI-26'!H57</f>
        <v>0</v>
      </c>
      <c r="N352" s="92" t="str">
        <f ca="1">IF(BD!$C352="","",IF(AND(TODAY()&gt;BD!$C352,OR(BD!$D352="PENDENTE",BD!$D352="")),"VENCIDO",""))</f>
        <v/>
      </c>
      <c r="O352" s="82" t="str">
        <f ca="1">IF(N352 = "VENCIDO",BD!$B352,"")</f>
        <v/>
      </c>
      <c r="P352" s="82" t="str">
        <f ca="1">IF(N352 = "VENCIDO",BD!$C352,"")</f>
        <v/>
      </c>
      <c r="Q352" s="83" t="str">
        <f ca="1">IF(N352 = "VENCIDO",BD!$E352,"")</f>
        <v/>
      </c>
      <c r="R352" s="83" t="str">
        <f ca="1">IF(N352 = "VENCIDO",BD!$F352,"")</f>
        <v/>
      </c>
      <c r="S352" s="85" t="str">
        <f ca="1">IF(N352 = "VENCIDO",BD!$G352,"")</f>
        <v/>
      </c>
      <c r="T352" s="83" t="str">
        <f ca="1">IF(AND(TODAY()&gt;BD!$C352, OR(BD!$D352="PENDENTE", BD!$D352="")), TODAY()-BD!$C352, "")</f>
        <v/>
      </c>
    </row>
    <row r="353" spans="1:20" ht="14.25" customHeight="1" x14ac:dyDescent="0.35">
      <c r="A353" s="32"/>
      <c r="B353" s="82">
        <f>'MAI-26'!A58</f>
        <v>0</v>
      </c>
      <c r="C353" s="82">
        <f>'MAI-26'!B58</f>
        <v>0</v>
      </c>
      <c r="D353" s="82">
        <f>'MAI-26'!C58</f>
        <v>0</v>
      </c>
      <c r="E353" s="83">
        <f>'MAI-26'!D58</f>
        <v>0</v>
      </c>
      <c r="F353" s="84">
        <f>'MAI-26'!E58</f>
        <v>0</v>
      </c>
      <c r="G353" s="85">
        <f>'MAI-26'!F58</f>
        <v>0</v>
      </c>
      <c r="H353" s="85">
        <f t="shared" si="0"/>
        <v>0</v>
      </c>
      <c r="I353" s="83" t="s">
        <v>99</v>
      </c>
      <c r="J353" s="83" t="str">
        <f t="shared" si="1"/>
        <v/>
      </c>
      <c r="K353" s="85">
        <f t="shared" si="2"/>
        <v>0</v>
      </c>
      <c r="L353" s="83" t="str">
        <f t="shared" si="3"/>
        <v/>
      </c>
      <c r="M353" s="83">
        <f>'MAI-26'!H58</f>
        <v>0</v>
      </c>
      <c r="N353" s="92" t="str">
        <f ca="1">IF(BD!$C353="","",IF(AND(TODAY()&gt;BD!$C353,OR(BD!$D353="PENDENTE",BD!$D353="")),"VENCIDO",""))</f>
        <v/>
      </c>
      <c r="O353" s="82" t="str">
        <f ca="1">IF(N353 = "VENCIDO",BD!$B353,"")</f>
        <v/>
      </c>
      <c r="P353" s="82" t="str">
        <f ca="1">IF(N353 = "VENCIDO",BD!$C353,"")</f>
        <v/>
      </c>
      <c r="Q353" s="83" t="str">
        <f ca="1">IF(N353 = "VENCIDO",BD!$E353,"")</f>
        <v/>
      </c>
      <c r="R353" s="83" t="str">
        <f ca="1">IF(N353 = "VENCIDO",BD!$F353,"")</f>
        <v/>
      </c>
      <c r="S353" s="85" t="str">
        <f ca="1">IF(N353 = "VENCIDO",BD!$G353,"")</f>
        <v/>
      </c>
      <c r="T353" s="83" t="str">
        <f ca="1">IF(AND(TODAY()&gt;BD!$C353, OR(BD!$D353="PENDENTE", BD!$D353="")), TODAY()-BD!$C353, "")</f>
        <v/>
      </c>
    </row>
    <row r="354" spans="1:20" ht="14.25" customHeight="1" x14ac:dyDescent="0.35">
      <c r="A354" s="32"/>
      <c r="B354" s="82">
        <f>'MAI-26'!A59</f>
        <v>0</v>
      </c>
      <c r="C354" s="82">
        <f>'MAI-26'!B59</f>
        <v>0</v>
      </c>
      <c r="D354" s="82">
        <f>'MAI-26'!C59</f>
        <v>0</v>
      </c>
      <c r="E354" s="83">
        <f>'MAI-26'!D59</f>
        <v>0</v>
      </c>
      <c r="F354" s="84">
        <f>'MAI-26'!E59</f>
        <v>0</v>
      </c>
      <c r="G354" s="85">
        <f>'MAI-26'!F59</f>
        <v>0</v>
      </c>
      <c r="H354" s="85">
        <f t="shared" si="0"/>
        <v>0</v>
      </c>
      <c r="I354" s="83" t="s">
        <v>99</v>
      </c>
      <c r="J354" s="83" t="str">
        <f t="shared" si="1"/>
        <v/>
      </c>
      <c r="K354" s="85">
        <f t="shared" si="2"/>
        <v>0</v>
      </c>
      <c r="L354" s="83" t="str">
        <f t="shared" si="3"/>
        <v/>
      </c>
      <c r="M354" s="83">
        <f>'MAI-26'!H59</f>
        <v>0</v>
      </c>
      <c r="N354" s="92" t="str">
        <f ca="1">IF(BD!$C354="","",IF(AND(TODAY()&gt;BD!$C354,OR(BD!$D354="PENDENTE",BD!$D354="")),"VENCIDO",""))</f>
        <v/>
      </c>
      <c r="O354" s="82" t="str">
        <f ca="1">IF(N354 = "VENCIDO",BD!$B354,"")</f>
        <v/>
      </c>
      <c r="P354" s="82" t="str">
        <f ca="1">IF(N354 = "VENCIDO",BD!$C354,"")</f>
        <v/>
      </c>
      <c r="Q354" s="83" t="str">
        <f ca="1">IF(N354 = "VENCIDO",BD!$E354,"")</f>
        <v/>
      </c>
      <c r="R354" s="83" t="str">
        <f ca="1">IF(N354 = "VENCIDO",BD!$F354,"")</f>
        <v/>
      </c>
      <c r="S354" s="85" t="str">
        <f ca="1">IF(N354 = "VENCIDO",BD!$G354,"")</f>
        <v/>
      </c>
      <c r="T354" s="83" t="str">
        <f ca="1">IF(AND(TODAY()&gt;BD!$C354, OR(BD!$D354="PENDENTE", BD!$D354="")), TODAY()-BD!$C354, "")</f>
        <v/>
      </c>
    </row>
    <row r="355" spans="1:20" ht="14.25" customHeight="1" x14ac:dyDescent="0.35">
      <c r="A355" s="32"/>
      <c r="B355" s="82">
        <f>'MAI-26'!A60</f>
        <v>0</v>
      </c>
      <c r="C355" s="82">
        <f>'MAI-26'!B60</f>
        <v>0</v>
      </c>
      <c r="D355" s="82">
        <f>'MAI-26'!C60</f>
        <v>0</v>
      </c>
      <c r="E355" s="83">
        <f>'MAI-26'!D60</f>
        <v>0</v>
      </c>
      <c r="F355" s="84">
        <f>'MAI-26'!E60</f>
        <v>0</v>
      </c>
      <c r="G355" s="85">
        <f>'MAI-26'!F60</f>
        <v>0</v>
      </c>
      <c r="H355" s="85">
        <f t="shared" si="0"/>
        <v>0</v>
      </c>
      <c r="I355" s="83" t="s">
        <v>99</v>
      </c>
      <c r="J355" s="83" t="str">
        <f t="shared" si="1"/>
        <v/>
      </c>
      <c r="K355" s="85">
        <f t="shared" si="2"/>
        <v>0</v>
      </c>
      <c r="L355" s="83" t="str">
        <f t="shared" si="3"/>
        <v/>
      </c>
      <c r="M355" s="83">
        <f>'MAI-26'!H60</f>
        <v>0</v>
      </c>
      <c r="N355" s="92" t="str">
        <f ca="1">IF(BD!$C355="","",IF(AND(TODAY()&gt;BD!$C355,OR(BD!$D355="PENDENTE",BD!$D355="")),"VENCIDO",""))</f>
        <v/>
      </c>
      <c r="O355" s="82" t="str">
        <f ca="1">IF(N355 = "VENCIDO",BD!$B355,"")</f>
        <v/>
      </c>
      <c r="P355" s="82" t="str">
        <f ca="1">IF(N355 = "VENCIDO",BD!$C355,"")</f>
        <v/>
      </c>
      <c r="Q355" s="83" t="str">
        <f ca="1">IF(N355 = "VENCIDO",BD!$E355,"")</f>
        <v/>
      </c>
      <c r="R355" s="83" t="str">
        <f ca="1">IF(N355 = "VENCIDO",BD!$F355,"")</f>
        <v/>
      </c>
      <c r="S355" s="85" t="str">
        <f ca="1">IF(N355 = "VENCIDO",BD!$G355,"")</f>
        <v/>
      </c>
      <c r="T355" s="83" t="str">
        <f ca="1">IF(AND(TODAY()&gt;BD!$C355, OR(BD!$D355="PENDENTE", BD!$D355="")), TODAY()-BD!$C355, "")</f>
        <v/>
      </c>
    </row>
    <row r="356" spans="1:20" ht="14.25" customHeight="1" x14ac:dyDescent="0.35">
      <c r="A356" s="32"/>
      <c r="B356" s="82">
        <f>'MAI-26'!A61</f>
        <v>0</v>
      </c>
      <c r="C356" s="82">
        <f>'MAI-26'!B61</f>
        <v>0</v>
      </c>
      <c r="D356" s="82">
        <f>'MAI-26'!C61</f>
        <v>0</v>
      </c>
      <c r="E356" s="83">
        <f>'MAI-26'!D61</f>
        <v>0</v>
      </c>
      <c r="F356" s="84">
        <f>'MAI-26'!E61</f>
        <v>0</v>
      </c>
      <c r="G356" s="85">
        <f>'MAI-26'!F61</f>
        <v>0</v>
      </c>
      <c r="H356" s="85">
        <f t="shared" si="0"/>
        <v>0</v>
      </c>
      <c r="I356" s="83" t="s">
        <v>99</v>
      </c>
      <c r="J356" s="83" t="str">
        <f t="shared" si="1"/>
        <v/>
      </c>
      <c r="K356" s="85">
        <f t="shared" si="2"/>
        <v>0</v>
      </c>
      <c r="L356" s="83" t="str">
        <f t="shared" si="3"/>
        <v/>
      </c>
      <c r="M356" s="83">
        <f>'MAI-26'!H61</f>
        <v>0</v>
      </c>
      <c r="N356" s="92" t="str">
        <f ca="1">IF(BD!$C356="","",IF(AND(TODAY()&gt;BD!$C356,OR(BD!$D356="PENDENTE",BD!$D356="")),"VENCIDO",""))</f>
        <v/>
      </c>
      <c r="O356" s="82" t="str">
        <f ca="1">IF(N356 = "VENCIDO",BD!$B356,"")</f>
        <v/>
      </c>
      <c r="P356" s="82" t="str">
        <f ca="1">IF(N356 = "VENCIDO",BD!$C356,"")</f>
        <v/>
      </c>
      <c r="Q356" s="83" t="str">
        <f ca="1">IF(N356 = "VENCIDO",BD!$E356,"")</f>
        <v/>
      </c>
      <c r="R356" s="83" t="str">
        <f ca="1">IF(N356 = "VENCIDO",BD!$F356,"")</f>
        <v/>
      </c>
      <c r="S356" s="85" t="str">
        <f ca="1">IF(N356 = "VENCIDO",BD!$G356,"")</f>
        <v/>
      </c>
      <c r="T356" s="83" t="str">
        <f ca="1">IF(AND(TODAY()&gt;BD!$C356, OR(BD!$D356="PENDENTE", BD!$D356="")), TODAY()-BD!$C356, "")</f>
        <v/>
      </c>
    </row>
    <row r="357" spans="1:20" ht="14.25" customHeight="1" x14ac:dyDescent="0.35">
      <c r="A357" s="32"/>
      <c r="B357" s="82">
        <f>'MAI-26'!A62</f>
        <v>0</v>
      </c>
      <c r="C357" s="82">
        <f>'MAI-26'!B62</f>
        <v>0</v>
      </c>
      <c r="D357" s="82">
        <f>'MAI-26'!C62</f>
        <v>0</v>
      </c>
      <c r="E357" s="83">
        <f>'MAI-26'!D62</f>
        <v>0</v>
      </c>
      <c r="F357" s="84">
        <f>'MAI-26'!E62</f>
        <v>0</v>
      </c>
      <c r="G357" s="85">
        <f>'MAI-26'!F62</f>
        <v>0</v>
      </c>
      <c r="H357" s="85">
        <f t="shared" si="0"/>
        <v>0</v>
      </c>
      <c r="I357" s="83" t="s">
        <v>99</v>
      </c>
      <c r="J357" s="83" t="str">
        <f t="shared" si="1"/>
        <v/>
      </c>
      <c r="K357" s="85">
        <f t="shared" si="2"/>
        <v>0</v>
      </c>
      <c r="L357" s="83" t="str">
        <f t="shared" si="3"/>
        <v/>
      </c>
      <c r="M357" s="83">
        <f>'MAI-26'!H62</f>
        <v>0</v>
      </c>
      <c r="N357" s="92" t="str">
        <f ca="1">IF(BD!$C357="","",IF(AND(TODAY()&gt;BD!$C357,OR(BD!$D357="PENDENTE",BD!$D357="")),"VENCIDO",""))</f>
        <v/>
      </c>
      <c r="O357" s="82" t="str">
        <f ca="1">IF(N357 = "VENCIDO",BD!$B357,"")</f>
        <v/>
      </c>
      <c r="P357" s="82" t="str">
        <f ca="1">IF(N357 = "VENCIDO",BD!$C357,"")</f>
        <v/>
      </c>
      <c r="Q357" s="83" t="str">
        <f ca="1">IF(N357 = "VENCIDO",BD!$E357,"")</f>
        <v/>
      </c>
      <c r="R357" s="83" t="str">
        <f ca="1">IF(N357 = "VENCIDO",BD!$F357,"")</f>
        <v/>
      </c>
      <c r="S357" s="85" t="str">
        <f ca="1">IF(N357 = "VENCIDO",BD!$G357,"")</f>
        <v/>
      </c>
      <c r="T357" s="83" t="str">
        <f ca="1">IF(AND(TODAY()&gt;BD!$C357, OR(BD!$D357="PENDENTE", BD!$D357="")), TODAY()-BD!$C357, "")</f>
        <v/>
      </c>
    </row>
    <row r="358" spans="1:20" ht="14.25" customHeight="1" x14ac:dyDescent="0.35">
      <c r="A358" s="32"/>
      <c r="B358" s="82">
        <f>'MAI-26'!A63</f>
        <v>0</v>
      </c>
      <c r="C358" s="82">
        <f>'MAI-26'!B63</f>
        <v>0</v>
      </c>
      <c r="D358" s="82">
        <f>'MAI-26'!C63</f>
        <v>0</v>
      </c>
      <c r="E358" s="83">
        <f>'MAI-26'!D63</f>
        <v>0</v>
      </c>
      <c r="F358" s="84">
        <f>'MAI-26'!E63</f>
        <v>0</v>
      </c>
      <c r="G358" s="85">
        <f>'MAI-26'!F63</f>
        <v>0</v>
      </c>
      <c r="H358" s="85">
        <f t="shared" si="0"/>
        <v>0</v>
      </c>
      <c r="I358" s="83" t="s">
        <v>99</v>
      </c>
      <c r="J358" s="83" t="str">
        <f t="shared" si="1"/>
        <v/>
      </c>
      <c r="K358" s="85">
        <f t="shared" si="2"/>
        <v>0</v>
      </c>
      <c r="L358" s="83" t="str">
        <f t="shared" si="3"/>
        <v/>
      </c>
      <c r="M358" s="83">
        <f>'MAI-26'!H63</f>
        <v>0</v>
      </c>
      <c r="N358" s="92" t="str">
        <f ca="1">IF(BD!$C358="","",IF(AND(TODAY()&gt;BD!$C358,OR(BD!$D358="PENDENTE",BD!$D358="")),"VENCIDO",""))</f>
        <v/>
      </c>
      <c r="O358" s="82" t="str">
        <f ca="1">IF(N358 = "VENCIDO",BD!$B358,"")</f>
        <v/>
      </c>
      <c r="P358" s="82" t="str">
        <f ca="1">IF(N358 = "VENCIDO",BD!$C358,"")</f>
        <v/>
      </c>
      <c r="Q358" s="83" t="str">
        <f ca="1">IF(N358 = "VENCIDO",BD!$E358,"")</f>
        <v/>
      </c>
      <c r="R358" s="83" t="str">
        <f ca="1">IF(N358 = "VENCIDO",BD!$F358,"")</f>
        <v/>
      </c>
      <c r="S358" s="85" t="str">
        <f ca="1">IF(N358 = "VENCIDO",BD!$G358,"")</f>
        <v/>
      </c>
      <c r="T358" s="83" t="str">
        <f ca="1">IF(AND(TODAY()&gt;BD!$C358, OR(BD!$D358="PENDENTE", BD!$D358="")), TODAY()-BD!$C358, "")</f>
        <v/>
      </c>
    </row>
    <row r="359" spans="1:20" ht="14.25" customHeight="1" x14ac:dyDescent="0.35">
      <c r="A359" s="32"/>
      <c r="B359" s="82">
        <f>'MAI-26'!A64</f>
        <v>0</v>
      </c>
      <c r="C359" s="82">
        <f>'MAI-26'!B64</f>
        <v>0</v>
      </c>
      <c r="D359" s="82">
        <f>'MAI-26'!C64</f>
        <v>0</v>
      </c>
      <c r="E359" s="83">
        <f>'MAI-26'!D64</f>
        <v>0</v>
      </c>
      <c r="F359" s="84">
        <f>'MAI-26'!E64</f>
        <v>0</v>
      </c>
      <c r="G359" s="85">
        <f>'MAI-26'!F64</f>
        <v>0</v>
      </c>
      <c r="H359" s="85">
        <f t="shared" si="0"/>
        <v>0</v>
      </c>
      <c r="I359" s="83" t="s">
        <v>99</v>
      </c>
      <c r="J359" s="83" t="str">
        <f t="shared" si="1"/>
        <v/>
      </c>
      <c r="K359" s="85">
        <f t="shared" si="2"/>
        <v>0</v>
      </c>
      <c r="L359" s="83" t="str">
        <f t="shared" si="3"/>
        <v/>
      </c>
      <c r="M359" s="83">
        <f>'MAI-26'!H64</f>
        <v>0</v>
      </c>
      <c r="N359" s="92" t="str">
        <f ca="1">IF(BD!$C359="","",IF(AND(TODAY()&gt;BD!$C359,OR(BD!$D359="PENDENTE",BD!$D359="")),"VENCIDO",""))</f>
        <v/>
      </c>
      <c r="O359" s="82" t="str">
        <f ca="1">IF(N359 = "VENCIDO",BD!$B359,"")</f>
        <v/>
      </c>
      <c r="P359" s="82" t="str">
        <f ca="1">IF(N359 = "VENCIDO",BD!$C359,"")</f>
        <v/>
      </c>
      <c r="Q359" s="83" t="str">
        <f ca="1">IF(N359 = "VENCIDO",BD!$E359,"")</f>
        <v/>
      </c>
      <c r="R359" s="83" t="str">
        <f ca="1">IF(N359 = "VENCIDO",BD!$F359,"")</f>
        <v/>
      </c>
      <c r="S359" s="85" t="str">
        <f ca="1">IF(N359 = "VENCIDO",BD!$G359,"")</f>
        <v/>
      </c>
      <c r="T359" s="83" t="str">
        <f ca="1">IF(AND(TODAY()&gt;BD!$C359, OR(BD!$D359="PENDENTE", BD!$D359="")), TODAY()-BD!$C359, "")</f>
        <v/>
      </c>
    </row>
    <row r="360" spans="1:20" ht="14.25" customHeight="1" x14ac:dyDescent="0.35">
      <c r="A360" s="32"/>
      <c r="B360" s="82">
        <f>'MAI-26'!A65</f>
        <v>0</v>
      </c>
      <c r="C360" s="82">
        <f>'MAI-26'!B65</f>
        <v>0</v>
      </c>
      <c r="D360" s="82">
        <f>'MAI-26'!C65</f>
        <v>0</v>
      </c>
      <c r="E360" s="83">
        <f>'MAI-26'!D65</f>
        <v>0</v>
      </c>
      <c r="F360" s="84">
        <f>'MAI-26'!E65</f>
        <v>0</v>
      </c>
      <c r="G360" s="85">
        <f>'MAI-26'!F65</f>
        <v>0</v>
      </c>
      <c r="H360" s="85">
        <f t="shared" si="0"/>
        <v>0</v>
      </c>
      <c r="I360" s="83" t="s">
        <v>99</v>
      </c>
      <c r="J360" s="83" t="str">
        <f t="shared" si="1"/>
        <v/>
      </c>
      <c r="K360" s="85">
        <f t="shared" si="2"/>
        <v>0</v>
      </c>
      <c r="L360" s="83" t="str">
        <f t="shared" si="3"/>
        <v/>
      </c>
      <c r="M360" s="83">
        <f>'MAI-26'!H65</f>
        <v>0</v>
      </c>
      <c r="N360" s="92" t="str">
        <f ca="1">IF(BD!$C360="","",IF(AND(TODAY()&gt;BD!$C360,OR(BD!$D360="PENDENTE",BD!$D360="")),"VENCIDO",""))</f>
        <v/>
      </c>
      <c r="O360" s="82" t="str">
        <f ca="1">IF(N360 = "VENCIDO",BD!$B360,"")</f>
        <v/>
      </c>
      <c r="P360" s="82" t="str">
        <f ca="1">IF(N360 = "VENCIDO",BD!$C360,"")</f>
        <v/>
      </c>
      <c r="Q360" s="83" t="str">
        <f ca="1">IF(N360 = "VENCIDO",BD!$E360,"")</f>
        <v/>
      </c>
      <c r="R360" s="83" t="str">
        <f ca="1">IF(N360 = "VENCIDO",BD!$F360,"")</f>
        <v/>
      </c>
      <c r="S360" s="85" t="str">
        <f ca="1">IF(N360 = "VENCIDO",BD!$G360,"")</f>
        <v/>
      </c>
      <c r="T360" s="83" t="str">
        <f ca="1">IF(AND(TODAY()&gt;BD!$C360, OR(BD!$D360="PENDENTE", BD!$D360="")), TODAY()-BD!$C360, "")</f>
        <v/>
      </c>
    </row>
    <row r="361" spans="1:20" ht="14.25" customHeight="1" x14ac:dyDescent="0.35">
      <c r="A361" s="32"/>
      <c r="B361" s="82">
        <f>'MAI-26'!A66</f>
        <v>0</v>
      </c>
      <c r="C361" s="82">
        <f>'MAI-26'!B66</f>
        <v>0</v>
      </c>
      <c r="D361" s="82">
        <f>'MAI-26'!C66</f>
        <v>0</v>
      </c>
      <c r="E361" s="83">
        <f>'MAI-26'!D66</f>
        <v>0</v>
      </c>
      <c r="F361" s="84">
        <f>'MAI-26'!E66</f>
        <v>0</v>
      </c>
      <c r="G361" s="85">
        <f>'MAI-26'!F66</f>
        <v>0</v>
      </c>
      <c r="H361" s="85">
        <f t="shared" si="0"/>
        <v>0</v>
      </c>
      <c r="I361" s="83" t="s">
        <v>99</v>
      </c>
      <c r="J361" s="83" t="str">
        <f t="shared" si="1"/>
        <v/>
      </c>
      <c r="K361" s="85">
        <f t="shared" si="2"/>
        <v>0</v>
      </c>
      <c r="L361" s="83" t="str">
        <f t="shared" si="3"/>
        <v/>
      </c>
      <c r="M361" s="83">
        <f>'MAI-26'!H66</f>
        <v>0</v>
      </c>
      <c r="N361" s="92" t="str">
        <f ca="1">IF(BD!$C361="","",IF(AND(TODAY()&gt;BD!$C361,OR(BD!$D361="PENDENTE",BD!$D361="")),"VENCIDO",""))</f>
        <v/>
      </c>
      <c r="O361" s="82" t="str">
        <f ca="1">IF(N361 = "VENCIDO",BD!$B361,"")</f>
        <v/>
      </c>
      <c r="P361" s="82" t="str">
        <f ca="1">IF(N361 = "VENCIDO",BD!$C361,"")</f>
        <v/>
      </c>
      <c r="Q361" s="83" t="str">
        <f ca="1">IF(N361 = "VENCIDO",BD!$E361,"")</f>
        <v/>
      </c>
      <c r="R361" s="83" t="str">
        <f ca="1">IF(N361 = "VENCIDO",BD!$F361,"")</f>
        <v/>
      </c>
      <c r="S361" s="85" t="str">
        <f ca="1">IF(N361 = "VENCIDO",BD!$G361,"")</f>
        <v/>
      </c>
      <c r="T361" s="83" t="str">
        <f ca="1">IF(AND(TODAY()&gt;BD!$C361, OR(BD!$D361="PENDENTE", BD!$D361="")), TODAY()-BD!$C361, "")</f>
        <v/>
      </c>
    </row>
    <row r="362" spans="1:20" ht="14.25" customHeight="1" x14ac:dyDescent="0.35">
      <c r="A362" s="32"/>
      <c r="B362" s="82">
        <f>'MAI-26'!A67</f>
        <v>0</v>
      </c>
      <c r="C362" s="82">
        <f>'MAI-26'!B67</f>
        <v>0</v>
      </c>
      <c r="D362" s="82">
        <f>'MAI-26'!C67</f>
        <v>0</v>
      </c>
      <c r="E362" s="83">
        <f>'MAI-26'!D67</f>
        <v>0</v>
      </c>
      <c r="F362" s="84">
        <f>'MAI-26'!E67</f>
        <v>0</v>
      </c>
      <c r="G362" s="85">
        <f>'MAI-26'!F67</f>
        <v>0</v>
      </c>
      <c r="H362" s="85">
        <f t="shared" si="0"/>
        <v>0</v>
      </c>
      <c r="I362" s="83" t="s">
        <v>99</v>
      </c>
      <c r="J362" s="83" t="str">
        <f t="shared" si="1"/>
        <v/>
      </c>
      <c r="K362" s="85">
        <f t="shared" si="2"/>
        <v>0</v>
      </c>
      <c r="L362" s="83" t="str">
        <f t="shared" si="3"/>
        <v/>
      </c>
      <c r="M362" s="83">
        <f>'MAI-26'!H67</f>
        <v>0</v>
      </c>
      <c r="N362" s="92" t="str">
        <f ca="1">IF(BD!$C362="","",IF(AND(TODAY()&gt;BD!$C362,OR(BD!$D362="PENDENTE",BD!$D362="")),"VENCIDO",""))</f>
        <v/>
      </c>
      <c r="O362" s="82" t="str">
        <f ca="1">IF(N362 = "VENCIDO",BD!$B362,"")</f>
        <v/>
      </c>
      <c r="P362" s="82" t="str">
        <f ca="1">IF(N362 = "VENCIDO",BD!$C362,"")</f>
        <v/>
      </c>
      <c r="Q362" s="83" t="str">
        <f ca="1">IF(N362 = "VENCIDO",BD!$E362,"")</f>
        <v/>
      </c>
      <c r="R362" s="83" t="str">
        <f ca="1">IF(N362 = "VENCIDO",BD!$F362,"")</f>
        <v/>
      </c>
      <c r="S362" s="85" t="str">
        <f ca="1">IF(N362 = "VENCIDO",BD!$G362,"")</f>
        <v/>
      </c>
      <c r="T362" s="83" t="str">
        <f ca="1">IF(AND(TODAY()&gt;BD!$C362, OR(BD!$D362="PENDENTE", BD!$D362="")), TODAY()-BD!$C362, "")</f>
        <v/>
      </c>
    </row>
    <row r="363" spans="1:20" ht="14.25" customHeight="1" x14ac:dyDescent="0.35">
      <c r="A363" s="32"/>
      <c r="B363" s="82">
        <f>'MAI-26'!A68</f>
        <v>0</v>
      </c>
      <c r="C363" s="82">
        <f>'MAI-26'!B68</f>
        <v>0</v>
      </c>
      <c r="D363" s="82">
        <f>'MAI-26'!C68</f>
        <v>0</v>
      </c>
      <c r="E363" s="83">
        <f>'MAI-26'!D68</f>
        <v>0</v>
      </c>
      <c r="F363" s="84">
        <f>'MAI-26'!E68</f>
        <v>0</v>
      </c>
      <c r="G363" s="85">
        <f>'MAI-26'!F68</f>
        <v>0</v>
      </c>
      <c r="H363" s="85">
        <f t="shared" si="0"/>
        <v>0</v>
      </c>
      <c r="I363" s="83" t="s">
        <v>99</v>
      </c>
      <c r="J363" s="83" t="str">
        <f t="shared" si="1"/>
        <v/>
      </c>
      <c r="K363" s="85">
        <f t="shared" si="2"/>
        <v>0</v>
      </c>
      <c r="L363" s="83" t="str">
        <f t="shared" si="3"/>
        <v/>
      </c>
      <c r="M363" s="83">
        <f>'MAI-26'!H68</f>
        <v>0</v>
      </c>
      <c r="N363" s="92" t="str">
        <f ca="1">IF(BD!$C363="","",IF(AND(TODAY()&gt;BD!$C363,OR(BD!$D363="PENDENTE",BD!$D363="")),"VENCIDO",""))</f>
        <v/>
      </c>
      <c r="O363" s="82" t="str">
        <f ca="1">IF(N363 = "VENCIDO",BD!$B363,"")</f>
        <v/>
      </c>
      <c r="P363" s="82" t="str">
        <f ca="1">IF(N363 = "VENCIDO",BD!$C363,"")</f>
        <v/>
      </c>
      <c r="Q363" s="83" t="str">
        <f ca="1">IF(N363 = "VENCIDO",BD!$E363,"")</f>
        <v/>
      </c>
      <c r="R363" s="83" t="str">
        <f ca="1">IF(N363 = "VENCIDO",BD!$F363,"")</f>
        <v/>
      </c>
      <c r="S363" s="85" t="str">
        <f ca="1">IF(N363 = "VENCIDO",BD!$G363,"")</f>
        <v/>
      </c>
      <c r="T363" s="83" t="str">
        <f ca="1">IF(AND(TODAY()&gt;BD!$C363, OR(BD!$D363="PENDENTE", BD!$D363="")), TODAY()-BD!$C363, "")</f>
        <v/>
      </c>
    </row>
    <row r="364" spans="1:20" ht="14.25" customHeight="1" x14ac:dyDescent="0.35">
      <c r="A364" s="32"/>
      <c r="B364" s="82">
        <f>'MAI-26'!A69</f>
        <v>0</v>
      </c>
      <c r="C364" s="82">
        <f>'MAI-26'!B69</f>
        <v>0</v>
      </c>
      <c r="D364" s="82">
        <f>'MAI-26'!C69</f>
        <v>0</v>
      </c>
      <c r="E364" s="83">
        <f>'MAI-26'!D69</f>
        <v>0</v>
      </c>
      <c r="F364" s="84">
        <f>'MAI-26'!E69</f>
        <v>0</v>
      </c>
      <c r="G364" s="85">
        <f>'MAI-26'!F69</f>
        <v>0</v>
      </c>
      <c r="H364" s="85">
        <f t="shared" si="0"/>
        <v>0</v>
      </c>
      <c r="I364" s="83" t="s">
        <v>99</v>
      </c>
      <c r="J364" s="83" t="str">
        <f t="shared" si="1"/>
        <v/>
      </c>
      <c r="K364" s="85">
        <f t="shared" si="2"/>
        <v>0</v>
      </c>
      <c r="L364" s="83" t="str">
        <f t="shared" si="3"/>
        <v/>
      </c>
      <c r="M364" s="83">
        <f>'MAI-26'!H69</f>
        <v>0</v>
      </c>
      <c r="N364" s="92" t="str">
        <f ca="1">IF(BD!$C364="","",IF(AND(TODAY()&gt;BD!$C364,OR(BD!$D364="PENDENTE",BD!$D364="")),"VENCIDO",""))</f>
        <v/>
      </c>
      <c r="O364" s="82" t="str">
        <f ca="1">IF(N364 = "VENCIDO",BD!$B364,"")</f>
        <v/>
      </c>
      <c r="P364" s="82" t="str">
        <f ca="1">IF(N364 = "VENCIDO",BD!$C364,"")</f>
        <v/>
      </c>
      <c r="Q364" s="83" t="str">
        <f ca="1">IF(N364 = "VENCIDO",BD!$E364,"")</f>
        <v/>
      </c>
      <c r="R364" s="83" t="str">
        <f ca="1">IF(N364 = "VENCIDO",BD!$F364,"")</f>
        <v/>
      </c>
      <c r="S364" s="85" t="str">
        <f ca="1">IF(N364 = "VENCIDO",BD!$G364,"")</f>
        <v/>
      </c>
      <c r="T364" s="83" t="str">
        <f ca="1">IF(AND(TODAY()&gt;BD!$C364, OR(BD!$D364="PENDENTE", BD!$D364="")), TODAY()-BD!$C364, "")</f>
        <v/>
      </c>
    </row>
    <row r="365" spans="1:20" ht="14.25" customHeight="1" x14ac:dyDescent="0.35">
      <c r="A365" s="32"/>
      <c r="B365" s="82">
        <f>'MAI-26'!A70</f>
        <v>0</v>
      </c>
      <c r="C365" s="82">
        <f>'MAI-26'!B70</f>
        <v>0</v>
      </c>
      <c r="D365" s="82">
        <f>'MAI-26'!C70</f>
        <v>0</v>
      </c>
      <c r="E365" s="83">
        <f>'MAI-26'!D70</f>
        <v>0</v>
      </c>
      <c r="F365" s="84">
        <f>'MAI-26'!E70</f>
        <v>0</v>
      </c>
      <c r="G365" s="85">
        <f>'MAI-26'!F70</f>
        <v>0</v>
      </c>
      <c r="H365" s="85">
        <f t="shared" si="0"/>
        <v>0</v>
      </c>
      <c r="I365" s="83" t="s">
        <v>99</v>
      </c>
      <c r="J365" s="83" t="str">
        <f t="shared" si="1"/>
        <v/>
      </c>
      <c r="K365" s="85">
        <f t="shared" si="2"/>
        <v>0</v>
      </c>
      <c r="L365" s="83" t="str">
        <f t="shared" si="3"/>
        <v/>
      </c>
      <c r="M365" s="83">
        <f>'MAI-26'!H70</f>
        <v>0</v>
      </c>
      <c r="N365" s="92" t="str">
        <f ca="1">IF(BD!$C365="","",IF(AND(TODAY()&gt;BD!$C365,OR(BD!$D365="PENDENTE",BD!$D365="")),"VENCIDO",""))</f>
        <v/>
      </c>
      <c r="O365" s="82" t="str">
        <f ca="1">IF(N365 = "VENCIDO",BD!$B365,"")</f>
        <v/>
      </c>
      <c r="P365" s="82" t="str">
        <f ca="1">IF(N365 = "VENCIDO",BD!$C365,"")</f>
        <v/>
      </c>
      <c r="Q365" s="83" t="str">
        <f ca="1">IF(N365 = "VENCIDO",BD!$E365,"")</f>
        <v/>
      </c>
      <c r="R365" s="83" t="str">
        <f ca="1">IF(N365 = "VENCIDO",BD!$F365,"")</f>
        <v/>
      </c>
      <c r="S365" s="85" t="str">
        <f ca="1">IF(N365 = "VENCIDO",BD!$G365,"")</f>
        <v/>
      </c>
      <c r="T365" s="83" t="str">
        <f ca="1">IF(AND(TODAY()&gt;BD!$C365, OR(BD!$D365="PENDENTE", BD!$D365="")), TODAY()-BD!$C365, "")</f>
        <v/>
      </c>
    </row>
    <row r="366" spans="1:20" ht="14.25" customHeight="1" x14ac:dyDescent="0.35">
      <c r="A366" s="32"/>
      <c r="B366" s="82">
        <f>'MAI-26'!A71</f>
        <v>0</v>
      </c>
      <c r="C366" s="82">
        <f>'MAI-26'!B71</f>
        <v>0</v>
      </c>
      <c r="D366" s="82">
        <f>'MAI-26'!C71</f>
        <v>0</v>
      </c>
      <c r="E366" s="83">
        <f>'MAI-26'!D71</f>
        <v>0</v>
      </c>
      <c r="F366" s="84">
        <f>'MAI-26'!E71</f>
        <v>0</v>
      </c>
      <c r="G366" s="85">
        <f>'MAI-26'!F71</f>
        <v>0</v>
      </c>
      <c r="H366" s="85">
        <f t="shared" si="0"/>
        <v>0</v>
      </c>
      <c r="I366" s="83" t="s">
        <v>99</v>
      </c>
      <c r="J366" s="83" t="str">
        <f t="shared" si="1"/>
        <v/>
      </c>
      <c r="K366" s="85">
        <f t="shared" si="2"/>
        <v>0</v>
      </c>
      <c r="L366" s="83" t="str">
        <f t="shared" si="3"/>
        <v/>
      </c>
      <c r="M366" s="83">
        <f>'MAI-26'!H71</f>
        <v>0</v>
      </c>
      <c r="N366" s="92" t="str">
        <f ca="1">IF(BD!$C366="","",IF(AND(TODAY()&gt;BD!$C366,OR(BD!$D366="PENDENTE",BD!$D366="")),"VENCIDO",""))</f>
        <v/>
      </c>
      <c r="O366" s="82" t="str">
        <f ca="1">IF(N366 = "VENCIDO",BD!$B366,"")</f>
        <v/>
      </c>
      <c r="P366" s="82" t="str">
        <f ca="1">IF(N366 = "VENCIDO",BD!$C366,"")</f>
        <v/>
      </c>
      <c r="Q366" s="83" t="str">
        <f ca="1">IF(N366 = "VENCIDO",BD!$E366,"")</f>
        <v/>
      </c>
      <c r="R366" s="83" t="str">
        <f ca="1">IF(N366 = "VENCIDO",BD!$F366,"")</f>
        <v/>
      </c>
      <c r="S366" s="85" t="str">
        <f ca="1">IF(N366 = "VENCIDO",BD!$G366,"")</f>
        <v/>
      </c>
      <c r="T366" s="83" t="str">
        <f ca="1">IF(AND(TODAY()&gt;BD!$C366, OR(BD!$D366="PENDENTE", BD!$D366="")), TODAY()-BD!$C366, "")</f>
        <v/>
      </c>
    </row>
    <row r="367" spans="1:20" ht="14.25" customHeight="1" x14ac:dyDescent="0.35">
      <c r="A367" s="32"/>
      <c r="B367" s="82">
        <f>'MAI-26'!A72</f>
        <v>0</v>
      </c>
      <c r="C367" s="82">
        <f>'MAI-26'!B72</f>
        <v>0</v>
      </c>
      <c r="D367" s="82">
        <f>'MAI-26'!C72</f>
        <v>0</v>
      </c>
      <c r="E367" s="83">
        <f>'MAI-26'!D72</f>
        <v>0</v>
      </c>
      <c r="F367" s="84">
        <f>'MAI-26'!E72</f>
        <v>0</v>
      </c>
      <c r="G367" s="85">
        <f>'MAI-26'!F72</f>
        <v>0</v>
      </c>
      <c r="H367" s="85">
        <f t="shared" si="0"/>
        <v>0</v>
      </c>
      <c r="I367" s="83" t="s">
        <v>99</v>
      </c>
      <c r="J367" s="83" t="str">
        <f t="shared" si="1"/>
        <v/>
      </c>
      <c r="K367" s="85">
        <f t="shared" si="2"/>
        <v>0</v>
      </c>
      <c r="L367" s="83" t="str">
        <f t="shared" si="3"/>
        <v/>
      </c>
      <c r="M367" s="83">
        <f>'MAI-26'!H72</f>
        <v>0</v>
      </c>
      <c r="N367" s="92" t="str">
        <f ca="1">IF(BD!$C367="","",IF(AND(TODAY()&gt;BD!$C367,OR(BD!$D367="PENDENTE",BD!$D367="")),"VENCIDO",""))</f>
        <v/>
      </c>
      <c r="O367" s="82" t="str">
        <f ca="1">IF(N367 = "VENCIDO",BD!$B367,"")</f>
        <v/>
      </c>
      <c r="P367" s="82" t="str">
        <f ca="1">IF(N367 = "VENCIDO",BD!$C367,"")</f>
        <v/>
      </c>
      <c r="Q367" s="83" t="str">
        <f ca="1">IF(N367 = "VENCIDO",BD!$E367,"")</f>
        <v/>
      </c>
      <c r="R367" s="83" t="str">
        <f ca="1">IF(N367 = "VENCIDO",BD!$F367,"")</f>
        <v/>
      </c>
      <c r="S367" s="85" t="str">
        <f ca="1">IF(N367 = "VENCIDO",BD!$G367,"")</f>
        <v/>
      </c>
      <c r="T367" s="83" t="str">
        <f ca="1">IF(AND(TODAY()&gt;BD!$C367, OR(BD!$D367="PENDENTE", BD!$D367="")), TODAY()-BD!$C367, "")</f>
        <v/>
      </c>
    </row>
    <row r="368" spans="1:20" ht="14.25" customHeight="1" x14ac:dyDescent="0.35">
      <c r="A368" s="32"/>
      <c r="B368" s="82">
        <f>'MAI-26'!A73</f>
        <v>0</v>
      </c>
      <c r="C368" s="82">
        <f>'MAI-26'!B73</f>
        <v>0</v>
      </c>
      <c r="D368" s="82">
        <f>'MAI-26'!C73</f>
        <v>0</v>
      </c>
      <c r="E368" s="83">
        <f>'MAI-26'!D73</f>
        <v>0</v>
      </c>
      <c r="F368" s="84">
        <f>'MAI-26'!E73</f>
        <v>0</v>
      </c>
      <c r="G368" s="85">
        <f>'MAI-26'!F73</f>
        <v>0</v>
      </c>
      <c r="H368" s="85">
        <f t="shared" si="0"/>
        <v>0</v>
      </c>
      <c r="I368" s="83" t="s">
        <v>99</v>
      </c>
      <c r="J368" s="83" t="str">
        <f t="shared" si="1"/>
        <v/>
      </c>
      <c r="K368" s="85">
        <f t="shared" si="2"/>
        <v>0</v>
      </c>
      <c r="L368" s="83" t="str">
        <f t="shared" si="3"/>
        <v/>
      </c>
      <c r="M368" s="83">
        <f>'MAI-26'!H73</f>
        <v>0</v>
      </c>
      <c r="N368" s="92" t="str">
        <f ca="1">IF(BD!$C368="","",IF(AND(TODAY()&gt;BD!$C368,OR(BD!$D368="PENDENTE",BD!$D368="")),"VENCIDO",""))</f>
        <v/>
      </c>
      <c r="O368" s="82" t="str">
        <f ca="1">IF(N368 = "VENCIDO",BD!$B368,"")</f>
        <v/>
      </c>
      <c r="P368" s="82" t="str">
        <f ca="1">IF(N368 = "VENCIDO",BD!$C368,"")</f>
        <v/>
      </c>
      <c r="Q368" s="83" t="str">
        <f ca="1">IF(N368 = "VENCIDO",BD!$E368,"")</f>
        <v/>
      </c>
      <c r="R368" s="83" t="str">
        <f ca="1">IF(N368 = "VENCIDO",BD!$F368,"")</f>
        <v/>
      </c>
      <c r="S368" s="85" t="str">
        <f ca="1">IF(N368 = "VENCIDO",BD!$G368,"")</f>
        <v/>
      </c>
      <c r="T368" s="83" t="str">
        <f ca="1">IF(AND(TODAY()&gt;BD!$C368, OR(BD!$D368="PENDENTE", BD!$D368="")), TODAY()-BD!$C368, "")</f>
        <v/>
      </c>
    </row>
    <row r="369" spans="1:20" ht="14.25" customHeight="1" x14ac:dyDescent="0.35">
      <c r="A369" s="32"/>
      <c r="B369" s="82">
        <f>'MAI-26'!A74</f>
        <v>0</v>
      </c>
      <c r="C369" s="82">
        <f>'MAI-26'!B74</f>
        <v>0</v>
      </c>
      <c r="D369" s="82">
        <f>'MAI-26'!C74</f>
        <v>0</v>
      </c>
      <c r="E369" s="83">
        <f>'MAI-26'!D74</f>
        <v>0</v>
      </c>
      <c r="F369" s="84">
        <f>'MAI-26'!E74</f>
        <v>0</v>
      </c>
      <c r="G369" s="85">
        <f>'MAI-26'!F74</f>
        <v>0</v>
      </c>
      <c r="H369" s="85">
        <f t="shared" si="0"/>
        <v>0</v>
      </c>
      <c r="I369" s="83" t="s">
        <v>99</v>
      </c>
      <c r="J369" s="83" t="str">
        <f t="shared" si="1"/>
        <v/>
      </c>
      <c r="K369" s="85">
        <f t="shared" si="2"/>
        <v>0</v>
      </c>
      <c r="L369" s="83" t="str">
        <f t="shared" si="3"/>
        <v/>
      </c>
      <c r="M369" s="83">
        <f>'MAI-26'!H74</f>
        <v>0</v>
      </c>
      <c r="N369" s="92" t="str">
        <f ca="1">IF(BD!$C369="","",IF(AND(TODAY()&gt;BD!$C369,OR(BD!$D369="PENDENTE",BD!$D369="")),"VENCIDO",""))</f>
        <v/>
      </c>
      <c r="O369" s="82" t="str">
        <f ca="1">IF(N369 = "VENCIDO",BD!$B369,"")</f>
        <v/>
      </c>
      <c r="P369" s="82" t="str">
        <f ca="1">IF(N369 = "VENCIDO",BD!$C369,"")</f>
        <v/>
      </c>
      <c r="Q369" s="83" t="str">
        <f ca="1">IF(N369 = "VENCIDO",BD!$E369,"")</f>
        <v/>
      </c>
      <c r="R369" s="83" t="str">
        <f ca="1">IF(N369 = "VENCIDO",BD!$F369,"")</f>
        <v/>
      </c>
      <c r="S369" s="85" t="str">
        <f ca="1">IF(N369 = "VENCIDO",BD!$G369,"")</f>
        <v/>
      </c>
      <c r="T369" s="83" t="str">
        <f ca="1">IF(AND(TODAY()&gt;BD!$C369, OR(BD!$D369="PENDENTE", BD!$D369="")), TODAY()-BD!$C369, "")</f>
        <v/>
      </c>
    </row>
    <row r="370" spans="1:20" ht="14.25" customHeight="1" x14ac:dyDescent="0.35">
      <c r="A370" s="32"/>
      <c r="B370" s="82">
        <f>'MAI-26'!A75</f>
        <v>0</v>
      </c>
      <c r="C370" s="82">
        <f>'MAI-26'!B75</f>
        <v>0</v>
      </c>
      <c r="D370" s="82">
        <f>'MAI-26'!C75</f>
        <v>0</v>
      </c>
      <c r="E370" s="83">
        <f>'MAI-26'!D75</f>
        <v>0</v>
      </c>
      <c r="F370" s="84">
        <f>'MAI-26'!E75</f>
        <v>0</v>
      </c>
      <c r="G370" s="85">
        <f>'MAI-26'!F75</f>
        <v>0</v>
      </c>
      <c r="H370" s="85">
        <f t="shared" si="0"/>
        <v>0</v>
      </c>
      <c r="I370" s="83" t="s">
        <v>99</v>
      </c>
      <c r="J370" s="83" t="str">
        <f t="shared" si="1"/>
        <v/>
      </c>
      <c r="K370" s="85">
        <f t="shared" si="2"/>
        <v>0</v>
      </c>
      <c r="L370" s="83" t="str">
        <f t="shared" si="3"/>
        <v/>
      </c>
      <c r="M370" s="83">
        <f>'MAI-26'!H75</f>
        <v>0</v>
      </c>
      <c r="N370" s="92" t="str">
        <f ca="1">IF(BD!$C370="","",IF(AND(TODAY()&gt;BD!$C370,OR(BD!$D370="PENDENTE",BD!$D370="")),"VENCIDO",""))</f>
        <v/>
      </c>
      <c r="O370" s="82" t="str">
        <f ca="1">IF(N370 = "VENCIDO",BD!$B370,"")</f>
        <v/>
      </c>
      <c r="P370" s="82" t="str">
        <f ca="1">IF(N370 = "VENCIDO",BD!$C370,"")</f>
        <v/>
      </c>
      <c r="Q370" s="83" t="str">
        <f ca="1">IF(N370 = "VENCIDO",BD!$E370,"")</f>
        <v/>
      </c>
      <c r="R370" s="83" t="str">
        <f ca="1">IF(N370 = "VENCIDO",BD!$F370,"")</f>
        <v/>
      </c>
      <c r="S370" s="85" t="str">
        <f ca="1">IF(N370 = "VENCIDO",BD!$G370,"")</f>
        <v/>
      </c>
      <c r="T370" s="83" t="str">
        <f ca="1">IF(AND(TODAY()&gt;BD!$C370, OR(BD!$D370="PENDENTE", BD!$D370="")), TODAY()-BD!$C370, "")</f>
        <v/>
      </c>
    </row>
    <row r="371" spans="1:20" ht="14.25" customHeight="1" x14ac:dyDescent="0.35">
      <c r="A371" s="32"/>
      <c r="B371" s="82">
        <f>'MAI-26'!A76</f>
        <v>0</v>
      </c>
      <c r="C371" s="82">
        <f>'MAI-26'!B76</f>
        <v>0</v>
      </c>
      <c r="D371" s="82">
        <f>'MAI-26'!C76</f>
        <v>0</v>
      </c>
      <c r="E371" s="83">
        <f>'MAI-26'!D76</f>
        <v>0</v>
      </c>
      <c r="F371" s="84">
        <f>'MAI-26'!E76</f>
        <v>0</v>
      </c>
      <c r="G371" s="85">
        <f>'MAI-26'!F76</f>
        <v>0</v>
      </c>
      <c r="H371" s="85">
        <f t="shared" si="0"/>
        <v>0</v>
      </c>
      <c r="I371" s="83" t="s">
        <v>99</v>
      </c>
      <c r="J371" s="83" t="str">
        <f t="shared" si="1"/>
        <v/>
      </c>
      <c r="K371" s="85">
        <f t="shared" si="2"/>
        <v>0</v>
      </c>
      <c r="L371" s="83" t="str">
        <f t="shared" si="3"/>
        <v/>
      </c>
      <c r="M371" s="83">
        <f>'MAI-26'!H76</f>
        <v>0</v>
      </c>
      <c r="N371" s="92" t="str">
        <f ca="1">IF(BD!$C371="","",IF(AND(TODAY()&gt;BD!$C371,OR(BD!$D371="PENDENTE",BD!$D371="")),"VENCIDO",""))</f>
        <v/>
      </c>
      <c r="O371" s="82" t="str">
        <f ca="1">IF(N371 = "VENCIDO",BD!$B371,"")</f>
        <v/>
      </c>
      <c r="P371" s="82" t="str">
        <f ca="1">IF(N371 = "VENCIDO",BD!$C371,"")</f>
        <v/>
      </c>
      <c r="Q371" s="83" t="str">
        <f ca="1">IF(N371 = "VENCIDO",BD!$E371,"")</f>
        <v/>
      </c>
      <c r="R371" s="83" t="str">
        <f ca="1">IF(N371 = "VENCIDO",BD!$F371,"")</f>
        <v/>
      </c>
      <c r="S371" s="85" t="str">
        <f ca="1">IF(N371 = "VENCIDO",BD!$G371,"")</f>
        <v/>
      </c>
      <c r="T371" s="83" t="str">
        <f ca="1">IF(AND(TODAY()&gt;BD!$C371, OR(BD!$D371="PENDENTE", BD!$D371="")), TODAY()-BD!$C371, "")</f>
        <v/>
      </c>
    </row>
    <row r="372" spans="1:20" ht="14.25" customHeight="1" x14ac:dyDescent="0.35">
      <c r="A372" s="32"/>
      <c r="B372" s="82">
        <f>'JUN-26'!A3</f>
        <v>0</v>
      </c>
      <c r="C372" s="82">
        <f>'JUN-26'!B3</f>
        <v>0</v>
      </c>
      <c r="D372" s="82">
        <f>'JUN-26'!C3</f>
        <v>0</v>
      </c>
      <c r="E372" s="83">
        <f>'JUN-26'!D3</f>
        <v>0</v>
      </c>
      <c r="F372" s="84">
        <f>'JUN-26'!E3</f>
        <v>0</v>
      </c>
      <c r="G372" s="85">
        <f>'JUN-26'!F3</f>
        <v>0</v>
      </c>
      <c r="H372" s="85">
        <f t="shared" si="0"/>
        <v>0</v>
      </c>
      <c r="I372" s="83" t="s">
        <v>100</v>
      </c>
      <c r="J372" s="83" t="str">
        <f t="shared" si="1"/>
        <v/>
      </c>
      <c r="K372" s="85">
        <f t="shared" si="2"/>
        <v>0</v>
      </c>
      <c r="L372" s="83" t="str">
        <f t="shared" si="3"/>
        <v/>
      </c>
      <c r="M372" s="83">
        <f>'JUN-26'!H3</f>
        <v>0</v>
      </c>
      <c r="N372" s="92" t="str">
        <f ca="1">IF(BD!$C372="","",IF(AND(TODAY()&gt;BD!$C372,OR(BD!$D372="PENDENTE",BD!$D372="")),"VENCIDO",""))</f>
        <v/>
      </c>
      <c r="O372" s="82" t="str">
        <f ca="1">IF(N372 = "VENCIDO",BD!$B372,"")</f>
        <v/>
      </c>
      <c r="P372" s="82" t="str">
        <f ca="1">IF(N372 = "VENCIDO",BD!$C372,"")</f>
        <v/>
      </c>
      <c r="Q372" s="83" t="str">
        <f ca="1">IF(N372 = "VENCIDO",BD!$E372,"")</f>
        <v/>
      </c>
      <c r="R372" s="83" t="str">
        <f ca="1">IF(N372 = "VENCIDO",BD!$F372,"")</f>
        <v/>
      </c>
      <c r="S372" s="85" t="str">
        <f ca="1">IF(N372 = "VENCIDO",BD!$G372,"")</f>
        <v/>
      </c>
      <c r="T372" s="83" t="str">
        <f ca="1">IF(AND(TODAY()&gt;BD!$C372, OR(BD!$D372="PENDENTE", BD!$D372="")), TODAY()-BD!$C372, "")</f>
        <v/>
      </c>
    </row>
    <row r="373" spans="1:20" ht="14.25" customHeight="1" x14ac:dyDescent="0.35">
      <c r="A373" s="32"/>
      <c r="B373" s="82">
        <f>'JUN-26'!A4</f>
        <v>0</v>
      </c>
      <c r="C373" s="82">
        <f>'JUN-26'!B4</f>
        <v>0</v>
      </c>
      <c r="D373" s="82">
        <f>'JUN-26'!C4</f>
        <v>0</v>
      </c>
      <c r="E373" s="83">
        <f>'JUN-26'!D4</f>
        <v>0</v>
      </c>
      <c r="F373" s="84">
        <f>'JUN-26'!E4</f>
        <v>0</v>
      </c>
      <c r="G373" s="85">
        <f>'JUN-26'!F4</f>
        <v>0</v>
      </c>
      <c r="H373" s="85">
        <f t="shared" si="0"/>
        <v>0</v>
      </c>
      <c r="I373" s="83" t="s">
        <v>100</v>
      </c>
      <c r="J373" s="83" t="str">
        <f t="shared" si="1"/>
        <v/>
      </c>
      <c r="K373" s="85">
        <f t="shared" si="2"/>
        <v>0</v>
      </c>
      <c r="L373" s="83" t="str">
        <f t="shared" si="3"/>
        <v/>
      </c>
      <c r="M373" s="83">
        <f>'JUN-26'!H4</f>
        <v>0</v>
      </c>
      <c r="N373" s="92" t="str">
        <f ca="1">IF(BD!$C373="","",IF(AND(TODAY()&gt;BD!$C373,OR(BD!$D373="PENDENTE",BD!$D373="")),"VENCIDO",""))</f>
        <v/>
      </c>
      <c r="O373" s="82" t="str">
        <f ca="1">IF(N373 = "VENCIDO",BD!$B373,"")</f>
        <v/>
      </c>
      <c r="P373" s="82" t="str">
        <f ca="1">IF(N373 = "VENCIDO",BD!$C373,"")</f>
        <v/>
      </c>
      <c r="Q373" s="83" t="str">
        <f ca="1">IF(N373 = "VENCIDO",BD!$E373,"")</f>
        <v/>
      </c>
      <c r="R373" s="83" t="str">
        <f ca="1">IF(N373 = "VENCIDO",BD!$F373,"")</f>
        <v/>
      </c>
      <c r="S373" s="85" t="str">
        <f ca="1">IF(N373 = "VENCIDO",BD!$G373,"")</f>
        <v/>
      </c>
      <c r="T373" s="83" t="str">
        <f ca="1">IF(AND(TODAY()&gt;BD!$C373, OR(BD!$D373="PENDENTE", BD!$D373="")), TODAY()-BD!$C373, "")</f>
        <v/>
      </c>
    </row>
    <row r="374" spans="1:20" ht="14.25" customHeight="1" x14ac:dyDescent="0.35">
      <c r="A374" s="32"/>
      <c r="B374" s="82">
        <f>'JUN-26'!A5</f>
        <v>0</v>
      </c>
      <c r="C374" s="82">
        <f>'JUN-26'!B5</f>
        <v>0</v>
      </c>
      <c r="D374" s="82">
        <f>'JUN-26'!C5</f>
        <v>0</v>
      </c>
      <c r="E374" s="83">
        <f>'JUN-26'!D5</f>
        <v>0</v>
      </c>
      <c r="F374" s="84">
        <f>'JUN-26'!E5</f>
        <v>0</v>
      </c>
      <c r="G374" s="85">
        <f>'JUN-26'!F5</f>
        <v>0</v>
      </c>
      <c r="H374" s="85">
        <f t="shared" si="0"/>
        <v>0</v>
      </c>
      <c r="I374" s="83" t="s">
        <v>100</v>
      </c>
      <c r="J374" s="83" t="str">
        <f t="shared" si="1"/>
        <v/>
      </c>
      <c r="K374" s="85">
        <f t="shared" si="2"/>
        <v>0</v>
      </c>
      <c r="L374" s="83" t="str">
        <f t="shared" si="3"/>
        <v/>
      </c>
      <c r="M374" s="83">
        <f>'JUN-26'!H5</f>
        <v>0</v>
      </c>
      <c r="N374" s="92" t="str">
        <f ca="1">IF(BD!$C374="","",IF(AND(TODAY()&gt;BD!$C374,OR(BD!$D374="PENDENTE",BD!$D374="")),"VENCIDO",""))</f>
        <v/>
      </c>
      <c r="O374" s="82" t="str">
        <f ca="1">IF(N374 = "VENCIDO",BD!$B374,"")</f>
        <v/>
      </c>
      <c r="P374" s="82" t="str">
        <f ca="1">IF(N374 = "VENCIDO",BD!$C374,"")</f>
        <v/>
      </c>
      <c r="Q374" s="83" t="str">
        <f ca="1">IF(N374 = "VENCIDO",BD!$E374,"")</f>
        <v/>
      </c>
      <c r="R374" s="83" t="str">
        <f ca="1">IF(N374 = "VENCIDO",BD!$F374,"")</f>
        <v/>
      </c>
      <c r="S374" s="85" t="str">
        <f ca="1">IF(N374 = "VENCIDO",BD!$G374,"")</f>
        <v/>
      </c>
      <c r="T374" s="83" t="str">
        <f ca="1">IF(AND(TODAY()&gt;BD!$C374, OR(BD!$D374="PENDENTE", BD!$D374="")), TODAY()-BD!$C374, "")</f>
        <v/>
      </c>
    </row>
    <row r="375" spans="1:20" ht="14.25" customHeight="1" x14ac:dyDescent="0.35">
      <c r="A375" s="32"/>
      <c r="B375" s="82">
        <f>'JUN-26'!A6</f>
        <v>0</v>
      </c>
      <c r="C375" s="82">
        <f>'JUN-26'!B6</f>
        <v>0</v>
      </c>
      <c r="D375" s="82">
        <f>'JUN-26'!C6</f>
        <v>0</v>
      </c>
      <c r="E375" s="83">
        <f>'JUN-26'!D6</f>
        <v>0</v>
      </c>
      <c r="F375" s="84">
        <f>'JUN-26'!E6</f>
        <v>0</v>
      </c>
      <c r="G375" s="85">
        <f>'JUN-26'!F6</f>
        <v>0</v>
      </c>
      <c r="H375" s="85">
        <f t="shared" si="0"/>
        <v>0</v>
      </c>
      <c r="I375" s="83" t="s">
        <v>100</v>
      </c>
      <c r="J375" s="83" t="str">
        <f t="shared" si="1"/>
        <v/>
      </c>
      <c r="K375" s="85">
        <f t="shared" si="2"/>
        <v>0</v>
      </c>
      <c r="L375" s="83" t="str">
        <f t="shared" si="3"/>
        <v/>
      </c>
      <c r="M375" s="83">
        <f>'JUN-26'!H6</f>
        <v>0</v>
      </c>
      <c r="N375" s="92" t="str">
        <f ca="1">IF(BD!$C375="","",IF(AND(TODAY()&gt;BD!$C375,OR(BD!$D375="PENDENTE",BD!$D375="")),"VENCIDO",""))</f>
        <v/>
      </c>
      <c r="O375" s="82" t="str">
        <f ca="1">IF(N375 = "VENCIDO",BD!$B375,"")</f>
        <v/>
      </c>
      <c r="P375" s="82" t="str">
        <f ca="1">IF(N375 = "VENCIDO",BD!$C375,"")</f>
        <v/>
      </c>
      <c r="Q375" s="83" t="str">
        <f ca="1">IF(N375 = "VENCIDO",BD!$E375,"")</f>
        <v/>
      </c>
      <c r="R375" s="83" t="str">
        <f ca="1">IF(N375 = "VENCIDO",BD!$F375,"")</f>
        <v/>
      </c>
      <c r="S375" s="85" t="str">
        <f ca="1">IF(N375 = "VENCIDO",BD!$G375,"")</f>
        <v/>
      </c>
      <c r="T375" s="83" t="str">
        <f ca="1">IF(AND(TODAY()&gt;BD!$C375, OR(BD!$D375="PENDENTE", BD!$D375="")), TODAY()-BD!$C375, "")</f>
        <v/>
      </c>
    </row>
    <row r="376" spans="1:20" ht="14.25" customHeight="1" x14ac:dyDescent="0.35">
      <c r="A376" s="32"/>
      <c r="B376" s="82">
        <f>'JUN-26'!A7</f>
        <v>0</v>
      </c>
      <c r="C376" s="82">
        <f>'JUN-26'!B7</f>
        <v>0</v>
      </c>
      <c r="D376" s="82">
        <f>'JUN-26'!C7</f>
        <v>0</v>
      </c>
      <c r="E376" s="83">
        <f>'JUN-26'!D7</f>
        <v>0</v>
      </c>
      <c r="F376" s="84">
        <f>'JUN-26'!E7</f>
        <v>0</v>
      </c>
      <c r="G376" s="85">
        <f>'JUN-26'!F7</f>
        <v>0</v>
      </c>
      <c r="H376" s="85">
        <f t="shared" si="0"/>
        <v>0</v>
      </c>
      <c r="I376" s="83" t="s">
        <v>100</v>
      </c>
      <c r="J376" s="83" t="str">
        <f t="shared" si="1"/>
        <v/>
      </c>
      <c r="K376" s="85">
        <f t="shared" si="2"/>
        <v>0</v>
      </c>
      <c r="L376" s="83" t="str">
        <f t="shared" si="3"/>
        <v/>
      </c>
      <c r="M376" s="83">
        <f>'JUN-26'!H7</f>
        <v>0</v>
      </c>
      <c r="N376" s="92" t="str">
        <f ca="1">IF(BD!$C376="","",IF(AND(TODAY()&gt;BD!$C376,OR(BD!$D376="PENDENTE",BD!$D376="")),"VENCIDO",""))</f>
        <v/>
      </c>
      <c r="O376" s="82" t="str">
        <f ca="1">IF(N376 = "VENCIDO",BD!$B376,"")</f>
        <v/>
      </c>
      <c r="P376" s="82" t="str">
        <f ca="1">IF(N376 = "VENCIDO",BD!$C376,"")</f>
        <v/>
      </c>
      <c r="Q376" s="83" t="str">
        <f ca="1">IF(N376 = "VENCIDO",BD!$E376,"")</f>
        <v/>
      </c>
      <c r="R376" s="83" t="str">
        <f ca="1">IF(N376 = "VENCIDO",BD!$F376,"")</f>
        <v/>
      </c>
      <c r="S376" s="85" t="str">
        <f ca="1">IF(N376 = "VENCIDO",BD!$G376,"")</f>
        <v/>
      </c>
      <c r="T376" s="83" t="str">
        <f ca="1">IF(AND(TODAY()&gt;BD!$C376, OR(BD!$D376="PENDENTE", BD!$D376="")), TODAY()-BD!$C376, "")</f>
        <v/>
      </c>
    </row>
    <row r="377" spans="1:20" ht="14.25" customHeight="1" x14ac:dyDescent="0.35">
      <c r="A377" s="32"/>
      <c r="B377" s="82">
        <f>'JUN-26'!A8</f>
        <v>0</v>
      </c>
      <c r="C377" s="82">
        <f>'JUN-26'!B8</f>
        <v>0</v>
      </c>
      <c r="D377" s="82">
        <f>'JUN-26'!C8</f>
        <v>0</v>
      </c>
      <c r="E377" s="83">
        <f>'JUN-26'!D8</f>
        <v>0</v>
      </c>
      <c r="F377" s="84">
        <f>'JUN-26'!E8</f>
        <v>0</v>
      </c>
      <c r="G377" s="85">
        <f>'JUN-26'!F8</f>
        <v>0</v>
      </c>
      <c r="H377" s="85">
        <f t="shared" si="0"/>
        <v>0</v>
      </c>
      <c r="I377" s="83" t="s">
        <v>100</v>
      </c>
      <c r="J377" s="83" t="str">
        <f t="shared" si="1"/>
        <v/>
      </c>
      <c r="K377" s="85">
        <f t="shared" si="2"/>
        <v>0</v>
      </c>
      <c r="L377" s="83" t="str">
        <f t="shared" si="3"/>
        <v/>
      </c>
      <c r="M377" s="83">
        <f>'JUN-26'!H8</f>
        <v>0</v>
      </c>
      <c r="N377" s="92" t="str">
        <f ca="1">IF(BD!$C377="","",IF(AND(TODAY()&gt;BD!$C377,OR(BD!$D377="PENDENTE",BD!$D377="")),"VENCIDO",""))</f>
        <v/>
      </c>
      <c r="O377" s="82" t="str">
        <f ca="1">IF(N377 = "VENCIDO",BD!$B377,"")</f>
        <v/>
      </c>
      <c r="P377" s="82" t="str">
        <f ca="1">IF(N377 = "VENCIDO",BD!$C377,"")</f>
        <v/>
      </c>
      <c r="Q377" s="83" t="str">
        <f ca="1">IF(N377 = "VENCIDO",BD!$E377,"")</f>
        <v/>
      </c>
      <c r="R377" s="83" t="str">
        <f ca="1">IF(N377 = "VENCIDO",BD!$F377,"")</f>
        <v/>
      </c>
      <c r="S377" s="85" t="str">
        <f ca="1">IF(N377 = "VENCIDO",BD!$G377,"")</f>
        <v/>
      </c>
      <c r="T377" s="83" t="str">
        <f ca="1">IF(AND(TODAY()&gt;BD!$C377, OR(BD!$D377="PENDENTE", BD!$D377="")), TODAY()-BD!$C377, "")</f>
        <v/>
      </c>
    </row>
    <row r="378" spans="1:20" ht="14.25" customHeight="1" x14ac:dyDescent="0.35">
      <c r="A378" s="32"/>
      <c r="B378" s="82">
        <f>'JUN-26'!A9</f>
        <v>0</v>
      </c>
      <c r="C378" s="82">
        <f>'JUN-26'!B9</f>
        <v>0</v>
      </c>
      <c r="D378" s="82">
        <f>'JUN-26'!C9</f>
        <v>0</v>
      </c>
      <c r="E378" s="83">
        <f>'JUN-26'!D9</f>
        <v>0</v>
      </c>
      <c r="F378" s="84">
        <f>'JUN-26'!E9</f>
        <v>0</v>
      </c>
      <c r="G378" s="85">
        <f>'JUN-26'!F9</f>
        <v>0</v>
      </c>
      <c r="H378" s="85">
        <f t="shared" si="0"/>
        <v>0</v>
      </c>
      <c r="I378" s="83" t="s">
        <v>100</v>
      </c>
      <c r="J378" s="83" t="str">
        <f t="shared" si="1"/>
        <v/>
      </c>
      <c r="K378" s="85">
        <f t="shared" si="2"/>
        <v>0</v>
      </c>
      <c r="L378" s="83" t="str">
        <f t="shared" si="3"/>
        <v/>
      </c>
      <c r="M378" s="83">
        <f>'JUN-26'!H9</f>
        <v>0</v>
      </c>
      <c r="N378" s="92" t="str">
        <f ca="1">IF(BD!$C378="","",IF(AND(TODAY()&gt;BD!$C378,OR(BD!$D378="PENDENTE",BD!$D378="")),"VENCIDO",""))</f>
        <v/>
      </c>
      <c r="O378" s="82" t="str">
        <f ca="1">IF(N378 = "VENCIDO",BD!$B378,"")</f>
        <v/>
      </c>
      <c r="P378" s="82" t="str">
        <f ca="1">IF(N378 = "VENCIDO",BD!$C378,"")</f>
        <v/>
      </c>
      <c r="Q378" s="83" t="str">
        <f ca="1">IF(N378 = "VENCIDO",BD!$E378,"")</f>
        <v/>
      </c>
      <c r="R378" s="83" t="str">
        <f ca="1">IF(N378 = "VENCIDO",BD!$F378,"")</f>
        <v/>
      </c>
      <c r="S378" s="85" t="str">
        <f ca="1">IF(N378 = "VENCIDO",BD!$G378,"")</f>
        <v/>
      </c>
      <c r="T378" s="83" t="str">
        <f ca="1">IF(AND(TODAY()&gt;BD!$C378, OR(BD!$D378="PENDENTE", BD!$D378="")), TODAY()-BD!$C378, "")</f>
        <v/>
      </c>
    </row>
    <row r="379" spans="1:20" ht="14.25" customHeight="1" x14ac:dyDescent="0.35">
      <c r="A379" s="32"/>
      <c r="B379" s="82">
        <f>'JUN-26'!A10</f>
        <v>0</v>
      </c>
      <c r="C379" s="82">
        <f>'JUN-26'!B10</f>
        <v>0</v>
      </c>
      <c r="D379" s="82">
        <f>'JUN-26'!C10</f>
        <v>0</v>
      </c>
      <c r="E379" s="83">
        <f>'JUN-26'!D10</f>
        <v>0</v>
      </c>
      <c r="F379" s="84">
        <f>'JUN-26'!E10</f>
        <v>0</v>
      </c>
      <c r="G379" s="85">
        <f>'JUN-26'!F10</f>
        <v>0</v>
      </c>
      <c r="H379" s="85">
        <f t="shared" si="0"/>
        <v>0</v>
      </c>
      <c r="I379" s="83" t="s">
        <v>100</v>
      </c>
      <c r="J379" s="83" t="str">
        <f t="shared" si="1"/>
        <v/>
      </c>
      <c r="K379" s="85">
        <f t="shared" si="2"/>
        <v>0</v>
      </c>
      <c r="L379" s="83" t="str">
        <f t="shared" si="3"/>
        <v/>
      </c>
      <c r="M379" s="83">
        <f>'JUN-26'!H10</f>
        <v>0</v>
      </c>
      <c r="N379" s="92" t="str">
        <f ca="1">IF(BD!$C379="","",IF(AND(TODAY()&gt;BD!$C379,OR(BD!$D379="PENDENTE",BD!$D379="")),"VENCIDO",""))</f>
        <v/>
      </c>
      <c r="O379" s="82" t="str">
        <f ca="1">IF(N379 = "VENCIDO",BD!$B379,"")</f>
        <v/>
      </c>
      <c r="P379" s="82" t="str">
        <f ca="1">IF(N379 = "VENCIDO",BD!$C379,"")</f>
        <v/>
      </c>
      <c r="Q379" s="83" t="str">
        <f ca="1">IF(N379 = "VENCIDO",BD!$E379,"")</f>
        <v/>
      </c>
      <c r="R379" s="83" t="str">
        <f ca="1">IF(N379 = "VENCIDO",BD!$F379,"")</f>
        <v/>
      </c>
      <c r="S379" s="85" t="str">
        <f ca="1">IF(N379 = "VENCIDO",BD!$G379,"")</f>
        <v/>
      </c>
      <c r="T379" s="83" t="str">
        <f ca="1">IF(AND(TODAY()&gt;BD!$C379, OR(BD!$D379="PENDENTE", BD!$D379="")), TODAY()-BD!$C379, "")</f>
        <v/>
      </c>
    </row>
    <row r="380" spans="1:20" ht="14.25" customHeight="1" x14ac:dyDescent="0.35">
      <c r="A380" s="32"/>
      <c r="B380" s="82">
        <f>'JUN-26'!A11</f>
        <v>0</v>
      </c>
      <c r="C380" s="82">
        <f>'JUN-26'!B11</f>
        <v>0</v>
      </c>
      <c r="D380" s="82">
        <f>'JUN-26'!C11</f>
        <v>0</v>
      </c>
      <c r="E380" s="83">
        <f>'JUN-26'!D11</f>
        <v>0</v>
      </c>
      <c r="F380" s="84">
        <f>'JUN-26'!E11</f>
        <v>0</v>
      </c>
      <c r="G380" s="85">
        <f>'JUN-26'!F11</f>
        <v>0</v>
      </c>
      <c r="H380" s="85">
        <f t="shared" si="0"/>
        <v>0</v>
      </c>
      <c r="I380" s="83" t="s">
        <v>100</v>
      </c>
      <c r="J380" s="83" t="str">
        <f t="shared" si="1"/>
        <v/>
      </c>
      <c r="K380" s="85">
        <f t="shared" si="2"/>
        <v>0</v>
      </c>
      <c r="L380" s="83" t="str">
        <f t="shared" si="3"/>
        <v/>
      </c>
      <c r="M380" s="83">
        <f>'JUN-26'!H11</f>
        <v>0</v>
      </c>
      <c r="N380" s="92" t="str">
        <f ca="1">IF(BD!$C380="","",IF(AND(TODAY()&gt;BD!$C380,OR(BD!$D380="PENDENTE",BD!$D380="")),"VENCIDO",""))</f>
        <v/>
      </c>
      <c r="O380" s="82" t="str">
        <f ca="1">IF(N380 = "VENCIDO",BD!$B380,"")</f>
        <v/>
      </c>
      <c r="P380" s="82" t="str">
        <f ca="1">IF(N380 = "VENCIDO",BD!$C380,"")</f>
        <v/>
      </c>
      <c r="Q380" s="83" t="str">
        <f ca="1">IF(N380 = "VENCIDO",BD!$E380,"")</f>
        <v/>
      </c>
      <c r="R380" s="83" t="str">
        <f ca="1">IF(N380 = "VENCIDO",BD!$F380,"")</f>
        <v/>
      </c>
      <c r="S380" s="85" t="str">
        <f ca="1">IF(N380 = "VENCIDO",BD!$G380,"")</f>
        <v/>
      </c>
      <c r="T380" s="83" t="str">
        <f ca="1">IF(AND(TODAY()&gt;BD!$C380, OR(BD!$D380="PENDENTE", BD!$D380="")), TODAY()-BD!$C380, "")</f>
        <v/>
      </c>
    </row>
    <row r="381" spans="1:20" ht="14.25" customHeight="1" x14ac:dyDescent="0.35">
      <c r="A381" s="32"/>
      <c r="B381" s="82">
        <f>'JUN-26'!A12</f>
        <v>0</v>
      </c>
      <c r="C381" s="82">
        <f>'JUN-26'!B12</f>
        <v>0</v>
      </c>
      <c r="D381" s="82">
        <f>'JUN-26'!C12</f>
        <v>0</v>
      </c>
      <c r="E381" s="83">
        <f>'JUN-26'!D12</f>
        <v>0</v>
      </c>
      <c r="F381" s="84">
        <f>'JUN-26'!E12</f>
        <v>0</v>
      </c>
      <c r="G381" s="85">
        <f>'JUN-26'!F12</f>
        <v>0</v>
      </c>
      <c r="H381" s="85">
        <f t="shared" si="0"/>
        <v>0</v>
      </c>
      <c r="I381" s="83" t="s">
        <v>100</v>
      </c>
      <c r="J381" s="83" t="str">
        <f t="shared" si="1"/>
        <v/>
      </c>
      <c r="K381" s="85">
        <f t="shared" si="2"/>
        <v>0</v>
      </c>
      <c r="L381" s="83" t="str">
        <f t="shared" si="3"/>
        <v/>
      </c>
      <c r="M381" s="83">
        <f>'JUN-26'!H12</f>
        <v>0</v>
      </c>
      <c r="N381" s="92" t="str">
        <f ca="1">IF(BD!$C381="","",IF(AND(TODAY()&gt;BD!$C381,OR(BD!$D381="PENDENTE",BD!$D381="")),"VENCIDO",""))</f>
        <v/>
      </c>
      <c r="O381" s="82" t="str">
        <f ca="1">IF(N381 = "VENCIDO",BD!$B381,"")</f>
        <v/>
      </c>
      <c r="P381" s="82" t="str">
        <f ca="1">IF(N381 = "VENCIDO",BD!$C381,"")</f>
        <v/>
      </c>
      <c r="Q381" s="83" t="str">
        <f ca="1">IF(N381 = "VENCIDO",BD!$E381,"")</f>
        <v/>
      </c>
      <c r="R381" s="83" t="str">
        <f ca="1">IF(N381 = "VENCIDO",BD!$F381,"")</f>
        <v/>
      </c>
      <c r="S381" s="85" t="str">
        <f ca="1">IF(N381 = "VENCIDO",BD!$G381,"")</f>
        <v/>
      </c>
      <c r="T381" s="83" t="str">
        <f ca="1">IF(AND(TODAY()&gt;BD!$C381, OR(BD!$D381="PENDENTE", BD!$D381="")), TODAY()-BD!$C381, "")</f>
        <v/>
      </c>
    </row>
    <row r="382" spans="1:20" ht="14.25" customHeight="1" x14ac:dyDescent="0.35">
      <c r="A382" s="32"/>
      <c r="B382" s="82">
        <f>'JUN-26'!A13</f>
        <v>0</v>
      </c>
      <c r="C382" s="82">
        <f>'JUN-26'!B13</f>
        <v>0</v>
      </c>
      <c r="D382" s="82">
        <f>'JUN-26'!C13</f>
        <v>0</v>
      </c>
      <c r="E382" s="83">
        <f>'JUN-26'!D13</f>
        <v>0</v>
      </c>
      <c r="F382" s="84">
        <f>'JUN-26'!E13</f>
        <v>0</v>
      </c>
      <c r="G382" s="85">
        <f>'JUN-26'!F13</f>
        <v>0</v>
      </c>
      <c r="H382" s="85">
        <f t="shared" si="0"/>
        <v>0</v>
      </c>
      <c r="I382" s="83" t="s">
        <v>100</v>
      </c>
      <c r="J382" s="83" t="str">
        <f t="shared" si="1"/>
        <v/>
      </c>
      <c r="K382" s="85">
        <f t="shared" si="2"/>
        <v>0</v>
      </c>
      <c r="L382" s="83" t="str">
        <f t="shared" si="3"/>
        <v/>
      </c>
      <c r="M382" s="83">
        <f>'JUN-26'!H13</f>
        <v>0</v>
      </c>
      <c r="N382" s="92" t="str">
        <f ca="1">IF(BD!$C382="","",IF(AND(TODAY()&gt;BD!$C382,OR(BD!$D382="PENDENTE",BD!$D382="")),"VENCIDO",""))</f>
        <v/>
      </c>
      <c r="O382" s="82" t="str">
        <f ca="1">IF(N382 = "VENCIDO",BD!$B382,"")</f>
        <v/>
      </c>
      <c r="P382" s="82" t="str">
        <f ca="1">IF(N382 = "VENCIDO",BD!$C382,"")</f>
        <v/>
      </c>
      <c r="Q382" s="83" t="str">
        <f ca="1">IF(N382 = "VENCIDO",BD!$E382,"")</f>
        <v/>
      </c>
      <c r="R382" s="83" t="str">
        <f ca="1">IF(N382 = "VENCIDO",BD!$F382,"")</f>
        <v/>
      </c>
      <c r="S382" s="85" t="str">
        <f ca="1">IF(N382 = "VENCIDO",BD!$G382,"")</f>
        <v/>
      </c>
      <c r="T382" s="83" t="str">
        <f ca="1">IF(AND(TODAY()&gt;BD!$C382, OR(BD!$D382="PENDENTE", BD!$D382="")), TODAY()-BD!$C382, "")</f>
        <v/>
      </c>
    </row>
    <row r="383" spans="1:20" ht="14.25" customHeight="1" x14ac:dyDescent="0.35">
      <c r="A383" s="32"/>
      <c r="B383" s="82">
        <f>'JUN-26'!A14</f>
        <v>0</v>
      </c>
      <c r="C383" s="82">
        <f>'JUN-26'!B14</f>
        <v>0</v>
      </c>
      <c r="D383" s="82">
        <f>'JUN-26'!C14</f>
        <v>0</v>
      </c>
      <c r="E383" s="83">
        <f>'JUN-26'!D14</f>
        <v>0</v>
      </c>
      <c r="F383" s="84">
        <f>'JUN-26'!E14</f>
        <v>0</v>
      </c>
      <c r="G383" s="85">
        <f>'JUN-26'!F14</f>
        <v>0</v>
      </c>
      <c r="H383" s="85">
        <f t="shared" si="0"/>
        <v>0</v>
      </c>
      <c r="I383" s="83" t="s">
        <v>100</v>
      </c>
      <c r="J383" s="83" t="str">
        <f t="shared" si="1"/>
        <v/>
      </c>
      <c r="K383" s="85">
        <f t="shared" si="2"/>
        <v>0</v>
      </c>
      <c r="L383" s="83" t="str">
        <f t="shared" si="3"/>
        <v/>
      </c>
      <c r="M383" s="83">
        <f>'JUN-26'!H14</f>
        <v>0</v>
      </c>
      <c r="N383" s="92" t="str">
        <f ca="1">IF(BD!$C383="","",IF(AND(TODAY()&gt;BD!$C383,OR(BD!$D383="PENDENTE",BD!$D383="")),"VENCIDO",""))</f>
        <v/>
      </c>
      <c r="O383" s="82" t="str">
        <f ca="1">IF(N383 = "VENCIDO",BD!$B383,"")</f>
        <v/>
      </c>
      <c r="P383" s="82" t="str">
        <f ca="1">IF(N383 = "VENCIDO",BD!$C383,"")</f>
        <v/>
      </c>
      <c r="Q383" s="83" t="str">
        <f ca="1">IF(N383 = "VENCIDO",BD!$E383,"")</f>
        <v/>
      </c>
      <c r="R383" s="83" t="str">
        <f ca="1">IF(N383 = "VENCIDO",BD!$F383,"")</f>
        <v/>
      </c>
      <c r="S383" s="85" t="str">
        <f ca="1">IF(N383 = "VENCIDO",BD!$G383,"")</f>
        <v/>
      </c>
      <c r="T383" s="83" t="str">
        <f ca="1">IF(AND(TODAY()&gt;BD!$C383, OR(BD!$D383="PENDENTE", BD!$D383="")), TODAY()-BD!$C383, "")</f>
        <v/>
      </c>
    </row>
    <row r="384" spans="1:20" ht="14.25" customHeight="1" x14ac:dyDescent="0.35">
      <c r="A384" s="32"/>
      <c r="B384" s="82">
        <f>'JUN-26'!A15</f>
        <v>0</v>
      </c>
      <c r="C384" s="82">
        <f>'JUN-26'!B15</f>
        <v>0</v>
      </c>
      <c r="D384" s="82">
        <f>'JUN-26'!C15</f>
        <v>0</v>
      </c>
      <c r="E384" s="83">
        <f>'JUN-26'!D15</f>
        <v>0</v>
      </c>
      <c r="F384" s="84">
        <f>'JUN-26'!E15</f>
        <v>0</v>
      </c>
      <c r="G384" s="85">
        <f>'JUN-26'!F15</f>
        <v>0</v>
      </c>
      <c r="H384" s="85">
        <f t="shared" si="0"/>
        <v>0</v>
      </c>
      <c r="I384" s="83" t="s">
        <v>100</v>
      </c>
      <c r="J384" s="83" t="str">
        <f t="shared" si="1"/>
        <v/>
      </c>
      <c r="K384" s="85">
        <f t="shared" si="2"/>
        <v>0</v>
      </c>
      <c r="L384" s="83" t="str">
        <f t="shared" si="3"/>
        <v/>
      </c>
      <c r="M384" s="83">
        <f>'JUN-26'!H15</f>
        <v>0</v>
      </c>
      <c r="N384" s="92" t="str">
        <f ca="1">IF(BD!$C384="","",IF(AND(TODAY()&gt;BD!$C384,OR(BD!$D384="PENDENTE",BD!$D384="")),"VENCIDO",""))</f>
        <v/>
      </c>
      <c r="O384" s="82" t="str">
        <f ca="1">IF(N384 = "VENCIDO",BD!$B384,"")</f>
        <v/>
      </c>
      <c r="P384" s="82" t="str">
        <f ca="1">IF(N384 = "VENCIDO",BD!$C384,"")</f>
        <v/>
      </c>
      <c r="Q384" s="83" t="str">
        <f ca="1">IF(N384 = "VENCIDO",BD!$E384,"")</f>
        <v/>
      </c>
      <c r="R384" s="83" t="str">
        <f ca="1">IF(N384 = "VENCIDO",BD!$F384,"")</f>
        <v/>
      </c>
      <c r="S384" s="85" t="str">
        <f ca="1">IF(N384 = "VENCIDO",BD!$G384,"")</f>
        <v/>
      </c>
      <c r="T384" s="83" t="str">
        <f ca="1">IF(AND(TODAY()&gt;BD!$C384, OR(BD!$D384="PENDENTE", BD!$D384="")), TODAY()-BD!$C384, "")</f>
        <v/>
      </c>
    </row>
    <row r="385" spans="1:20" ht="14.25" customHeight="1" x14ac:dyDescent="0.35">
      <c r="A385" s="32"/>
      <c r="B385" s="82">
        <f>'JUN-26'!A16</f>
        <v>0</v>
      </c>
      <c r="C385" s="82">
        <f>'JUN-26'!B16</f>
        <v>0</v>
      </c>
      <c r="D385" s="82">
        <f>'JUN-26'!C16</f>
        <v>0</v>
      </c>
      <c r="E385" s="83">
        <f>'JUN-26'!D16</f>
        <v>0</v>
      </c>
      <c r="F385" s="84">
        <f>'JUN-26'!E16</f>
        <v>0</v>
      </c>
      <c r="G385" s="85">
        <f>'JUN-26'!F16</f>
        <v>0</v>
      </c>
      <c r="H385" s="85">
        <f t="shared" si="0"/>
        <v>0</v>
      </c>
      <c r="I385" s="83" t="s">
        <v>100</v>
      </c>
      <c r="J385" s="83" t="str">
        <f t="shared" si="1"/>
        <v/>
      </c>
      <c r="K385" s="85">
        <f t="shared" si="2"/>
        <v>0</v>
      </c>
      <c r="L385" s="83" t="str">
        <f t="shared" si="3"/>
        <v/>
      </c>
      <c r="M385" s="83">
        <f>'JUN-26'!H16</f>
        <v>0</v>
      </c>
      <c r="N385" s="92" t="str">
        <f ca="1">IF(BD!$C385="","",IF(AND(TODAY()&gt;BD!$C385,OR(BD!$D385="PENDENTE",BD!$D385="")),"VENCIDO",""))</f>
        <v/>
      </c>
      <c r="O385" s="82" t="str">
        <f ca="1">IF(N385 = "VENCIDO",BD!$B385,"")</f>
        <v/>
      </c>
      <c r="P385" s="82" t="str">
        <f ca="1">IF(N385 = "VENCIDO",BD!$C385,"")</f>
        <v/>
      </c>
      <c r="Q385" s="83" t="str">
        <f ca="1">IF(N385 = "VENCIDO",BD!$E385,"")</f>
        <v/>
      </c>
      <c r="R385" s="83" t="str">
        <f ca="1">IF(N385 = "VENCIDO",BD!$F385,"")</f>
        <v/>
      </c>
      <c r="S385" s="85" t="str">
        <f ca="1">IF(N385 = "VENCIDO",BD!$G385,"")</f>
        <v/>
      </c>
      <c r="T385" s="83" t="str">
        <f ca="1">IF(AND(TODAY()&gt;BD!$C385, OR(BD!$D385="PENDENTE", BD!$D385="")), TODAY()-BD!$C385, "")</f>
        <v/>
      </c>
    </row>
    <row r="386" spans="1:20" ht="14.25" customHeight="1" x14ac:dyDescent="0.35">
      <c r="A386" s="32"/>
      <c r="B386" s="82">
        <f>'JUN-26'!A17</f>
        <v>0</v>
      </c>
      <c r="C386" s="82">
        <f>'JUN-26'!B17</f>
        <v>0</v>
      </c>
      <c r="D386" s="82">
        <f>'JUN-26'!C17</f>
        <v>0</v>
      </c>
      <c r="E386" s="83">
        <f>'JUN-26'!D17</f>
        <v>0</v>
      </c>
      <c r="F386" s="84">
        <f>'JUN-26'!E17</f>
        <v>0</v>
      </c>
      <c r="G386" s="85">
        <f>'JUN-26'!F17</f>
        <v>0</v>
      </c>
      <c r="H386" s="85">
        <f t="shared" si="0"/>
        <v>0</v>
      </c>
      <c r="I386" s="83" t="s">
        <v>100</v>
      </c>
      <c r="J386" s="83" t="str">
        <f t="shared" si="1"/>
        <v/>
      </c>
      <c r="K386" s="85">
        <f t="shared" si="2"/>
        <v>0</v>
      </c>
      <c r="L386" s="83" t="str">
        <f t="shared" si="3"/>
        <v/>
      </c>
      <c r="M386" s="83">
        <f>'JUN-26'!H17</f>
        <v>0</v>
      </c>
      <c r="N386" s="92" t="str">
        <f ca="1">IF(BD!$C386="","",IF(AND(TODAY()&gt;BD!$C386,OR(BD!$D386="PENDENTE",BD!$D386="")),"VENCIDO",""))</f>
        <v/>
      </c>
      <c r="O386" s="82" t="str">
        <f ca="1">IF(N386 = "VENCIDO",BD!$B386,"")</f>
        <v/>
      </c>
      <c r="P386" s="82" t="str">
        <f ca="1">IF(N386 = "VENCIDO",BD!$C386,"")</f>
        <v/>
      </c>
      <c r="Q386" s="83" t="str">
        <f ca="1">IF(N386 = "VENCIDO",BD!$E386,"")</f>
        <v/>
      </c>
      <c r="R386" s="83" t="str">
        <f ca="1">IF(N386 = "VENCIDO",BD!$F386,"")</f>
        <v/>
      </c>
      <c r="S386" s="85" t="str">
        <f ca="1">IF(N386 = "VENCIDO",BD!$G386,"")</f>
        <v/>
      </c>
      <c r="T386" s="83" t="str">
        <f ca="1">IF(AND(TODAY()&gt;BD!$C386, OR(BD!$D386="PENDENTE", BD!$D386="")), TODAY()-BD!$C386, "")</f>
        <v/>
      </c>
    </row>
    <row r="387" spans="1:20" ht="14.25" customHeight="1" x14ac:dyDescent="0.35">
      <c r="A387" s="32"/>
      <c r="B387" s="82">
        <f>'JUN-26'!A18</f>
        <v>0</v>
      </c>
      <c r="C387" s="82">
        <f>'JUN-26'!B18</f>
        <v>0</v>
      </c>
      <c r="D387" s="82">
        <f>'JUN-26'!C18</f>
        <v>0</v>
      </c>
      <c r="E387" s="83">
        <f>'JUN-26'!D18</f>
        <v>0</v>
      </c>
      <c r="F387" s="84">
        <f>'JUN-26'!E18</f>
        <v>0</v>
      </c>
      <c r="G387" s="85">
        <f>'JUN-26'!F18</f>
        <v>0</v>
      </c>
      <c r="H387" s="85">
        <f t="shared" si="0"/>
        <v>0</v>
      </c>
      <c r="I387" s="83" t="s">
        <v>100</v>
      </c>
      <c r="J387" s="83" t="str">
        <f t="shared" si="1"/>
        <v/>
      </c>
      <c r="K387" s="85">
        <f t="shared" si="2"/>
        <v>0</v>
      </c>
      <c r="L387" s="83" t="str">
        <f t="shared" si="3"/>
        <v/>
      </c>
      <c r="M387" s="83">
        <f>'JUN-26'!H18</f>
        <v>0</v>
      </c>
      <c r="N387" s="92" t="str">
        <f ca="1">IF(BD!$C387="","",IF(AND(TODAY()&gt;BD!$C387,OR(BD!$D387="PENDENTE",BD!$D387="")),"VENCIDO",""))</f>
        <v/>
      </c>
      <c r="O387" s="82" t="str">
        <f ca="1">IF(N387 = "VENCIDO",BD!$B387,"")</f>
        <v/>
      </c>
      <c r="P387" s="82" t="str">
        <f ca="1">IF(N387 = "VENCIDO",BD!$C387,"")</f>
        <v/>
      </c>
      <c r="Q387" s="83" t="str">
        <f ca="1">IF(N387 = "VENCIDO",BD!$E387,"")</f>
        <v/>
      </c>
      <c r="R387" s="83" t="str">
        <f ca="1">IF(N387 = "VENCIDO",BD!$F387,"")</f>
        <v/>
      </c>
      <c r="S387" s="85" t="str">
        <f ca="1">IF(N387 = "VENCIDO",BD!$G387,"")</f>
        <v/>
      </c>
      <c r="T387" s="83" t="str">
        <f ca="1">IF(AND(TODAY()&gt;BD!$C387, OR(BD!$D387="PENDENTE", BD!$D387="")), TODAY()-BD!$C387, "")</f>
        <v/>
      </c>
    </row>
    <row r="388" spans="1:20" ht="14.25" customHeight="1" x14ac:dyDescent="0.35">
      <c r="A388" s="32"/>
      <c r="B388" s="82">
        <f>'JUN-26'!A19</f>
        <v>0</v>
      </c>
      <c r="C388" s="82">
        <f>'JUN-26'!B19</f>
        <v>0</v>
      </c>
      <c r="D388" s="82">
        <f>'JUN-26'!C19</f>
        <v>0</v>
      </c>
      <c r="E388" s="83">
        <f>'JUN-26'!D19</f>
        <v>0</v>
      </c>
      <c r="F388" s="84">
        <f>'JUN-26'!E19</f>
        <v>0</v>
      </c>
      <c r="G388" s="85">
        <f>'JUN-26'!F19</f>
        <v>0</v>
      </c>
      <c r="H388" s="85">
        <f t="shared" si="0"/>
        <v>0</v>
      </c>
      <c r="I388" s="83" t="s">
        <v>100</v>
      </c>
      <c r="J388" s="83" t="str">
        <f t="shared" si="1"/>
        <v/>
      </c>
      <c r="K388" s="85">
        <f t="shared" si="2"/>
        <v>0</v>
      </c>
      <c r="L388" s="83" t="str">
        <f t="shared" si="3"/>
        <v/>
      </c>
      <c r="M388" s="83">
        <f>'JUN-26'!H19</f>
        <v>0</v>
      </c>
      <c r="N388" s="92" t="str">
        <f ca="1">IF(BD!$C388="","",IF(AND(TODAY()&gt;BD!$C388,OR(BD!$D388="PENDENTE",BD!$D388="")),"VENCIDO",""))</f>
        <v/>
      </c>
      <c r="O388" s="82" t="str">
        <f ca="1">IF(N388 = "VENCIDO",BD!$B388,"")</f>
        <v/>
      </c>
      <c r="P388" s="82" t="str">
        <f ca="1">IF(N388 = "VENCIDO",BD!$C388,"")</f>
        <v/>
      </c>
      <c r="Q388" s="83" t="str">
        <f ca="1">IF(N388 = "VENCIDO",BD!$E388,"")</f>
        <v/>
      </c>
      <c r="R388" s="83" t="str">
        <f ca="1">IF(N388 = "VENCIDO",BD!$F388,"")</f>
        <v/>
      </c>
      <c r="S388" s="85" t="str">
        <f ca="1">IF(N388 = "VENCIDO",BD!$G388,"")</f>
        <v/>
      </c>
      <c r="T388" s="83" t="str">
        <f ca="1">IF(AND(TODAY()&gt;BD!$C388, OR(BD!$D388="PENDENTE", BD!$D388="")), TODAY()-BD!$C388, "")</f>
        <v/>
      </c>
    </row>
    <row r="389" spans="1:20" ht="14.25" customHeight="1" x14ac:dyDescent="0.35">
      <c r="A389" s="32"/>
      <c r="B389" s="82">
        <f>'JUN-26'!A20</f>
        <v>0</v>
      </c>
      <c r="C389" s="82">
        <f>'JUN-26'!B20</f>
        <v>0</v>
      </c>
      <c r="D389" s="82">
        <f>'JUN-26'!C20</f>
        <v>0</v>
      </c>
      <c r="E389" s="83">
        <f>'JUN-26'!D20</f>
        <v>0</v>
      </c>
      <c r="F389" s="84">
        <f>'JUN-26'!E20</f>
        <v>0</v>
      </c>
      <c r="G389" s="85">
        <f>'JUN-26'!F20</f>
        <v>0</v>
      </c>
      <c r="H389" s="85">
        <f t="shared" si="0"/>
        <v>0</v>
      </c>
      <c r="I389" s="83" t="s">
        <v>100</v>
      </c>
      <c r="J389" s="83" t="str">
        <f t="shared" si="1"/>
        <v/>
      </c>
      <c r="K389" s="85">
        <f t="shared" si="2"/>
        <v>0</v>
      </c>
      <c r="L389" s="83" t="str">
        <f t="shared" si="3"/>
        <v/>
      </c>
      <c r="M389" s="83">
        <f>'JUN-26'!H20</f>
        <v>0</v>
      </c>
      <c r="N389" s="92" t="str">
        <f ca="1">IF(BD!$C389="","",IF(AND(TODAY()&gt;BD!$C389,OR(BD!$D389="PENDENTE",BD!$D389="")),"VENCIDO",""))</f>
        <v/>
      </c>
      <c r="O389" s="82" t="str">
        <f ca="1">IF(N389 = "VENCIDO",BD!$B389,"")</f>
        <v/>
      </c>
      <c r="P389" s="82" t="str">
        <f ca="1">IF(N389 = "VENCIDO",BD!$C389,"")</f>
        <v/>
      </c>
      <c r="Q389" s="83" t="str">
        <f ca="1">IF(N389 = "VENCIDO",BD!$E389,"")</f>
        <v/>
      </c>
      <c r="R389" s="83" t="str">
        <f ca="1">IF(N389 = "VENCIDO",BD!$F389,"")</f>
        <v/>
      </c>
      <c r="S389" s="85" t="str">
        <f ca="1">IF(N389 = "VENCIDO",BD!$G389,"")</f>
        <v/>
      </c>
      <c r="T389" s="83" t="str">
        <f ca="1">IF(AND(TODAY()&gt;BD!$C389, OR(BD!$D389="PENDENTE", BD!$D389="")), TODAY()-BD!$C389, "")</f>
        <v/>
      </c>
    </row>
    <row r="390" spans="1:20" ht="14.25" customHeight="1" x14ac:dyDescent="0.35">
      <c r="A390" s="32"/>
      <c r="B390" s="82">
        <f>'JUN-26'!A21</f>
        <v>0</v>
      </c>
      <c r="C390" s="82">
        <f>'JUN-26'!B21</f>
        <v>0</v>
      </c>
      <c r="D390" s="82">
        <f>'JUN-26'!C21</f>
        <v>0</v>
      </c>
      <c r="E390" s="83">
        <f>'JUN-26'!D21</f>
        <v>0</v>
      </c>
      <c r="F390" s="84">
        <f>'JUN-26'!E21</f>
        <v>0</v>
      </c>
      <c r="G390" s="85">
        <f>'JUN-26'!F21</f>
        <v>0</v>
      </c>
      <c r="H390" s="85">
        <f t="shared" si="0"/>
        <v>0</v>
      </c>
      <c r="I390" s="83" t="s">
        <v>100</v>
      </c>
      <c r="J390" s="83" t="str">
        <f t="shared" si="1"/>
        <v/>
      </c>
      <c r="K390" s="85">
        <f t="shared" si="2"/>
        <v>0</v>
      </c>
      <c r="L390" s="83" t="str">
        <f t="shared" si="3"/>
        <v/>
      </c>
      <c r="M390" s="83">
        <f>'JUN-26'!H21</f>
        <v>0</v>
      </c>
      <c r="N390" s="92" t="str">
        <f ca="1">IF(BD!$C390="","",IF(AND(TODAY()&gt;BD!$C390,OR(BD!$D390="PENDENTE",BD!$D390="")),"VENCIDO",""))</f>
        <v/>
      </c>
      <c r="O390" s="82" t="str">
        <f ca="1">IF(N390 = "VENCIDO",BD!$B390,"")</f>
        <v/>
      </c>
      <c r="P390" s="82" t="str">
        <f ca="1">IF(N390 = "VENCIDO",BD!$C390,"")</f>
        <v/>
      </c>
      <c r="Q390" s="83" t="str">
        <f ca="1">IF(N390 = "VENCIDO",BD!$E390,"")</f>
        <v/>
      </c>
      <c r="R390" s="83" t="str">
        <f ca="1">IF(N390 = "VENCIDO",BD!$F390,"")</f>
        <v/>
      </c>
      <c r="S390" s="85" t="str">
        <f ca="1">IF(N390 = "VENCIDO",BD!$G390,"")</f>
        <v/>
      </c>
      <c r="T390" s="83" t="str">
        <f ca="1">IF(AND(TODAY()&gt;BD!$C390, OR(BD!$D390="PENDENTE", BD!$D390="")), TODAY()-BD!$C390, "")</f>
        <v/>
      </c>
    </row>
    <row r="391" spans="1:20" ht="14.25" customHeight="1" x14ac:dyDescent="0.35">
      <c r="A391" s="32"/>
      <c r="B391" s="82">
        <f>'JUN-26'!A22</f>
        <v>0</v>
      </c>
      <c r="C391" s="82">
        <f>'JUN-26'!B22</f>
        <v>0</v>
      </c>
      <c r="D391" s="82">
        <f>'JUN-26'!C22</f>
        <v>0</v>
      </c>
      <c r="E391" s="83">
        <f>'JUN-26'!D22</f>
        <v>0</v>
      </c>
      <c r="F391" s="84">
        <f>'JUN-26'!E22</f>
        <v>0</v>
      </c>
      <c r="G391" s="85">
        <f>'JUN-26'!F22</f>
        <v>0</v>
      </c>
      <c r="H391" s="85">
        <f t="shared" si="0"/>
        <v>0</v>
      </c>
      <c r="I391" s="83" t="s">
        <v>100</v>
      </c>
      <c r="J391" s="83" t="str">
        <f t="shared" si="1"/>
        <v/>
      </c>
      <c r="K391" s="85">
        <f t="shared" si="2"/>
        <v>0</v>
      </c>
      <c r="L391" s="83" t="str">
        <f t="shared" si="3"/>
        <v/>
      </c>
      <c r="M391" s="83">
        <f>'JUN-26'!H22</f>
        <v>0</v>
      </c>
      <c r="N391" s="92" t="str">
        <f ca="1">IF(BD!$C391="","",IF(AND(TODAY()&gt;BD!$C391,OR(BD!$D391="PENDENTE",BD!$D391="")),"VENCIDO",""))</f>
        <v/>
      </c>
      <c r="O391" s="82" t="str">
        <f ca="1">IF(N391 = "VENCIDO",BD!$B391,"")</f>
        <v/>
      </c>
      <c r="P391" s="82" t="str">
        <f ca="1">IF(N391 = "VENCIDO",BD!$C391,"")</f>
        <v/>
      </c>
      <c r="Q391" s="83" t="str">
        <f ca="1">IF(N391 = "VENCIDO",BD!$E391,"")</f>
        <v/>
      </c>
      <c r="R391" s="83" t="str">
        <f ca="1">IF(N391 = "VENCIDO",BD!$F391,"")</f>
        <v/>
      </c>
      <c r="S391" s="85" t="str">
        <f ca="1">IF(N391 = "VENCIDO",BD!$G391,"")</f>
        <v/>
      </c>
      <c r="T391" s="83" t="str">
        <f ca="1">IF(AND(TODAY()&gt;BD!$C391, OR(BD!$D391="PENDENTE", BD!$D391="")), TODAY()-BD!$C391, "")</f>
        <v/>
      </c>
    </row>
    <row r="392" spans="1:20" ht="14.25" customHeight="1" x14ac:dyDescent="0.35">
      <c r="A392" s="32"/>
      <c r="B392" s="82">
        <f>'JUN-26'!A23</f>
        <v>0</v>
      </c>
      <c r="C392" s="82">
        <f>'JUN-26'!B23</f>
        <v>0</v>
      </c>
      <c r="D392" s="82">
        <f>'JUN-26'!C23</f>
        <v>0</v>
      </c>
      <c r="E392" s="83">
        <f>'JUN-26'!D23</f>
        <v>0</v>
      </c>
      <c r="F392" s="84">
        <f>'JUN-26'!E23</f>
        <v>0</v>
      </c>
      <c r="G392" s="85">
        <f>'JUN-26'!F23</f>
        <v>0</v>
      </c>
      <c r="H392" s="85">
        <f t="shared" si="0"/>
        <v>0</v>
      </c>
      <c r="I392" s="83" t="s">
        <v>100</v>
      </c>
      <c r="J392" s="83" t="str">
        <f t="shared" si="1"/>
        <v/>
      </c>
      <c r="K392" s="85">
        <f t="shared" si="2"/>
        <v>0</v>
      </c>
      <c r="L392" s="83" t="str">
        <f t="shared" si="3"/>
        <v/>
      </c>
      <c r="M392" s="83">
        <f>'JUN-26'!H23</f>
        <v>0</v>
      </c>
      <c r="N392" s="92" t="str">
        <f ca="1">IF(BD!$C392="","",IF(AND(TODAY()&gt;BD!$C392,OR(BD!$D392="PENDENTE",BD!$D392="")),"VENCIDO",""))</f>
        <v/>
      </c>
      <c r="O392" s="82" t="str">
        <f ca="1">IF(N392 = "VENCIDO",BD!$B392,"")</f>
        <v/>
      </c>
      <c r="P392" s="82" t="str">
        <f ca="1">IF(N392 = "VENCIDO",BD!$C392,"")</f>
        <v/>
      </c>
      <c r="Q392" s="83" t="str">
        <f ca="1">IF(N392 = "VENCIDO",BD!$E392,"")</f>
        <v/>
      </c>
      <c r="R392" s="83" t="str">
        <f ca="1">IF(N392 = "VENCIDO",BD!$F392,"")</f>
        <v/>
      </c>
      <c r="S392" s="85" t="str">
        <f ca="1">IF(N392 = "VENCIDO",BD!$G392,"")</f>
        <v/>
      </c>
      <c r="T392" s="83" t="str">
        <f ca="1">IF(AND(TODAY()&gt;BD!$C392, OR(BD!$D392="PENDENTE", BD!$D392="")), TODAY()-BD!$C392, "")</f>
        <v/>
      </c>
    </row>
    <row r="393" spans="1:20" ht="14.25" customHeight="1" x14ac:dyDescent="0.35">
      <c r="A393" s="32"/>
      <c r="B393" s="82">
        <f>'JUN-26'!A24</f>
        <v>0</v>
      </c>
      <c r="C393" s="82">
        <f>'JUN-26'!B24</f>
        <v>0</v>
      </c>
      <c r="D393" s="82">
        <f>'JUN-26'!C24</f>
        <v>0</v>
      </c>
      <c r="E393" s="83">
        <f>'JUN-26'!D24</f>
        <v>0</v>
      </c>
      <c r="F393" s="84">
        <f>'JUN-26'!E24</f>
        <v>0</v>
      </c>
      <c r="G393" s="85">
        <f>'JUN-26'!F24</f>
        <v>0</v>
      </c>
      <c r="H393" s="85">
        <f t="shared" si="0"/>
        <v>0</v>
      </c>
      <c r="I393" s="83" t="s">
        <v>100</v>
      </c>
      <c r="J393" s="83" t="str">
        <f t="shared" si="1"/>
        <v/>
      </c>
      <c r="K393" s="85">
        <f t="shared" si="2"/>
        <v>0</v>
      </c>
      <c r="L393" s="83" t="str">
        <f t="shared" si="3"/>
        <v/>
      </c>
      <c r="M393" s="83">
        <f>'JUN-26'!H24</f>
        <v>0</v>
      </c>
      <c r="N393" s="92" t="str">
        <f ca="1">IF(BD!$C393="","",IF(AND(TODAY()&gt;BD!$C393,OR(BD!$D393="PENDENTE",BD!$D393="")),"VENCIDO",""))</f>
        <v/>
      </c>
      <c r="O393" s="82" t="str">
        <f ca="1">IF(N393 = "VENCIDO",BD!$B393,"")</f>
        <v/>
      </c>
      <c r="P393" s="82" t="str">
        <f ca="1">IF(N393 = "VENCIDO",BD!$C393,"")</f>
        <v/>
      </c>
      <c r="Q393" s="83" t="str">
        <f ca="1">IF(N393 = "VENCIDO",BD!$E393,"")</f>
        <v/>
      </c>
      <c r="R393" s="83" t="str">
        <f ca="1">IF(N393 = "VENCIDO",BD!$F393,"")</f>
        <v/>
      </c>
      <c r="S393" s="85" t="str">
        <f ca="1">IF(N393 = "VENCIDO",BD!$G393,"")</f>
        <v/>
      </c>
      <c r="T393" s="83" t="str">
        <f ca="1">IF(AND(TODAY()&gt;BD!$C393, OR(BD!$D393="PENDENTE", BD!$D393="")), TODAY()-BD!$C393, "")</f>
        <v/>
      </c>
    </row>
    <row r="394" spans="1:20" ht="14.25" customHeight="1" x14ac:dyDescent="0.35">
      <c r="A394" s="32"/>
      <c r="B394" s="82">
        <f>'JUN-26'!A25</f>
        <v>0</v>
      </c>
      <c r="C394" s="82">
        <f>'JUN-26'!B25</f>
        <v>0</v>
      </c>
      <c r="D394" s="82">
        <f>'JUN-26'!C25</f>
        <v>0</v>
      </c>
      <c r="E394" s="93">
        <f>'JUN-26'!D25</f>
        <v>0</v>
      </c>
      <c r="F394" s="84">
        <f>'JUN-26'!E25</f>
        <v>0</v>
      </c>
      <c r="G394" s="85">
        <f>'JUN-26'!F25</f>
        <v>0</v>
      </c>
      <c r="H394" s="85">
        <f t="shared" si="0"/>
        <v>0</v>
      </c>
      <c r="I394" s="83" t="s">
        <v>100</v>
      </c>
      <c r="J394" s="83" t="str">
        <f t="shared" si="1"/>
        <v/>
      </c>
      <c r="K394" s="85">
        <f t="shared" si="2"/>
        <v>0</v>
      </c>
      <c r="L394" s="83" t="str">
        <f t="shared" si="3"/>
        <v/>
      </c>
      <c r="M394" s="83">
        <f>'JUN-26'!H25</f>
        <v>0</v>
      </c>
      <c r="N394" s="92" t="str">
        <f ca="1">IF(BD!$C394="","",IF(AND(TODAY()&gt;BD!$C394,OR(BD!$D394="PENDENTE",BD!$D394="")),"VENCIDO",""))</f>
        <v/>
      </c>
      <c r="O394" s="82" t="str">
        <f ca="1">IF(N394 = "VENCIDO",BD!$B394,"")</f>
        <v/>
      </c>
      <c r="P394" s="82" t="str">
        <f ca="1">IF(N394 = "VENCIDO",BD!$C394,"")</f>
        <v/>
      </c>
      <c r="Q394" s="83" t="str">
        <f ca="1">IF(N394 = "VENCIDO",BD!$E394,"")</f>
        <v/>
      </c>
      <c r="R394" s="83" t="str">
        <f ca="1">IF(N394 = "VENCIDO",BD!$F394,"")</f>
        <v/>
      </c>
      <c r="S394" s="85" t="str">
        <f ca="1">IF(N394 = "VENCIDO",BD!$G394,"")</f>
        <v/>
      </c>
      <c r="T394" s="83" t="str">
        <f ca="1">IF(AND(TODAY()&gt;BD!$C394, OR(BD!$D394="PENDENTE", BD!$D394="")), TODAY()-BD!$C394, "")</f>
        <v/>
      </c>
    </row>
    <row r="395" spans="1:20" ht="14.25" customHeight="1" x14ac:dyDescent="0.35">
      <c r="A395" s="32"/>
      <c r="B395" s="82">
        <f>'JUN-26'!A26</f>
        <v>0</v>
      </c>
      <c r="C395" s="82">
        <f>'JUN-26'!B26</f>
        <v>0</v>
      </c>
      <c r="D395" s="82">
        <f>'JUN-26'!C26</f>
        <v>0</v>
      </c>
      <c r="E395" s="83">
        <f>'JUN-26'!D26</f>
        <v>0</v>
      </c>
      <c r="F395" s="84">
        <f>'JUN-26'!E26</f>
        <v>0</v>
      </c>
      <c r="G395" s="85">
        <f>'JUN-26'!F26</f>
        <v>0</v>
      </c>
      <c r="H395" s="85">
        <f t="shared" si="0"/>
        <v>0</v>
      </c>
      <c r="I395" s="83" t="s">
        <v>100</v>
      </c>
      <c r="J395" s="83" t="str">
        <f t="shared" si="1"/>
        <v/>
      </c>
      <c r="K395" s="85">
        <f t="shared" si="2"/>
        <v>0</v>
      </c>
      <c r="L395" s="83" t="str">
        <f t="shared" si="3"/>
        <v/>
      </c>
      <c r="M395" s="83">
        <f>'JUN-26'!H26</f>
        <v>0</v>
      </c>
      <c r="N395" s="92" t="str">
        <f ca="1">IF(BD!$C395="","",IF(AND(TODAY()&gt;BD!$C395,OR(BD!$D395="PENDENTE",BD!$D395="")),"VENCIDO",""))</f>
        <v/>
      </c>
      <c r="O395" s="82" t="str">
        <f ca="1">IF(N395 = "VENCIDO",BD!$B395,"")</f>
        <v/>
      </c>
      <c r="P395" s="82" t="str">
        <f ca="1">IF(N395 = "VENCIDO",BD!$C395,"")</f>
        <v/>
      </c>
      <c r="Q395" s="83" t="str">
        <f ca="1">IF(N395 = "VENCIDO",BD!$E395,"")</f>
        <v/>
      </c>
      <c r="R395" s="83" t="str">
        <f ca="1">IF(N395 = "VENCIDO",BD!$F395,"")</f>
        <v/>
      </c>
      <c r="S395" s="85" t="str">
        <f ca="1">IF(N395 = "VENCIDO",BD!$G395,"")</f>
        <v/>
      </c>
      <c r="T395" s="83" t="str">
        <f ca="1">IF(AND(TODAY()&gt;BD!$C395, OR(BD!$D395="PENDENTE", BD!$D395="")), TODAY()-BD!$C395, "")</f>
        <v/>
      </c>
    </row>
    <row r="396" spans="1:20" ht="14.25" customHeight="1" x14ac:dyDescent="0.35">
      <c r="A396" s="32"/>
      <c r="B396" s="82">
        <f>'JUN-26'!A27</f>
        <v>0</v>
      </c>
      <c r="C396" s="82">
        <f>'JUN-26'!B27</f>
        <v>0</v>
      </c>
      <c r="D396" s="82">
        <f>'JUN-26'!C27</f>
        <v>0</v>
      </c>
      <c r="E396" s="83">
        <f>'JUN-26'!D27</f>
        <v>0</v>
      </c>
      <c r="F396" s="84">
        <f>'JUN-26'!E27</f>
        <v>0</v>
      </c>
      <c r="G396" s="85">
        <f>'JUN-26'!F27</f>
        <v>0</v>
      </c>
      <c r="H396" s="85">
        <f t="shared" si="0"/>
        <v>0</v>
      </c>
      <c r="I396" s="83" t="s">
        <v>100</v>
      </c>
      <c r="J396" s="83" t="str">
        <f t="shared" si="1"/>
        <v/>
      </c>
      <c r="K396" s="85">
        <f t="shared" si="2"/>
        <v>0</v>
      </c>
      <c r="L396" s="83" t="str">
        <f t="shared" si="3"/>
        <v/>
      </c>
      <c r="M396" s="83">
        <f>'JUN-26'!H27</f>
        <v>0</v>
      </c>
      <c r="N396" s="92" t="str">
        <f ca="1">IF(BD!$C396="","",IF(AND(TODAY()&gt;BD!$C396,OR(BD!$D396="PENDENTE",BD!$D396="")),"VENCIDO",""))</f>
        <v/>
      </c>
      <c r="O396" s="82" t="str">
        <f ca="1">IF(N396 = "VENCIDO",BD!$B396,"")</f>
        <v/>
      </c>
      <c r="P396" s="82" t="str">
        <f ca="1">IF(N396 = "VENCIDO",BD!$C396,"")</f>
        <v/>
      </c>
      <c r="Q396" s="83" t="str">
        <f ca="1">IF(N396 = "VENCIDO",BD!$E396,"")</f>
        <v/>
      </c>
      <c r="R396" s="83" t="str">
        <f ca="1">IF(N396 = "VENCIDO",BD!$F396,"")</f>
        <v/>
      </c>
      <c r="S396" s="85" t="str">
        <f ca="1">IF(N396 = "VENCIDO",BD!$G396,"")</f>
        <v/>
      </c>
      <c r="T396" s="83" t="str">
        <f ca="1">IF(AND(TODAY()&gt;BD!$C396, OR(BD!$D396="PENDENTE", BD!$D396="")), TODAY()-BD!$C396, "")</f>
        <v/>
      </c>
    </row>
    <row r="397" spans="1:20" ht="14.25" customHeight="1" x14ac:dyDescent="0.35">
      <c r="A397" s="32"/>
      <c r="B397" s="82">
        <f>'JUN-26'!A28</f>
        <v>0</v>
      </c>
      <c r="C397" s="82">
        <f>'JUN-26'!B28</f>
        <v>0</v>
      </c>
      <c r="D397" s="82">
        <f>'JUN-26'!C28</f>
        <v>0</v>
      </c>
      <c r="E397" s="83">
        <f>'JUN-26'!D28</f>
        <v>0</v>
      </c>
      <c r="F397" s="84">
        <f>'JUN-26'!E28</f>
        <v>0</v>
      </c>
      <c r="G397" s="85">
        <f>'JUN-26'!F28</f>
        <v>0</v>
      </c>
      <c r="H397" s="85">
        <f t="shared" si="0"/>
        <v>0</v>
      </c>
      <c r="I397" s="83" t="s">
        <v>100</v>
      </c>
      <c r="J397" s="83" t="str">
        <f t="shared" si="1"/>
        <v/>
      </c>
      <c r="K397" s="85">
        <f t="shared" si="2"/>
        <v>0</v>
      </c>
      <c r="L397" s="83" t="str">
        <f t="shared" si="3"/>
        <v/>
      </c>
      <c r="M397" s="83">
        <f>'JUN-26'!H28</f>
        <v>0</v>
      </c>
      <c r="N397" s="92" t="str">
        <f ca="1">IF(BD!$C397="","",IF(AND(TODAY()&gt;BD!$C397,OR(BD!$D397="PENDENTE",BD!$D397="")),"VENCIDO",""))</f>
        <v/>
      </c>
      <c r="O397" s="82" t="str">
        <f ca="1">IF(N397 = "VENCIDO",BD!$B397,"")</f>
        <v/>
      </c>
      <c r="P397" s="82" t="str">
        <f ca="1">IF(N397 = "VENCIDO",BD!$C397,"")</f>
        <v/>
      </c>
      <c r="Q397" s="83" t="str">
        <f ca="1">IF(N397 = "VENCIDO",BD!$E397,"")</f>
        <v/>
      </c>
      <c r="R397" s="83" t="str">
        <f ca="1">IF(N397 = "VENCIDO",BD!$F397,"")</f>
        <v/>
      </c>
      <c r="S397" s="85" t="str">
        <f ca="1">IF(N397 = "VENCIDO",BD!$G397,"")</f>
        <v/>
      </c>
      <c r="T397" s="83" t="str">
        <f ca="1">IF(AND(TODAY()&gt;BD!$C397, OR(BD!$D397="PENDENTE", BD!$D397="")), TODAY()-BD!$C397, "")</f>
        <v/>
      </c>
    </row>
    <row r="398" spans="1:20" ht="14.25" customHeight="1" x14ac:dyDescent="0.35">
      <c r="A398" s="32"/>
      <c r="B398" s="82">
        <f>'JUN-26'!A29</f>
        <v>0</v>
      </c>
      <c r="C398" s="82">
        <f>'JUN-26'!B29</f>
        <v>0</v>
      </c>
      <c r="D398" s="82">
        <f>'JUN-26'!C29</f>
        <v>0</v>
      </c>
      <c r="E398" s="83">
        <f>'JUN-26'!D29</f>
        <v>0</v>
      </c>
      <c r="F398" s="84">
        <f>'JUN-26'!E29</f>
        <v>0</v>
      </c>
      <c r="G398" s="85">
        <f>'JUN-26'!F29</f>
        <v>0</v>
      </c>
      <c r="H398" s="85">
        <f t="shared" si="0"/>
        <v>0</v>
      </c>
      <c r="I398" s="83" t="s">
        <v>100</v>
      </c>
      <c r="J398" s="83" t="str">
        <f t="shared" si="1"/>
        <v/>
      </c>
      <c r="K398" s="85">
        <f t="shared" si="2"/>
        <v>0</v>
      </c>
      <c r="L398" s="83" t="str">
        <f t="shared" si="3"/>
        <v/>
      </c>
      <c r="M398" s="83">
        <f>'JUN-26'!H29</f>
        <v>0</v>
      </c>
      <c r="N398" s="92" t="str">
        <f ca="1">IF(BD!$C398="","",IF(AND(TODAY()&gt;BD!$C398,OR(BD!$D398="PENDENTE",BD!$D398="")),"VENCIDO",""))</f>
        <v/>
      </c>
      <c r="O398" s="82" t="str">
        <f ca="1">IF(N398 = "VENCIDO",BD!$B398,"")</f>
        <v/>
      </c>
      <c r="P398" s="82" t="str">
        <f ca="1">IF(N398 = "VENCIDO",BD!$C398,"")</f>
        <v/>
      </c>
      <c r="Q398" s="83" t="str">
        <f ca="1">IF(N398 = "VENCIDO",BD!$E398,"")</f>
        <v/>
      </c>
      <c r="R398" s="83" t="str">
        <f ca="1">IF(N398 = "VENCIDO",BD!$F398,"")</f>
        <v/>
      </c>
      <c r="S398" s="85" t="str">
        <f ca="1">IF(N398 = "VENCIDO",BD!$G398,"")</f>
        <v/>
      </c>
      <c r="T398" s="83" t="str">
        <f ca="1">IF(AND(TODAY()&gt;BD!$C398, OR(BD!$D398="PENDENTE", BD!$D398="")), TODAY()-BD!$C398, "")</f>
        <v/>
      </c>
    </row>
    <row r="399" spans="1:20" ht="14.25" customHeight="1" x14ac:dyDescent="0.35">
      <c r="A399" s="32"/>
      <c r="B399" s="82">
        <f>'JUN-26'!A30</f>
        <v>0</v>
      </c>
      <c r="C399" s="82">
        <f>'JUN-26'!B30</f>
        <v>0</v>
      </c>
      <c r="D399" s="82">
        <f>'JUN-26'!C30</f>
        <v>0</v>
      </c>
      <c r="E399" s="83">
        <f>'JUN-26'!D30</f>
        <v>0</v>
      </c>
      <c r="F399" s="84">
        <f>'JUN-26'!E30</f>
        <v>0</v>
      </c>
      <c r="G399" s="85">
        <f>'JUN-26'!F30</f>
        <v>0</v>
      </c>
      <c r="H399" s="85">
        <f t="shared" si="0"/>
        <v>0</v>
      </c>
      <c r="I399" s="83" t="s">
        <v>100</v>
      </c>
      <c r="J399" s="83" t="str">
        <f t="shared" si="1"/>
        <v/>
      </c>
      <c r="K399" s="85">
        <f t="shared" si="2"/>
        <v>0</v>
      </c>
      <c r="L399" s="83" t="str">
        <f t="shared" si="3"/>
        <v/>
      </c>
      <c r="M399" s="83">
        <f>'JUN-26'!H30</f>
        <v>0</v>
      </c>
      <c r="N399" s="92" t="str">
        <f ca="1">IF(BD!$C399="","",IF(AND(TODAY()&gt;BD!$C399,OR(BD!$D399="PENDENTE",BD!$D399="")),"VENCIDO",""))</f>
        <v/>
      </c>
      <c r="O399" s="82" t="str">
        <f ca="1">IF(N399 = "VENCIDO",BD!$B399,"")</f>
        <v/>
      </c>
      <c r="P399" s="82" t="str">
        <f ca="1">IF(N399 = "VENCIDO",BD!$C399,"")</f>
        <v/>
      </c>
      <c r="Q399" s="83" t="str">
        <f ca="1">IF(N399 = "VENCIDO",BD!$E399,"")</f>
        <v/>
      </c>
      <c r="R399" s="83" t="str">
        <f ca="1">IF(N399 = "VENCIDO",BD!$F399,"")</f>
        <v/>
      </c>
      <c r="S399" s="85" t="str">
        <f ca="1">IF(N399 = "VENCIDO",BD!$G399,"")</f>
        <v/>
      </c>
      <c r="T399" s="83" t="str">
        <f ca="1">IF(AND(TODAY()&gt;BD!$C399, OR(BD!$D399="PENDENTE", BD!$D399="")), TODAY()-BD!$C399, "")</f>
        <v/>
      </c>
    </row>
    <row r="400" spans="1:20" ht="14.25" customHeight="1" x14ac:dyDescent="0.35">
      <c r="A400" s="32"/>
      <c r="B400" s="82">
        <f>'JUN-26'!A31</f>
        <v>0</v>
      </c>
      <c r="C400" s="82">
        <f>'JUN-26'!B31</f>
        <v>0</v>
      </c>
      <c r="D400" s="82">
        <f>'JUN-26'!C31</f>
        <v>0</v>
      </c>
      <c r="E400" s="83">
        <f>'JUN-26'!D31</f>
        <v>0</v>
      </c>
      <c r="F400" s="84">
        <f>'JUN-26'!E31</f>
        <v>0</v>
      </c>
      <c r="G400" s="85">
        <f>'JUN-26'!F31</f>
        <v>0</v>
      </c>
      <c r="H400" s="85">
        <f t="shared" si="0"/>
        <v>0</v>
      </c>
      <c r="I400" s="83" t="s">
        <v>100</v>
      </c>
      <c r="J400" s="83" t="str">
        <f t="shared" si="1"/>
        <v/>
      </c>
      <c r="K400" s="85">
        <f t="shared" si="2"/>
        <v>0</v>
      </c>
      <c r="L400" s="83" t="str">
        <f t="shared" si="3"/>
        <v/>
      </c>
      <c r="M400" s="83">
        <f>'JUN-26'!H31</f>
        <v>0</v>
      </c>
      <c r="N400" s="92" t="str">
        <f ca="1">IF(BD!$C400="","",IF(AND(TODAY()&gt;BD!$C400,OR(BD!$D400="PENDENTE",BD!$D400="")),"VENCIDO",""))</f>
        <v/>
      </c>
      <c r="O400" s="82" t="str">
        <f ca="1">IF(N400 = "VENCIDO",BD!$B400,"")</f>
        <v/>
      </c>
      <c r="P400" s="82" t="str">
        <f ca="1">IF(N400 = "VENCIDO",BD!$C400,"")</f>
        <v/>
      </c>
      <c r="Q400" s="83" t="str">
        <f ca="1">IF(N400 = "VENCIDO",BD!$E400,"")</f>
        <v/>
      </c>
      <c r="R400" s="83" t="str">
        <f ca="1">IF(N400 = "VENCIDO",BD!$F400,"")</f>
        <v/>
      </c>
      <c r="S400" s="85" t="str">
        <f ca="1">IF(N400 = "VENCIDO",BD!$G400,"")</f>
        <v/>
      </c>
      <c r="T400" s="83" t="str">
        <f ca="1">IF(AND(TODAY()&gt;BD!$C400, OR(BD!$D400="PENDENTE", BD!$D400="")), TODAY()-BD!$C400, "")</f>
        <v/>
      </c>
    </row>
    <row r="401" spans="1:20" ht="14.25" customHeight="1" x14ac:dyDescent="0.35">
      <c r="A401" s="32"/>
      <c r="B401" s="82">
        <f>'JUN-26'!A32</f>
        <v>0</v>
      </c>
      <c r="C401" s="82">
        <f>'JUN-26'!B32</f>
        <v>0</v>
      </c>
      <c r="D401" s="82">
        <f>'JUN-26'!C32</f>
        <v>0</v>
      </c>
      <c r="E401" s="83">
        <f>'JUN-26'!D32</f>
        <v>0</v>
      </c>
      <c r="F401" s="84">
        <f>'JUN-26'!E32</f>
        <v>0</v>
      </c>
      <c r="G401" s="85">
        <f>'JUN-26'!F32</f>
        <v>0</v>
      </c>
      <c r="H401" s="85">
        <f t="shared" si="0"/>
        <v>0</v>
      </c>
      <c r="I401" s="83" t="s">
        <v>100</v>
      </c>
      <c r="J401" s="83" t="str">
        <f t="shared" si="1"/>
        <v/>
      </c>
      <c r="K401" s="85">
        <f t="shared" si="2"/>
        <v>0</v>
      </c>
      <c r="L401" s="83" t="str">
        <f t="shared" si="3"/>
        <v/>
      </c>
      <c r="M401" s="83">
        <f>'JUN-26'!H32</f>
        <v>0</v>
      </c>
      <c r="N401" s="92" t="str">
        <f ca="1">IF(BD!$C401="","",IF(AND(TODAY()&gt;BD!$C401,OR(BD!$D401="PENDENTE",BD!$D401="")),"VENCIDO",""))</f>
        <v/>
      </c>
      <c r="O401" s="82" t="str">
        <f ca="1">IF(N401 = "VENCIDO",BD!$B401,"")</f>
        <v/>
      </c>
      <c r="P401" s="82" t="str">
        <f ca="1">IF(N401 = "VENCIDO",BD!$C401,"")</f>
        <v/>
      </c>
      <c r="Q401" s="83" t="str">
        <f ca="1">IF(N401 = "VENCIDO",BD!$E401,"")</f>
        <v/>
      </c>
      <c r="R401" s="83" t="str">
        <f ca="1">IF(N401 = "VENCIDO",BD!$F401,"")</f>
        <v/>
      </c>
      <c r="S401" s="85" t="str">
        <f ca="1">IF(N401 = "VENCIDO",BD!$G401,"")</f>
        <v/>
      </c>
      <c r="T401" s="83" t="str">
        <f ca="1">IF(AND(TODAY()&gt;BD!$C401, OR(BD!$D401="PENDENTE", BD!$D401="")), TODAY()-BD!$C401, "")</f>
        <v/>
      </c>
    </row>
    <row r="402" spans="1:20" ht="14.25" customHeight="1" x14ac:dyDescent="0.35">
      <c r="A402" s="32"/>
      <c r="B402" s="82">
        <f>'JUN-26'!A33</f>
        <v>0</v>
      </c>
      <c r="C402" s="82">
        <f>'JUN-26'!B33</f>
        <v>0</v>
      </c>
      <c r="D402" s="82">
        <f>'JUN-26'!C33</f>
        <v>0</v>
      </c>
      <c r="E402" s="83">
        <f>'JUN-26'!D33</f>
        <v>0</v>
      </c>
      <c r="F402" s="84">
        <f>'JUN-26'!E33</f>
        <v>0</v>
      </c>
      <c r="G402" s="85">
        <f>'JUN-26'!F33</f>
        <v>0</v>
      </c>
      <c r="H402" s="85">
        <f t="shared" si="0"/>
        <v>0</v>
      </c>
      <c r="I402" s="83" t="s">
        <v>100</v>
      </c>
      <c r="J402" s="83" t="str">
        <f t="shared" si="1"/>
        <v/>
      </c>
      <c r="K402" s="85">
        <f t="shared" si="2"/>
        <v>0</v>
      </c>
      <c r="L402" s="83" t="str">
        <f t="shared" si="3"/>
        <v/>
      </c>
      <c r="M402" s="83">
        <f>'JUN-26'!H33</f>
        <v>0</v>
      </c>
      <c r="N402" s="92" t="str">
        <f ca="1">IF(BD!$C402="","",IF(AND(TODAY()&gt;BD!$C402,OR(BD!$D402="PENDENTE",BD!$D402="")),"VENCIDO",""))</f>
        <v/>
      </c>
      <c r="O402" s="82" t="str">
        <f ca="1">IF(N402 = "VENCIDO",BD!$B402,"")</f>
        <v/>
      </c>
      <c r="P402" s="82" t="str">
        <f ca="1">IF(N402 = "VENCIDO",BD!$C402,"")</f>
        <v/>
      </c>
      <c r="Q402" s="83" t="str">
        <f ca="1">IF(N402 = "VENCIDO",BD!$E402,"")</f>
        <v/>
      </c>
      <c r="R402" s="83" t="str">
        <f ca="1">IF(N402 = "VENCIDO",BD!$F402,"")</f>
        <v/>
      </c>
      <c r="S402" s="85" t="str">
        <f ca="1">IF(N402 = "VENCIDO",BD!$G402,"")</f>
        <v/>
      </c>
      <c r="T402" s="83" t="str">
        <f ca="1">IF(AND(TODAY()&gt;BD!$C402, OR(BD!$D402="PENDENTE", BD!$D402="")), TODAY()-BD!$C402, "")</f>
        <v/>
      </c>
    </row>
    <row r="403" spans="1:20" ht="14.25" customHeight="1" x14ac:dyDescent="0.35">
      <c r="A403" s="32"/>
      <c r="B403" s="82">
        <f>'JUN-26'!A34</f>
        <v>0</v>
      </c>
      <c r="C403" s="82">
        <f>'JUN-26'!B34</f>
        <v>0</v>
      </c>
      <c r="D403" s="82">
        <f>'JUN-26'!C34</f>
        <v>0</v>
      </c>
      <c r="E403" s="83">
        <f>'JUN-26'!D34</f>
        <v>0</v>
      </c>
      <c r="F403" s="84">
        <f>'JUN-26'!E34</f>
        <v>0</v>
      </c>
      <c r="G403" s="85">
        <f>'JUN-26'!F34</f>
        <v>0</v>
      </c>
      <c r="H403" s="85">
        <f t="shared" si="0"/>
        <v>0</v>
      </c>
      <c r="I403" s="83" t="s">
        <v>100</v>
      </c>
      <c r="J403" s="83" t="str">
        <f t="shared" si="1"/>
        <v/>
      </c>
      <c r="K403" s="85">
        <f t="shared" si="2"/>
        <v>0</v>
      </c>
      <c r="L403" s="83" t="str">
        <f t="shared" si="3"/>
        <v/>
      </c>
      <c r="M403" s="83">
        <f>'JUN-26'!H34</f>
        <v>0</v>
      </c>
      <c r="N403" s="92" t="str">
        <f ca="1">IF(BD!$C403="","",IF(AND(TODAY()&gt;BD!$C403,OR(BD!$D403="PENDENTE",BD!$D403="")),"VENCIDO",""))</f>
        <v/>
      </c>
      <c r="O403" s="82" t="str">
        <f ca="1">IF(N403 = "VENCIDO",BD!$B403,"")</f>
        <v/>
      </c>
      <c r="P403" s="82" t="str">
        <f ca="1">IF(N403 = "VENCIDO",BD!$C403,"")</f>
        <v/>
      </c>
      <c r="Q403" s="83" t="str">
        <f ca="1">IF(N403 = "VENCIDO",BD!$E403,"")</f>
        <v/>
      </c>
      <c r="R403" s="83" t="str">
        <f ca="1">IF(N403 = "VENCIDO",BD!$F403,"")</f>
        <v/>
      </c>
      <c r="S403" s="85" t="str">
        <f ca="1">IF(N403 = "VENCIDO",BD!$G403,"")</f>
        <v/>
      </c>
      <c r="T403" s="83" t="str">
        <f ca="1">IF(AND(TODAY()&gt;BD!$C403, OR(BD!$D403="PENDENTE", BD!$D403="")), TODAY()-BD!$C403, "")</f>
        <v/>
      </c>
    </row>
    <row r="404" spans="1:20" ht="14.25" customHeight="1" x14ac:dyDescent="0.35">
      <c r="A404" s="32"/>
      <c r="B404" s="82">
        <f>'JUN-26'!A35</f>
        <v>0</v>
      </c>
      <c r="C404" s="82">
        <f>'JUN-26'!B35</f>
        <v>0</v>
      </c>
      <c r="D404" s="82">
        <f>'JUN-26'!C35</f>
        <v>0</v>
      </c>
      <c r="E404" s="93">
        <f>'JUN-26'!D35</f>
        <v>0</v>
      </c>
      <c r="F404" s="84">
        <f>'JUN-26'!E35</f>
        <v>0</v>
      </c>
      <c r="G404" s="85">
        <f>'JUN-26'!F35</f>
        <v>0</v>
      </c>
      <c r="H404" s="85">
        <f t="shared" si="0"/>
        <v>0</v>
      </c>
      <c r="I404" s="83" t="s">
        <v>100</v>
      </c>
      <c r="J404" s="83" t="str">
        <f t="shared" si="1"/>
        <v/>
      </c>
      <c r="K404" s="85">
        <f t="shared" si="2"/>
        <v>0</v>
      </c>
      <c r="L404" s="83" t="str">
        <f t="shared" si="3"/>
        <v/>
      </c>
      <c r="M404" s="83">
        <f>'JUN-26'!H35</f>
        <v>0</v>
      </c>
      <c r="N404" s="92" t="str">
        <f ca="1">IF(BD!$C404="","",IF(AND(TODAY()&gt;BD!$C404,OR(BD!$D404="PENDENTE",BD!$D404="")),"VENCIDO",""))</f>
        <v/>
      </c>
      <c r="O404" s="82" t="str">
        <f ca="1">IF(N404 = "VENCIDO",BD!$B404,"")</f>
        <v/>
      </c>
      <c r="P404" s="82" t="str">
        <f ca="1">IF(N404 = "VENCIDO",BD!$C404,"")</f>
        <v/>
      </c>
      <c r="Q404" s="83" t="str">
        <f ca="1">IF(N404 = "VENCIDO",BD!$E404,"")</f>
        <v/>
      </c>
      <c r="R404" s="83" t="str">
        <f ca="1">IF(N404 = "VENCIDO",BD!$F404,"")</f>
        <v/>
      </c>
      <c r="S404" s="85" t="str">
        <f ca="1">IF(N404 = "VENCIDO",BD!$G404,"")</f>
        <v/>
      </c>
      <c r="T404" s="83" t="str">
        <f ca="1">IF(AND(TODAY()&gt;BD!$C404, OR(BD!$D404="PENDENTE", BD!$D404="")), TODAY()-BD!$C404, "")</f>
        <v/>
      </c>
    </row>
    <row r="405" spans="1:20" ht="14.25" customHeight="1" x14ac:dyDescent="0.35">
      <c r="A405" s="32"/>
      <c r="B405" s="82">
        <f>'JUN-26'!A36</f>
        <v>0</v>
      </c>
      <c r="C405" s="82">
        <f>'JUN-26'!B36</f>
        <v>0</v>
      </c>
      <c r="D405" s="82">
        <f>'JUN-26'!C36</f>
        <v>0</v>
      </c>
      <c r="E405" s="93">
        <f>'JUN-26'!D36</f>
        <v>0</v>
      </c>
      <c r="F405" s="84">
        <f>'JUN-26'!E36</f>
        <v>0</v>
      </c>
      <c r="G405" s="85">
        <f>'JUN-26'!F36</f>
        <v>0</v>
      </c>
      <c r="H405" s="85">
        <f t="shared" si="0"/>
        <v>0</v>
      </c>
      <c r="I405" s="83" t="s">
        <v>100</v>
      </c>
      <c r="J405" s="83" t="str">
        <f t="shared" si="1"/>
        <v/>
      </c>
      <c r="K405" s="85">
        <f t="shared" si="2"/>
        <v>0</v>
      </c>
      <c r="L405" s="83" t="str">
        <f t="shared" si="3"/>
        <v/>
      </c>
      <c r="M405" s="83">
        <f>'JUN-26'!H36</f>
        <v>0</v>
      </c>
      <c r="N405" s="92" t="str">
        <f ca="1">IF(BD!$C405="","",IF(AND(TODAY()&gt;BD!$C405,OR(BD!$D405="PENDENTE",BD!$D405="")),"VENCIDO",""))</f>
        <v/>
      </c>
      <c r="O405" s="82" t="str">
        <f ca="1">IF(N405 = "VENCIDO",BD!$B405,"")</f>
        <v/>
      </c>
      <c r="P405" s="82" t="str">
        <f ca="1">IF(N405 = "VENCIDO",BD!$C405,"")</f>
        <v/>
      </c>
      <c r="Q405" s="83" t="str">
        <f ca="1">IF(N405 = "VENCIDO",BD!$E405,"")</f>
        <v/>
      </c>
      <c r="R405" s="83" t="str">
        <f ca="1">IF(N405 = "VENCIDO",BD!$F405,"")</f>
        <v/>
      </c>
      <c r="S405" s="85" t="str">
        <f ca="1">IF(N405 = "VENCIDO",BD!$G405,"")</f>
        <v/>
      </c>
      <c r="T405" s="83" t="str">
        <f ca="1">IF(AND(TODAY()&gt;BD!$C405, OR(BD!$D405="PENDENTE", BD!$D405="")), TODAY()-BD!$C405, "")</f>
        <v/>
      </c>
    </row>
    <row r="406" spans="1:20" ht="14.25" customHeight="1" x14ac:dyDescent="0.35">
      <c r="A406" s="32"/>
      <c r="B406" s="82">
        <f>'JUN-26'!A37</f>
        <v>0</v>
      </c>
      <c r="C406" s="82">
        <f>'JUN-26'!B37</f>
        <v>0</v>
      </c>
      <c r="D406" s="82">
        <f>'JUN-26'!C37</f>
        <v>0</v>
      </c>
      <c r="E406" s="83">
        <f>'JUN-26'!D37</f>
        <v>0</v>
      </c>
      <c r="F406" s="84">
        <f>'JUN-26'!E37</f>
        <v>0</v>
      </c>
      <c r="G406" s="85">
        <f>'JUN-26'!F37</f>
        <v>0</v>
      </c>
      <c r="H406" s="85">
        <f t="shared" si="0"/>
        <v>0</v>
      </c>
      <c r="I406" s="83" t="s">
        <v>100</v>
      </c>
      <c r="J406" s="83" t="str">
        <f t="shared" si="1"/>
        <v/>
      </c>
      <c r="K406" s="85">
        <f t="shared" si="2"/>
        <v>0</v>
      </c>
      <c r="L406" s="83" t="str">
        <f t="shared" si="3"/>
        <v/>
      </c>
      <c r="M406" s="83">
        <f>'JUN-26'!H37</f>
        <v>0</v>
      </c>
      <c r="N406" s="92" t="str">
        <f ca="1">IF(BD!$C406="","",IF(AND(TODAY()&gt;BD!$C406,OR(BD!$D406="PENDENTE",BD!$D406="")),"VENCIDO",""))</f>
        <v/>
      </c>
      <c r="O406" s="82" t="str">
        <f ca="1">IF(N406 = "VENCIDO",BD!$B406,"")</f>
        <v/>
      </c>
      <c r="P406" s="82" t="str">
        <f ca="1">IF(N406 = "VENCIDO",BD!$C406,"")</f>
        <v/>
      </c>
      <c r="Q406" s="83" t="str">
        <f ca="1">IF(N406 = "VENCIDO",BD!$E406,"")</f>
        <v/>
      </c>
      <c r="R406" s="83" t="str">
        <f ca="1">IF(N406 = "VENCIDO",BD!$F406,"")</f>
        <v/>
      </c>
      <c r="S406" s="85" t="str">
        <f ca="1">IF(N406 = "VENCIDO",BD!$G406,"")</f>
        <v/>
      </c>
      <c r="T406" s="83" t="str">
        <f ca="1">IF(AND(TODAY()&gt;BD!$C406, OR(BD!$D406="PENDENTE", BD!$D406="")), TODAY()-BD!$C406, "")</f>
        <v/>
      </c>
    </row>
    <row r="407" spans="1:20" ht="14.25" customHeight="1" x14ac:dyDescent="0.35">
      <c r="A407" s="32"/>
      <c r="B407" s="82">
        <f>'JUN-26'!A38</f>
        <v>0</v>
      </c>
      <c r="C407" s="82">
        <f>'JUN-26'!B38</f>
        <v>0</v>
      </c>
      <c r="D407" s="82">
        <f>'JUN-26'!C38</f>
        <v>0</v>
      </c>
      <c r="E407" s="83">
        <f>'JUN-26'!D38</f>
        <v>0</v>
      </c>
      <c r="F407" s="84">
        <f>'JUN-26'!E38</f>
        <v>0</v>
      </c>
      <c r="G407" s="85">
        <f>'JUN-26'!F38</f>
        <v>0</v>
      </c>
      <c r="H407" s="85">
        <f t="shared" si="0"/>
        <v>0</v>
      </c>
      <c r="I407" s="83" t="s">
        <v>100</v>
      </c>
      <c r="J407" s="83" t="str">
        <f t="shared" si="1"/>
        <v/>
      </c>
      <c r="K407" s="85">
        <f t="shared" si="2"/>
        <v>0</v>
      </c>
      <c r="L407" s="83" t="str">
        <f t="shared" si="3"/>
        <v/>
      </c>
      <c r="M407" s="83">
        <f>'JUN-26'!H38</f>
        <v>0</v>
      </c>
      <c r="N407" s="92" t="str">
        <f ca="1">IF(BD!$C407="","",IF(AND(TODAY()&gt;BD!$C407,OR(BD!$D407="PENDENTE",BD!$D407="")),"VENCIDO",""))</f>
        <v/>
      </c>
      <c r="O407" s="82" t="str">
        <f ca="1">IF(N407 = "VENCIDO",BD!$B407,"")</f>
        <v/>
      </c>
      <c r="P407" s="82" t="str">
        <f ca="1">IF(N407 = "VENCIDO",BD!$C407,"")</f>
        <v/>
      </c>
      <c r="Q407" s="83" t="str">
        <f ca="1">IF(N407 = "VENCIDO",BD!$E407,"")</f>
        <v/>
      </c>
      <c r="R407" s="83" t="str">
        <f ca="1">IF(N407 = "VENCIDO",BD!$F407,"")</f>
        <v/>
      </c>
      <c r="S407" s="85" t="str">
        <f ca="1">IF(N407 = "VENCIDO",BD!$G407,"")</f>
        <v/>
      </c>
      <c r="T407" s="83" t="str">
        <f ca="1">IF(AND(TODAY()&gt;BD!$C407, OR(BD!$D407="PENDENTE", BD!$D407="")), TODAY()-BD!$C407, "")</f>
        <v/>
      </c>
    </row>
    <row r="408" spans="1:20" ht="14.25" customHeight="1" x14ac:dyDescent="0.35">
      <c r="A408" s="32"/>
      <c r="B408" s="82">
        <f>'JUN-26'!A39</f>
        <v>0</v>
      </c>
      <c r="C408" s="82">
        <f>'JUN-26'!B39</f>
        <v>0</v>
      </c>
      <c r="D408" s="82">
        <f>'JUN-26'!C39</f>
        <v>0</v>
      </c>
      <c r="E408" s="83">
        <f>'JUN-26'!D39</f>
        <v>0</v>
      </c>
      <c r="F408" s="84">
        <f>'JUN-26'!E39</f>
        <v>0</v>
      </c>
      <c r="G408" s="85">
        <f>'JUN-26'!F39</f>
        <v>0</v>
      </c>
      <c r="H408" s="85">
        <f t="shared" si="0"/>
        <v>0</v>
      </c>
      <c r="I408" s="83" t="s">
        <v>100</v>
      </c>
      <c r="J408" s="83" t="str">
        <f t="shared" si="1"/>
        <v/>
      </c>
      <c r="K408" s="85">
        <f t="shared" si="2"/>
        <v>0</v>
      </c>
      <c r="L408" s="83" t="str">
        <f t="shared" si="3"/>
        <v/>
      </c>
      <c r="M408" s="83">
        <f>'JUN-26'!H39</f>
        <v>0</v>
      </c>
      <c r="N408" s="92" t="str">
        <f ca="1">IF(BD!$C408="","",IF(AND(TODAY()&gt;BD!$C408,OR(BD!$D408="PENDENTE",BD!$D408="")),"VENCIDO",""))</f>
        <v/>
      </c>
      <c r="O408" s="82" t="str">
        <f ca="1">IF(N408 = "VENCIDO",BD!$B408,"")</f>
        <v/>
      </c>
      <c r="P408" s="82" t="str">
        <f ca="1">IF(N408 = "VENCIDO",BD!$C408,"")</f>
        <v/>
      </c>
      <c r="Q408" s="83" t="str">
        <f ca="1">IF(N408 = "VENCIDO",BD!$E408,"")</f>
        <v/>
      </c>
      <c r="R408" s="83" t="str">
        <f ca="1">IF(N408 = "VENCIDO",BD!$F408,"")</f>
        <v/>
      </c>
      <c r="S408" s="85" t="str">
        <f ca="1">IF(N408 = "VENCIDO",BD!$G408,"")</f>
        <v/>
      </c>
      <c r="T408" s="83" t="str">
        <f ca="1">IF(AND(TODAY()&gt;BD!$C408, OR(BD!$D408="PENDENTE", BD!$D408="")), TODAY()-BD!$C408, "")</f>
        <v/>
      </c>
    </row>
    <row r="409" spans="1:20" ht="14.25" customHeight="1" x14ac:dyDescent="0.35">
      <c r="A409" s="32"/>
      <c r="B409" s="82">
        <f>'JUN-26'!A40</f>
        <v>0</v>
      </c>
      <c r="C409" s="82">
        <f>'JUN-26'!B40</f>
        <v>0</v>
      </c>
      <c r="D409" s="82">
        <f>'JUN-26'!C40</f>
        <v>0</v>
      </c>
      <c r="E409" s="83">
        <f>'JUN-26'!D40</f>
        <v>0</v>
      </c>
      <c r="F409" s="84">
        <f>'JUN-26'!E40</f>
        <v>0</v>
      </c>
      <c r="G409" s="85">
        <f>'JUN-26'!F40</f>
        <v>0</v>
      </c>
      <c r="H409" s="85">
        <f t="shared" si="0"/>
        <v>0</v>
      </c>
      <c r="I409" s="83" t="s">
        <v>100</v>
      </c>
      <c r="J409" s="83" t="str">
        <f t="shared" si="1"/>
        <v/>
      </c>
      <c r="K409" s="85">
        <f t="shared" si="2"/>
        <v>0</v>
      </c>
      <c r="L409" s="83" t="str">
        <f t="shared" si="3"/>
        <v/>
      </c>
      <c r="M409" s="83">
        <f>'JUN-26'!H40</f>
        <v>0</v>
      </c>
      <c r="N409" s="92" t="str">
        <f ca="1">IF(BD!$C409="","",IF(AND(TODAY()&gt;BD!$C409,OR(BD!$D409="PENDENTE",BD!$D409="")),"VENCIDO",""))</f>
        <v/>
      </c>
      <c r="O409" s="82" t="str">
        <f ca="1">IF(N409 = "VENCIDO",BD!$B409,"")</f>
        <v/>
      </c>
      <c r="P409" s="82" t="str">
        <f ca="1">IF(N409 = "VENCIDO",BD!$C409,"")</f>
        <v/>
      </c>
      <c r="Q409" s="83" t="str">
        <f ca="1">IF(N409 = "VENCIDO",BD!$E409,"")</f>
        <v/>
      </c>
      <c r="R409" s="83" t="str">
        <f ca="1">IF(N409 = "VENCIDO",BD!$F409,"")</f>
        <v/>
      </c>
      <c r="S409" s="85" t="str">
        <f ca="1">IF(N409 = "VENCIDO",BD!$G409,"")</f>
        <v/>
      </c>
      <c r="T409" s="83" t="str">
        <f ca="1">IF(AND(TODAY()&gt;BD!$C409, OR(BD!$D409="PENDENTE", BD!$D409="")), TODAY()-BD!$C409, "")</f>
        <v/>
      </c>
    </row>
    <row r="410" spans="1:20" ht="14.25" customHeight="1" x14ac:dyDescent="0.35">
      <c r="A410" s="32"/>
      <c r="B410" s="82">
        <f>'JUN-26'!A41</f>
        <v>0</v>
      </c>
      <c r="C410" s="82">
        <f>'JUN-26'!B41</f>
        <v>0</v>
      </c>
      <c r="D410" s="82">
        <f>'JUN-26'!C41</f>
        <v>0</v>
      </c>
      <c r="E410" s="83">
        <f>'JUN-26'!D41</f>
        <v>0</v>
      </c>
      <c r="F410" s="84">
        <f>'JUN-26'!E41</f>
        <v>0</v>
      </c>
      <c r="G410" s="85">
        <f>'JUN-26'!F41</f>
        <v>0</v>
      </c>
      <c r="H410" s="85">
        <f t="shared" si="0"/>
        <v>0</v>
      </c>
      <c r="I410" s="83" t="s">
        <v>100</v>
      </c>
      <c r="J410" s="83" t="str">
        <f t="shared" si="1"/>
        <v/>
      </c>
      <c r="K410" s="85">
        <f t="shared" si="2"/>
        <v>0</v>
      </c>
      <c r="L410" s="83" t="str">
        <f t="shared" si="3"/>
        <v/>
      </c>
      <c r="M410" s="83">
        <f>'JUN-26'!H41</f>
        <v>0</v>
      </c>
      <c r="N410" s="92" t="str">
        <f ca="1">IF(BD!$C410="","",IF(AND(TODAY()&gt;BD!$C410,OR(BD!$D410="PENDENTE",BD!$D410="")),"VENCIDO",""))</f>
        <v/>
      </c>
      <c r="O410" s="82" t="str">
        <f ca="1">IF(N410 = "VENCIDO",BD!$B410,"")</f>
        <v/>
      </c>
      <c r="P410" s="82" t="str">
        <f ca="1">IF(N410 = "VENCIDO",BD!$C410,"")</f>
        <v/>
      </c>
      <c r="Q410" s="83" t="str">
        <f ca="1">IF(N410 = "VENCIDO",BD!$E410,"")</f>
        <v/>
      </c>
      <c r="R410" s="83" t="str">
        <f ca="1">IF(N410 = "VENCIDO",BD!$F410,"")</f>
        <v/>
      </c>
      <c r="S410" s="85" t="str">
        <f ca="1">IF(N410 = "VENCIDO",BD!$G410,"")</f>
        <v/>
      </c>
      <c r="T410" s="83" t="str">
        <f ca="1">IF(AND(TODAY()&gt;BD!$C410, OR(BD!$D410="PENDENTE", BD!$D410="")), TODAY()-BD!$C410, "")</f>
        <v/>
      </c>
    </row>
    <row r="411" spans="1:20" ht="14.25" customHeight="1" x14ac:dyDescent="0.35">
      <c r="A411" s="32"/>
      <c r="B411" s="82">
        <f>'JUN-26'!A42</f>
        <v>0</v>
      </c>
      <c r="C411" s="82">
        <f>'JUN-26'!B42</f>
        <v>0</v>
      </c>
      <c r="D411" s="82">
        <f>'JUN-26'!C42</f>
        <v>0</v>
      </c>
      <c r="E411" s="83">
        <f>'JUN-26'!D42</f>
        <v>0</v>
      </c>
      <c r="F411" s="84">
        <f>'JUN-26'!E42</f>
        <v>0</v>
      </c>
      <c r="G411" s="85">
        <f>'JUN-26'!F42</f>
        <v>0</v>
      </c>
      <c r="H411" s="85">
        <f t="shared" si="0"/>
        <v>0</v>
      </c>
      <c r="I411" s="83" t="s">
        <v>100</v>
      </c>
      <c r="J411" s="83" t="str">
        <f t="shared" si="1"/>
        <v/>
      </c>
      <c r="K411" s="85">
        <f t="shared" si="2"/>
        <v>0</v>
      </c>
      <c r="L411" s="83" t="str">
        <f t="shared" si="3"/>
        <v/>
      </c>
      <c r="M411" s="83">
        <f>'JUN-26'!H42</f>
        <v>0</v>
      </c>
      <c r="N411" s="92" t="str">
        <f ca="1">IF(BD!$C411="","",IF(AND(TODAY()&gt;BD!$C411,OR(BD!$D411="PENDENTE",BD!$D411="")),"VENCIDO",""))</f>
        <v/>
      </c>
      <c r="O411" s="82" t="str">
        <f ca="1">IF(N411 = "VENCIDO",BD!$B411,"")</f>
        <v/>
      </c>
      <c r="P411" s="82" t="str">
        <f ca="1">IF(N411 = "VENCIDO",BD!$C411,"")</f>
        <v/>
      </c>
      <c r="Q411" s="83" t="str">
        <f ca="1">IF(N411 = "VENCIDO",BD!$E411,"")</f>
        <v/>
      </c>
      <c r="R411" s="83" t="str">
        <f ca="1">IF(N411 = "VENCIDO",BD!$F411,"")</f>
        <v/>
      </c>
      <c r="S411" s="85" t="str">
        <f ca="1">IF(N411 = "VENCIDO",BD!$G411,"")</f>
        <v/>
      </c>
      <c r="T411" s="83" t="str">
        <f ca="1">IF(AND(TODAY()&gt;BD!$C411, OR(BD!$D411="PENDENTE", BD!$D411="")), TODAY()-BD!$C411, "")</f>
        <v/>
      </c>
    </row>
    <row r="412" spans="1:20" ht="14.25" customHeight="1" x14ac:dyDescent="0.35">
      <c r="A412" s="32"/>
      <c r="B412" s="82">
        <f>'JUN-26'!A43</f>
        <v>0</v>
      </c>
      <c r="C412" s="82">
        <f>'JUN-26'!B43</f>
        <v>0</v>
      </c>
      <c r="D412" s="82">
        <f>'JUN-26'!C43</f>
        <v>0</v>
      </c>
      <c r="E412" s="83">
        <f>'JUN-26'!D43</f>
        <v>0</v>
      </c>
      <c r="F412" s="84">
        <f>'JUN-26'!E43</f>
        <v>0</v>
      </c>
      <c r="G412" s="85">
        <f>'JUN-26'!F43</f>
        <v>0</v>
      </c>
      <c r="H412" s="85">
        <f t="shared" si="0"/>
        <v>0</v>
      </c>
      <c r="I412" s="83" t="s">
        <v>100</v>
      </c>
      <c r="J412" s="83" t="str">
        <f t="shared" si="1"/>
        <v/>
      </c>
      <c r="K412" s="85">
        <f t="shared" si="2"/>
        <v>0</v>
      </c>
      <c r="L412" s="83" t="str">
        <f t="shared" si="3"/>
        <v/>
      </c>
      <c r="M412" s="83">
        <f>'JUN-26'!H43</f>
        <v>0</v>
      </c>
      <c r="N412" s="92" t="str">
        <f ca="1">IF(BD!$C412="","",IF(AND(TODAY()&gt;BD!$C412,OR(BD!$D412="PENDENTE",BD!$D412="")),"VENCIDO",""))</f>
        <v/>
      </c>
      <c r="O412" s="82" t="str">
        <f ca="1">IF(N412 = "VENCIDO",BD!$B412,"")</f>
        <v/>
      </c>
      <c r="P412" s="82" t="str">
        <f ca="1">IF(N412 = "VENCIDO",BD!$C412,"")</f>
        <v/>
      </c>
      <c r="Q412" s="83" t="str">
        <f ca="1">IF(N412 = "VENCIDO",BD!$E412,"")</f>
        <v/>
      </c>
      <c r="R412" s="83" t="str">
        <f ca="1">IF(N412 = "VENCIDO",BD!$F412,"")</f>
        <v/>
      </c>
      <c r="S412" s="85" t="str">
        <f ca="1">IF(N412 = "VENCIDO",BD!$G412,"")</f>
        <v/>
      </c>
      <c r="T412" s="83" t="str">
        <f ca="1">IF(AND(TODAY()&gt;BD!$C412, OR(BD!$D412="PENDENTE", BD!$D412="")), TODAY()-BD!$C412, "")</f>
        <v/>
      </c>
    </row>
    <row r="413" spans="1:20" ht="14.25" customHeight="1" x14ac:dyDescent="0.35">
      <c r="A413" s="32"/>
      <c r="B413" s="82">
        <f>'JUN-26'!A44</f>
        <v>0</v>
      </c>
      <c r="C413" s="82">
        <f>'JUN-26'!B44</f>
        <v>0</v>
      </c>
      <c r="D413" s="82">
        <f>'JUN-26'!C44</f>
        <v>0</v>
      </c>
      <c r="E413" s="83">
        <f>'JUN-26'!D44</f>
        <v>0</v>
      </c>
      <c r="F413" s="84">
        <f>'JUN-26'!E44</f>
        <v>0</v>
      </c>
      <c r="G413" s="85">
        <f>'JUN-26'!F44</f>
        <v>0</v>
      </c>
      <c r="H413" s="85">
        <f t="shared" si="0"/>
        <v>0</v>
      </c>
      <c r="I413" s="83" t="s">
        <v>100</v>
      </c>
      <c r="J413" s="83" t="str">
        <f t="shared" si="1"/>
        <v/>
      </c>
      <c r="K413" s="85">
        <f t="shared" si="2"/>
        <v>0</v>
      </c>
      <c r="L413" s="83" t="str">
        <f t="shared" si="3"/>
        <v/>
      </c>
      <c r="M413" s="83">
        <f>'JUN-26'!H44</f>
        <v>0</v>
      </c>
      <c r="N413" s="92" t="str">
        <f ca="1">IF(BD!$C413="","",IF(AND(TODAY()&gt;BD!$C413,OR(BD!$D413="PENDENTE",BD!$D413="")),"VENCIDO",""))</f>
        <v/>
      </c>
      <c r="O413" s="82" t="str">
        <f ca="1">IF(N413 = "VENCIDO",BD!$B413,"")</f>
        <v/>
      </c>
      <c r="P413" s="82" t="str">
        <f ca="1">IF(N413 = "VENCIDO",BD!$C413,"")</f>
        <v/>
      </c>
      <c r="Q413" s="83" t="str">
        <f ca="1">IF(N413 = "VENCIDO",BD!$E413,"")</f>
        <v/>
      </c>
      <c r="R413" s="83" t="str">
        <f ca="1">IF(N413 = "VENCIDO",BD!$F413,"")</f>
        <v/>
      </c>
      <c r="S413" s="85" t="str">
        <f ca="1">IF(N413 = "VENCIDO",BD!$G413,"")</f>
        <v/>
      </c>
      <c r="T413" s="83" t="str">
        <f ca="1">IF(AND(TODAY()&gt;BD!$C413, OR(BD!$D413="PENDENTE", BD!$D413="")), TODAY()-BD!$C413, "")</f>
        <v/>
      </c>
    </row>
    <row r="414" spans="1:20" ht="14.25" customHeight="1" x14ac:dyDescent="0.35">
      <c r="A414" s="32"/>
      <c r="B414" s="82">
        <f>'JUN-26'!A45</f>
        <v>0</v>
      </c>
      <c r="C414" s="82">
        <f>'JUN-26'!B45</f>
        <v>0</v>
      </c>
      <c r="D414" s="82">
        <f>'JUN-26'!C45</f>
        <v>0</v>
      </c>
      <c r="E414" s="83">
        <f>'JUN-26'!D45</f>
        <v>0</v>
      </c>
      <c r="F414" s="84">
        <f>'JUN-26'!E45</f>
        <v>0</v>
      </c>
      <c r="G414" s="85">
        <f>'JUN-26'!F45</f>
        <v>0</v>
      </c>
      <c r="H414" s="85">
        <f t="shared" si="0"/>
        <v>0</v>
      </c>
      <c r="I414" s="83" t="s">
        <v>100</v>
      </c>
      <c r="J414" s="83" t="str">
        <f t="shared" si="1"/>
        <v/>
      </c>
      <c r="K414" s="85">
        <f t="shared" si="2"/>
        <v>0</v>
      </c>
      <c r="L414" s="83" t="str">
        <f t="shared" si="3"/>
        <v/>
      </c>
      <c r="M414" s="83">
        <f>'JUN-26'!H45</f>
        <v>0</v>
      </c>
      <c r="N414" s="92" t="str">
        <f ca="1">IF(BD!$C414="","",IF(AND(TODAY()&gt;BD!$C414,OR(BD!$D414="PENDENTE",BD!$D414="")),"VENCIDO",""))</f>
        <v/>
      </c>
      <c r="O414" s="82" t="str">
        <f ca="1">IF(N414 = "VENCIDO",BD!$B414,"")</f>
        <v/>
      </c>
      <c r="P414" s="82" t="str">
        <f ca="1">IF(N414 = "VENCIDO",BD!$C414,"")</f>
        <v/>
      </c>
      <c r="Q414" s="83" t="str">
        <f ca="1">IF(N414 = "VENCIDO",BD!$E414,"")</f>
        <v/>
      </c>
      <c r="R414" s="83" t="str">
        <f ca="1">IF(N414 = "VENCIDO",BD!$F414,"")</f>
        <v/>
      </c>
      <c r="S414" s="85" t="str">
        <f ca="1">IF(N414 = "VENCIDO",BD!$G414,"")</f>
        <v/>
      </c>
      <c r="T414" s="83" t="str">
        <f ca="1">IF(AND(TODAY()&gt;BD!$C414, OR(BD!$D414="PENDENTE", BD!$D414="")), TODAY()-BD!$C414, "")</f>
        <v/>
      </c>
    </row>
    <row r="415" spans="1:20" ht="14.25" customHeight="1" x14ac:dyDescent="0.35">
      <c r="A415" s="32"/>
      <c r="B415" s="82">
        <f>'JUN-26'!A46</f>
        <v>0</v>
      </c>
      <c r="C415" s="82">
        <f>'JUN-26'!B46</f>
        <v>0</v>
      </c>
      <c r="D415" s="82">
        <f>'JUN-26'!C46</f>
        <v>0</v>
      </c>
      <c r="E415" s="83">
        <f>'JUN-26'!D46</f>
        <v>0</v>
      </c>
      <c r="F415" s="84">
        <f>'JUN-26'!E46</f>
        <v>0</v>
      </c>
      <c r="G415" s="85">
        <f>'JUN-26'!F46</f>
        <v>0</v>
      </c>
      <c r="H415" s="85">
        <f t="shared" si="0"/>
        <v>0</v>
      </c>
      <c r="I415" s="83" t="s">
        <v>100</v>
      </c>
      <c r="J415" s="83" t="str">
        <f t="shared" si="1"/>
        <v/>
      </c>
      <c r="K415" s="85">
        <f t="shared" si="2"/>
        <v>0</v>
      </c>
      <c r="L415" s="83" t="str">
        <f t="shared" si="3"/>
        <v/>
      </c>
      <c r="M415" s="83">
        <f>'JUN-26'!H46</f>
        <v>0</v>
      </c>
      <c r="N415" s="92" t="str">
        <f ca="1">IF(BD!$C415="","",IF(AND(TODAY()&gt;BD!$C415,OR(BD!$D415="PENDENTE",BD!$D415="")),"VENCIDO",""))</f>
        <v/>
      </c>
      <c r="O415" s="82" t="str">
        <f ca="1">IF(N415 = "VENCIDO",BD!$B415,"")</f>
        <v/>
      </c>
      <c r="P415" s="82" t="str">
        <f ca="1">IF(N415 = "VENCIDO",BD!$C415,"")</f>
        <v/>
      </c>
      <c r="Q415" s="83" t="str">
        <f ca="1">IF(N415 = "VENCIDO",BD!$E415,"")</f>
        <v/>
      </c>
      <c r="R415" s="83" t="str">
        <f ca="1">IF(N415 = "VENCIDO",BD!$F415,"")</f>
        <v/>
      </c>
      <c r="S415" s="85" t="str">
        <f ca="1">IF(N415 = "VENCIDO",BD!$G415,"")</f>
        <v/>
      </c>
      <c r="T415" s="83" t="str">
        <f ca="1">IF(AND(TODAY()&gt;BD!$C415, OR(BD!$D415="PENDENTE", BD!$D415="")), TODAY()-BD!$C415, "")</f>
        <v/>
      </c>
    </row>
    <row r="416" spans="1:20" ht="14.25" customHeight="1" x14ac:dyDescent="0.35">
      <c r="A416" s="32"/>
      <c r="B416" s="82">
        <f>'JUN-26'!A47</f>
        <v>0</v>
      </c>
      <c r="C416" s="82">
        <f>'JUN-26'!B47</f>
        <v>0</v>
      </c>
      <c r="D416" s="82">
        <f>'JUN-26'!C47</f>
        <v>0</v>
      </c>
      <c r="E416" s="83">
        <f>'JUN-26'!D47</f>
        <v>0</v>
      </c>
      <c r="F416" s="84">
        <f>'JUN-26'!E47</f>
        <v>0</v>
      </c>
      <c r="G416" s="85">
        <f>'JUN-26'!F47</f>
        <v>0</v>
      </c>
      <c r="H416" s="85">
        <f t="shared" si="0"/>
        <v>0</v>
      </c>
      <c r="I416" s="83" t="s">
        <v>100</v>
      </c>
      <c r="J416" s="83" t="str">
        <f t="shared" si="1"/>
        <v/>
      </c>
      <c r="K416" s="85">
        <f t="shared" si="2"/>
        <v>0</v>
      </c>
      <c r="L416" s="83" t="str">
        <f t="shared" si="3"/>
        <v/>
      </c>
      <c r="M416" s="83">
        <f>'JUN-26'!H47</f>
        <v>0</v>
      </c>
      <c r="N416" s="92" t="str">
        <f ca="1">IF(BD!$C416="","",IF(AND(TODAY()&gt;BD!$C416,OR(BD!$D416="PENDENTE",BD!$D416="")),"VENCIDO",""))</f>
        <v/>
      </c>
      <c r="O416" s="82" t="str">
        <f ca="1">IF(N416 = "VENCIDO",BD!$B416,"")</f>
        <v/>
      </c>
      <c r="P416" s="82" t="str">
        <f ca="1">IF(N416 = "VENCIDO",BD!$C416,"")</f>
        <v/>
      </c>
      <c r="Q416" s="83" t="str">
        <f ca="1">IF(N416 = "VENCIDO",BD!$E416,"")</f>
        <v/>
      </c>
      <c r="R416" s="83" t="str">
        <f ca="1">IF(N416 = "VENCIDO",BD!$F416,"")</f>
        <v/>
      </c>
      <c r="S416" s="85" t="str">
        <f ca="1">IF(N416 = "VENCIDO",BD!$G416,"")</f>
        <v/>
      </c>
      <c r="T416" s="83" t="str">
        <f ca="1">IF(AND(TODAY()&gt;BD!$C416, OR(BD!$D416="PENDENTE", BD!$D416="")), TODAY()-BD!$C416, "")</f>
        <v/>
      </c>
    </row>
    <row r="417" spans="1:20" ht="14.25" customHeight="1" x14ac:dyDescent="0.35">
      <c r="A417" s="32"/>
      <c r="B417" s="82">
        <f>'JUN-26'!A48</f>
        <v>0</v>
      </c>
      <c r="C417" s="82">
        <f>'JUN-26'!B48</f>
        <v>0</v>
      </c>
      <c r="D417" s="82">
        <f>'JUN-26'!C48</f>
        <v>0</v>
      </c>
      <c r="E417" s="83">
        <f>'JUN-26'!D48</f>
        <v>0</v>
      </c>
      <c r="F417" s="84">
        <f>'JUN-26'!E48</f>
        <v>0</v>
      </c>
      <c r="G417" s="85">
        <f>'JUN-26'!F48</f>
        <v>0</v>
      </c>
      <c r="H417" s="85">
        <f t="shared" si="0"/>
        <v>0</v>
      </c>
      <c r="I417" s="83" t="s">
        <v>100</v>
      </c>
      <c r="J417" s="83" t="str">
        <f t="shared" si="1"/>
        <v/>
      </c>
      <c r="K417" s="85">
        <f t="shared" si="2"/>
        <v>0</v>
      </c>
      <c r="L417" s="83" t="str">
        <f t="shared" si="3"/>
        <v/>
      </c>
      <c r="M417" s="83">
        <f>'JUN-26'!H48</f>
        <v>0</v>
      </c>
      <c r="N417" s="92" t="str">
        <f ca="1">IF(BD!$C417="","",IF(AND(TODAY()&gt;BD!$C417,OR(BD!$D417="PENDENTE",BD!$D417="")),"VENCIDO",""))</f>
        <v/>
      </c>
      <c r="O417" s="82" t="str">
        <f ca="1">IF(N417 = "VENCIDO",BD!$B417,"")</f>
        <v/>
      </c>
      <c r="P417" s="82" t="str">
        <f ca="1">IF(N417 = "VENCIDO",BD!$C417,"")</f>
        <v/>
      </c>
      <c r="Q417" s="83" t="str">
        <f ca="1">IF(N417 = "VENCIDO",BD!$E417,"")</f>
        <v/>
      </c>
      <c r="R417" s="83" t="str">
        <f ca="1">IF(N417 = "VENCIDO",BD!$F417,"")</f>
        <v/>
      </c>
      <c r="S417" s="85" t="str">
        <f ca="1">IF(N417 = "VENCIDO",BD!$G417,"")</f>
        <v/>
      </c>
      <c r="T417" s="83" t="str">
        <f ca="1">IF(AND(TODAY()&gt;BD!$C417, OR(BD!$D417="PENDENTE", BD!$D417="")), TODAY()-BD!$C417, "")</f>
        <v/>
      </c>
    </row>
    <row r="418" spans="1:20" ht="14.25" customHeight="1" x14ac:dyDescent="0.35">
      <c r="A418" s="32"/>
      <c r="B418" s="82">
        <f>'JUN-26'!A49</f>
        <v>0</v>
      </c>
      <c r="C418" s="82">
        <f>'JUN-26'!B49</f>
        <v>0</v>
      </c>
      <c r="D418" s="82">
        <f>'JUN-26'!C49</f>
        <v>0</v>
      </c>
      <c r="E418" s="83">
        <f>'JUN-26'!D49</f>
        <v>0</v>
      </c>
      <c r="F418" s="84">
        <f>'JUN-26'!E49</f>
        <v>0</v>
      </c>
      <c r="G418" s="85">
        <f>'JUN-26'!F49</f>
        <v>0</v>
      </c>
      <c r="H418" s="85">
        <f t="shared" si="0"/>
        <v>0</v>
      </c>
      <c r="I418" s="83" t="s">
        <v>100</v>
      </c>
      <c r="J418" s="83" t="str">
        <f t="shared" si="1"/>
        <v/>
      </c>
      <c r="K418" s="85">
        <f t="shared" si="2"/>
        <v>0</v>
      </c>
      <c r="L418" s="83" t="str">
        <f t="shared" si="3"/>
        <v/>
      </c>
      <c r="M418" s="83">
        <f>'JUN-26'!H49</f>
        <v>0</v>
      </c>
      <c r="N418" s="92" t="str">
        <f ca="1">IF(BD!$C418="","",IF(AND(TODAY()&gt;BD!$C418,OR(BD!$D418="PENDENTE",BD!$D418="")),"VENCIDO",""))</f>
        <v/>
      </c>
      <c r="O418" s="82" t="str">
        <f ca="1">IF(N418 = "VENCIDO",BD!$B418,"")</f>
        <v/>
      </c>
      <c r="P418" s="82" t="str">
        <f ca="1">IF(N418 = "VENCIDO",BD!$C418,"")</f>
        <v/>
      </c>
      <c r="Q418" s="83" t="str">
        <f ca="1">IF(N418 = "VENCIDO",BD!$E418,"")</f>
        <v/>
      </c>
      <c r="R418" s="83" t="str">
        <f ca="1">IF(N418 = "VENCIDO",BD!$F418,"")</f>
        <v/>
      </c>
      <c r="S418" s="85" t="str">
        <f ca="1">IF(N418 = "VENCIDO",BD!$G418,"")</f>
        <v/>
      </c>
      <c r="T418" s="83" t="str">
        <f ca="1">IF(AND(TODAY()&gt;BD!$C418, OR(BD!$D418="PENDENTE", BD!$D418="")), TODAY()-BD!$C418, "")</f>
        <v/>
      </c>
    </row>
    <row r="419" spans="1:20" ht="14.25" customHeight="1" x14ac:dyDescent="0.35">
      <c r="A419" s="32"/>
      <c r="B419" s="82">
        <f>'JUN-26'!A50</f>
        <v>0</v>
      </c>
      <c r="C419" s="82">
        <f>'JUN-26'!B50</f>
        <v>0</v>
      </c>
      <c r="D419" s="82">
        <f>'JUN-26'!C50</f>
        <v>0</v>
      </c>
      <c r="E419" s="83">
        <f>'JUN-26'!D50</f>
        <v>0</v>
      </c>
      <c r="F419" s="84">
        <f>'JUN-26'!E50</f>
        <v>0</v>
      </c>
      <c r="G419" s="85">
        <f>'JUN-26'!F50</f>
        <v>0</v>
      </c>
      <c r="H419" s="85">
        <f t="shared" si="0"/>
        <v>0</v>
      </c>
      <c r="I419" s="83" t="s">
        <v>100</v>
      </c>
      <c r="J419" s="83" t="str">
        <f t="shared" si="1"/>
        <v/>
      </c>
      <c r="K419" s="85">
        <f t="shared" si="2"/>
        <v>0</v>
      </c>
      <c r="L419" s="83" t="str">
        <f t="shared" si="3"/>
        <v/>
      </c>
      <c r="M419" s="83">
        <f>'JUN-26'!H50</f>
        <v>0</v>
      </c>
      <c r="N419" s="92" t="str">
        <f ca="1">IF(BD!$C419="","",IF(AND(TODAY()&gt;BD!$C419,OR(BD!$D419="PENDENTE",BD!$D419="")),"VENCIDO",""))</f>
        <v/>
      </c>
      <c r="O419" s="82" t="str">
        <f ca="1">IF(N419 = "VENCIDO",BD!$B419,"")</f>
        <v/>
      </c>
      <c r="P419" s="82" t="str">
        <f ca="1">IF(N419 = "VENCIDO",BD!$C419,"")</f>
        <v/>
      </c>
      <c r="Q419" s="83" t="str">
        <f ca="1">IF(N419 = "VENCIDO",BD!$E419,"")</f>
        <v/>
      </c>
      <c r="R419" s="83" t="str">
        <f ca="1">IF(N419 = "VENCIDO",BD!$F419,"")</f>
        <v/>
      </c>
      <c r="S419" s="85" t="str">
        <f ca="1">IF(N419 = "VENCIDO",BD!$G419,"")</f>
        <v/>
      </c>
      <c r="T419" s="83" t="str">
        <f ca="1">IF(AND(TODAY()&gt;BD!$C419, OR(BD!$D419="PENDENTE", BD!$D419="")), TODAY()-BD!$C419, "")</f>
        <v/>
      </c>
    </row>
    <row r="420" spans="1:20" ht="14.25" customHeight="1" x14ac:dyDescent="0.35">
      <c r="A420" s="32"/>
      <c r="B420" s="82">
        <f>'JUN-26'!A51</f>
        <v>0</v>
      </c>
      <c r="C420" s="82">
        <f>'JUN-26'!B51</f>
        <v>0</v>
      </c>
      <c r="D420" s="82">
        <f>'JUN-26'!C51</f>
        <v>0</v>
      </c>
      <c r="E420" s="83">
        <f>'JUN-26'!D51</f>
        <v>0</v>
      </c>
      <c r="F420" s="84">
        <f>'JUN-26'!E51</f>
        <v>0</v>
      </c>
      <c r="G420" s="85">
        <f>'JUN-26'!F51</f>
        <v>0</v>
      </c>
      <c r="H420" s="85">
        <f t="shared" si="0"/>
        <v>0</v>
      </c>
      <c r="I420" s="83" t="s">
        <v>100</v>
      </c>
      <c r="J420" s="83" t="str">
        <f t="shared" si="1"/>
        <v/>
      </c>
      <c r="K420" s="85">
        <f t="shared" si="2"/>
        <v>0</v>
      </c>
      <c r="L420" s="83" t="str">
        <f t="shared" si="3"/>
        <v/>
      </c>
      <c r="M420" s="83">
        <f>'JUN-26'!H51</f>
        <v>0</v>
      </c>
      <c r="N420" s="92" t="str">
        <f ca="1">IF(BD!$C420="","",IF(AND(TODAY()&gt;BD!$C420,OR(BD!$D420="PENDENTE",BD!$D420="")),"VENCIDO",""))</f>
        <v/>
      </c>
      <c r="O420" s="82" t="str">
        <f ca="1">IF(N420 = "VENCIDO",BD!$B420,"")</f>
        <v/>
      </c>
      <c r="P420" s="82" t="str">
        <f ca="1">IF(N420 = "VENCIDO",BD!$C420,"")</f>
        <v/>
      </c>
      <c r="Q420" s="83" t="str">
        <f ca="1">IF(N420 = "VENCIDO",BD!$E420,"")</f>
        <v/>
      </c>
      <c r="R420" s="83" t="str">
        <f ca="1">IF(N420 = "VENCIDO",BD!$F420,"")</f>
        <v/>
      </c>
      <c r="S420" s="85" t="str">
        <f ca="1">IF(N420 = "VENCIDO",BD!$G420,"")</f>
        <v/>
      </c>
      <c r="T420" s="83" t="str">
        <f ca="1">IF(AND(TODAY()&gt;BD!$C420, OR(BD!$D420="PENDENTE", BD!$D420="")), TODAY()-BD!$C420, "")</f>
        <v/>
      </c>
    </row>
    <row r="421" spans="1:20" ht="14.25" customHeight="1" x14ac:dyDescent="0.35">
      <c r="A421" s="32"/>
      <c r="B421" s="82">
        <f>'JUN-26'!A52</f>
        <v>0</v>
      </c>
      <c r="C421" s="82">
        <f>'JUN-26'!B52</f>
        <v>0</v>
      </c>
      <c r="D421" s="82">
        <f>'JUN-26'!C52</f>
        <v>0</v>
      </c>
      <c r="E421" s="83">
        <f>'JUN-26'!D52</f>
        <v>0</v>
      </c>
      <c r="F421" s="84">
        <f>'JUN-26'!E52</f>
        <v>0</v>
      </c>
      <c r="G421" s="85">
        <f>'JUN-26'!F52</f>
        <v>0</v>
      </c>
      <c r="H421" s="85">
        <f t="shared" si="0"/>
        <v>0</v>
      </c>
      <c r="I421" s="83" t="s">
        <v>100</v>
      </c>
      <c r="J421" s="83" t="str">
        <f t="shared" si="1"/>
        <v/>
      </c>
      <c r="K421" s="85">
        <f t="shared" si="2"/>
        <v>0</v>
      </c>
      <c r="L421" s="83" t="str">
        <f t="shared" si="3"/>
        <v/>
      </c>
      <c r="M421" s="83">
        <f>'JUN-26'!H52</f>
        <v>0</v>
      </c>
      <c r="N421" s="92" t="str">
        <f ca="1">IF(BD!$C421="","",IF(AND(TODAY()&gt;BD!$C421,OR(BD!$D421="PENDENTE",BD!$D421="")),"VENCIDO",""))</f>
        <v/>
      </c>
      <c r="O421" s="82" t="str">
        <f ca="1">IF(N421 = "VENCIDO",BD!$B421,"")</f>
        <v/>
      </c>
      <c r="P421" s="82" t="str">
        <f ca="1">IF(N421 = "VENCIDO",BD!$C421,"")</f>
        <v/>
      </c>
      <c r="Q421" s="83" t="str">
        <f ca="1">IF(N421 = "VENCIDO",BD!$E421,"")</f>
        <v/>
      </c>
      <c r="R421" s="83" t="str">
        <f ca="1">IF(N421 = "VENCIDO",BD!$F421,"")</f>
        <v/>
      </c>
      <c r="S421" s="85" t="str">
        <f ca="1">IF(N421 = "VENCIDO",BD!$G421,"")</f>
        <v/>
      </c>
      <c r="T421" s="83" t="str">
        <f ca="1">IF(AND(TODAY()&gt;BD!$C421, OR(BD!$D421="PENDENTE", BD!$D421="")), TODAY()-BD!$C421, "")</f>
        <v/>
      </c>
    </row>
    <row r="422" spans="1:20" ht="14.25" customHeight="1" x14ac:dyDescent="0.35">
      <c r="A422" s="32"/>
      <c r="B422" s="82">
        <f>'JUN-26'!A53</f>
        <v>0</v>
      </c>
      <c r="C422" s="82">
        <f>'JUN-26'!B53</f>
        <v>0</v>
      </c>
      <c r="D422" s="82">
        <f>'JUN-26'!C53</f>
        <v>0</v>
      </c>
      <c r="E422" s="83">
        <f>'JUN-26'!D53</f>
        <v>0</v>
      </c>
      <c r="F422" s="84">
        <f>'JUN-26'!E53</f>
        <v>0</v>
      </c>
      <c r="G422" s="85">
        <f>'JUN-26'!F53</f>
        <v>0</v>
      </c>
      <c r="H422" s="85">
        <f t="shared" si="0"/>
        <v>0</v>
      </c>
      <c r="I422" s="83" t="s">
        <v>100</v>
      </c>
      <c r="J422" s="83" t="str">
        <f t="shared" si="1"/>
        <v/>
      </c>
      <c r="K422" s="85">
        <f t="shared" si="2"/>
        <v>0</v>
      </c>
      <c r="L422" s="83" t="str">
        <f t="shared" si="3"/>
        <v/>
      </c>
      <c r="M422" s="83">
        <f>'JUN-26'!H53</f>
        <v>0</v>
      </c>
      <c r="N422" s="92" t="str">
        <f ca="1">IF(BD!$C422="","",IF(AND(TODAY()&gt;BD!$C422,OR(BD!$D422="PENDENTE",BD!$D422="")),"VENCIDO",""))</f>
        <v/>
      </c>
      <c r="O422" s="82" t="str">
        <f ca="1">IF(N422 = "VENCIDO",BD!$B422,"")</f>
        <v/>
      </c>
      <c r="P422" s="82" t="str">
        <f ca="1">IF(N422 = "VENCIDO",BD!$C422,"")</f>
        <v/>
      </c>
      <c r="Q422" s="83" t="str">
        <f ca="1">IF(N422 = "VENCIDO",BD!$E422,"")</f>
        <v/>
      </c>
      <c r="R422" s="83" t="str">
        <f ca="1">IF(N422 = "VENCIDO",BD!$F422,"")</f>
        <v/>
      </c>
      <c r="S422" s="85" t="str">
        <f ca="1">IF(N422 = "VENCIDO",BD!$G422,"")</f>
        <v/>
      </c>
      <c r="T422" s="83" t="str">
        <f ca="1">IF(AND(TODAY()&gt;BD!$C422, OR(BD!$D422="PENDENTE", BD!$D422="")), TODAY()-BD!$C422, "")</f>
        <v/>
      </c>
    </row>
    <row r="423" spans="1:20" ht="14.25" customHeight="1" x14ac:dyDescent="0.35">
      <c r="A423" s="32"/>
      <c r="B423" s="82">
        <f>'JUN-26'!A54</f>
        <v>0</v>
      </c>
      <c r="C423" s="82">
        <f>'JUN-26'!B54</f>
        <v>0</v>
      </c>
      <c r="D423" s="82">
        <f>'JUN-26'!C54</f>
        <v>0</v>
      </c>
      <c r="E423" s="83">
        <f>'JUN-26'!D54</f>
        <v>0</v>
      </c>
      <c r="F423" s="84">
        <f>'JUN-26'!E54</f>
        <v>0</v>
      </c>
      <c r="G423" s="85">
        <f>'JUN-26'!F54</f>
        <v>0</v>
      </c>
      <c r="H423" s="85">
        <f t="shared" si="0"/>
        <v>0</v>
      </c>
      <c r="I423" s="83" t="s">
        <v>100</v>
      </c>
      <c r="J423" s="83" t="str">
        <f t="shared" si="1"/>
        <v/>
      </c>
      <c r="K423" s="85">
        <f t="shared" si="2"/>
        <v>0</v>
      </c>
      <c r="L423" s="83" t="str">
        <f t="shared" si="3"/>
        <v/>
      </c>
      <c r="M423" s="83">
        <f>'JUN-26'!H54</f>
        <v>0</v>
      </c>
      <c r="N423" s="92" t="str">
        <f ca="1">IF(BD!$C423="","",IF(AND(TODAY()&gt;BD!$C423,OR(BD!$D423="PENDENTE",BD!$D423="")),"VENCIDO",""))</f>
        <v/>
      </c>
      <c r="O423" s="82" t="str">
        <f ca="1">IF(N423 = "VENCIDO",BD!$B423,"")</f>
        <v/>
      </c>
      <c r="P423" s="82" t="str">
        <f ca="1">IF(N423 = "VENCIDO",BD!$C423,"")</f>
        <v/>
      </c>
      <c r="Q423" s="83" t="str">
        <f ca="1">IF(N423 = "VENCIDO",BD!$E423,"")</f>
        <v/>
      </c>
      <c r="R423" s="83" t="str">
        <f ca="1">IF(N423 = "VENCIDO",BD!$F423,"")</f>
        <v/>
      </c>
      <c r="S423" s="85" t="str">
        <f ca="1">IF(N423 = "VENCIDO",BD!$G423,"")</f>
        <v/>
      </c>
      <c r="T423" s="83" t="str">
        <f ca="1">IF(AND(TODAY()&gt;BD!$C423, OR(BD!$D423="PENDENTE", BD!$D423="")), TODAY()-BD!$C423, "")</f>
        <v/>
      </c>
    </row>
    <row r="424" spans="1:20" ht="14.25" customHeight="1" x14ac:dyDescent="0.35">
      <c r="A424" s="32"/>
      <c r="B424" s="82">
        <f>'JUN-26'!A55</f>
        <v>0</v>
      </c>
      <c r="C424" s="82">
        <f>'JUN-26'!B55</f>
        <v>0</v>
      </c>
      <c r="D424" s="82">
        <f>'JUN-26'!C55</f>
        <v>0</v>
      </c>
      <c r="E424" s="83">
        <f>'JUN-26'!D55</f>
        <v>0</v>
      </c>
      <c r="F424" s="84">
        <f>'JUN-26'!E55</f>
        <v>0</v>
      </c>
      <c r="G424" s="85">
        <f>'JUN-26'!F55</f>
        <v>0</v>
      </c>
      <c r="H424" s="85">
        <f t="shared" si="0"/>
        <v>0</v>
      </c>
      <c r="I424" s="83" t="s">
        <v>100</v>
      </c>
      <c r="J424" s="83" t="str">
        <f t="shared" si="1"/>
        <v/>
      </c>
      <c r="K424" s="85">
        <f t="shared" si="2"/>
        <v>0</v>
      </c>
      <c r="L424" s="83" t="str">
        <f t="shared" si="3"/>
        <v/>
      </c>
      <c r="M424" s="83">
        <f>'JUN-26'!H55</f>
        <v>0</v>
      </c>
      <c r="N424" s="92" t="str">
        <f ca="1">IF(BD!$C424="","",IF(AND(TODAY()&gt;BD!$C424,OR(BD!$D424="PENDENTE",BD!$D424="")),"VENCIDO",""))</f>
        <v/>
      </c>
      <c r="O424" s="82" t="str">
        <f ca="1">IF(N424 = "VENCIDO",BD!$B424,"")</f>
        <v/>
      </c>
      <c r="P424" s="82" t="str">
        <f ca="1">IF(N424 = "VENCIDO",BD!$C424,"")</f>
        <v/>
      </c>
      <c r="Q424" s="83" t="str">
        <f ca="1">IF(N424 = "VENCIDO",BD!$E424,"")</f>
        <v/>
      </c>
      <c r="R424" s="83" t="str">
        <f ca="1">IF(N424 = "VENCIDO",BD!$F424,"")</f>
        <v/>
      </c>
      <c r="S424" s="85" t="str">
        <f ca="1">IF(N424 = "VENCIDO",BD!$G424,"")</f>
        <v/>
      </c>
      <c r="T424" s="83" t="str">
        <f ca="1">IF(AND(TODAY()&gt;BD!$C424, OR(BD!$D424="PENDENTE", BD!$D424="")), TODAY()-BD!$C424, "")</f>
        <v/>
      </c>
    </row>
    <row r="425" spans="1:20" ht="14.25" customHeight="1" x14ac:dyDescent="0.35">
      <c r="A425" s="32"/>
      <c r="B425" s="82">
        <f>'JUN-26'!A56</f>
        <v>0</v>
      </c>
      <c r="C425" s="82">
        <f>'JUN-26'!B56</f>
        <v>0</v>
      </c>
      <c r="D425" s="82">
        <f>'JUN-26'!C56</f>
        <v>0</v>
      </c>
      <c r="E425" s="83">
        <f>'JUN-26'!D56</f>
        <v>0</v>
      </c>
      <c r="F425" s="84">
        <f>'JUN-26'!E56</f>
        <v>0</v>
      </c>
      <c r="G425" s="85">
        <f>'JUN-26'!F56</f>
        <v>0</v>
      </c>
      <c r="H425" s="85">
        <f t="shared" si="0"/>
        <v>0</v>
      </c>
      <c r="I425" s="83" t="s">
        <v>100</v>
      </c>
      <c r="J425" s="83" t="str">
        <f t="shared" si="1"/>
        <v/>
      </c>
      <c r="K425" s="85">
        <f t="shared" si="2"/>
        <v>0</v>
      </c>
      <c r="L425" s="83" t="str">
        <f t="shared" si="3"/>
        <v/>
      </c>
      <c r="M425" s="83">
        <f>'JUN-26'!H56</f>
        <v>0</v>
      </c>
      <c r="N425" s="92" t="str">
        <f ca="1">IF(BD!$C425="","",IF(AND(TODAY()&gt;BD!$C425,OR(BD!$D425="PENDENTE",BD!$D425="")),"VENCIDO",""))</f>
        <v/>
      </c>
      <c r="O425" s="82" t="str">
        <f ca="1">IF(N425 = "VENCIDO",BD!$B425,"")</f>
        <v/>
      </c>
      <c r="P425" s="82" t="str">
        <f ca="1">IF(N425 = "VENCIDO",BD!$C425,"")</f>
        <v/>
      </c>
      <c r="Q425" s="83" t="str">
        <f ca="1">IF(N425 = "VENCIDO",BD!$E425,"")</f>
        <v/>
      </c>
      <c r="R425" s="83" t="str">
        <f ca="1">IF(N425 = "VENCIDO",BD!$F425,"")</f>
        <v/>
      </c>
      <c r="S425" s="85" t="str">
        <f ca="1">IF(N425 = "VENCIDO",BD!$G425,"")</f>
        <v/>
      </c>
      <c r="T425" s="83" t="str">
        <f ca="1">IF(AND(TODAY()&gt;BD!$C425, OR(BD!$D425="PENDENTE", BD!$D425="")), TODAY()-BD!$C425, "")</f>
        <v/>
      </c>
    </row>
    <row r="426" spans="1:20" ht="14.25" customHeight="1" x14ac:dyDescent="0.35">
      <c r="A426" s="32"/>
      <c r="B426" s="82">
        <f>'JUN-26'!A57</f>
        <v>0</v>
      </c>
      <c r="C426" s="82">
        <f>'JUN-26'!B57</f>
        <v>0</v>
      </c>
      <c r="D426" s="82">
        <f>'JUN-26'!C57</f>
        <v>0</v>
      </c>
      <c r="E426" s="83">
        <f>'JUN-26'!D57</f>
        <v>0</v>
      </c>
      <c r="F426" s="84">
        <f>'JUN-26'!E57</f>
        <v>0</v>
      </c>
      <c r="G426" s="85">
        <f>'JUN-26'!F57</f>
        <v>0</v>
      </c>
      <c r="H426" s="85">
        <f t="shared" si="0"/>
        <v>0</v>
      </c>
      <c r="I426" s="83" t="s">
        <v>100</v>
      </c>
      <c r="J426" s="83" t="str">
        <f t="shared" si="1"/>
        <v/>
      </c>
      <c r="K426" s="85">
        <f t="shared" si="2"/>
        <v>0</v>
      </c>
      <c r="L426" s="83" t="str">
        <f t="shared" si="3"/>
        <v/>
      </c>
      <c r="M426" s="83">
        <f>'JUN-26'!H57</f>
        <v>0</v>
      </c>
      <c r="N426" s="92" t="str">
        <f ca="1">IF(BD!$C426="","",IF(AND(TODAY()&gt;BD!$C426,OR(BD!$D426="PENDENTE",BD!$D426="")),"VENCIDO",""))</f>
        <v/>
      </c>
      <c r="O426" s="82" t="str">
        <f ca="1">IF(N426 = "VENCIDO",BD!$B426,"")</f>
        <v/>
      </c>
      <c r="P426" s="82" t="str">
        <f ca="1">IF(N426 = "VENCIDO",BD!$C426,"")</f>
        <v/>
      </c>
      <c r="Q426" s="83" t="str">
        <f ca="1">IF(N426 = "VENCIDO",BD!$E426,"")</f>
        <v/>
      </c>
      <c r="R426" s="83" t="str">
        <f ca="1">IF(N426 = "VENCIDO",BD!$F426,"")</f>
        <v/>
      </c>
      <c r="S426" s="85" t="str">
        <f ca="1">IF(N426 = "VENCIDO",BD!$G426,"")</f>
        <v/>
      </c>
      <c r="T426" s="83" t="str">
        <f ca="1">IF(AND(TODAY()&gt;BD!$C426, OR(BD!$D426="PENDENTE", BD!$D426="")), TODAY()-BD!$C426, "")</f>
        <v/>
      </c>
    </row>
    <row r="427" spans="1:20" ht="14.25" customHeight="1" x14ac:dyDescent="0.35">
      <c r="A427" s="32"/>
      <c r="B427" s="82">
        <f>'JUN-26'!A58</f>
        <v>0</v>
      </c>
      <c r="C427" s="82">
        <f>'JUN-26'!B58</f>
        <v>0</v>
      </c>
      <c r="D427" s="82">
        <f>'JUN-26'!C58</f>
        <v>0</v>
      </c>
      <c r="E427" s="83">
        <f>'JUN-26'!D58</f>
        <v>0</v>
      </c>
      <c r="F427" s="84">
        <f>'JUN-26'!E58</f>
        <v>0</v>
      </c>
      <c r="G427" s="85">
        <f>'JUN-26'!F58</f>
        <v>0</v>
      </c>
      <c r="H427" s="85">
        <f t="shared" si="0"/>
        <v>0</v>
      </c>
      <c r="I427" s="83" t="s">
        <v>100</v>
      </c>
      <c r="J427" s="83" t="str">
        <f t="shared" si="1"/>
        <v/>
      </c>
      <c r="K427" s="85">
        <f t="shared" si="2"/>
        <v>0</v>
      </c>
      <c r="L427" s="83" t="str">
        <f t="shared" si="3"/>
        <v/>
      </c>
      <c r="M427" s="83">
        <f>'JUN-26'!H58</f>
        <v>0</v>
      </c>
      <c r="N427" s="92" t="str">
        <f ca="1">IF(BD!$C427="","",IF(AND(TODAY()&gt;BD!$C427,OR(BD!$D427="PENDENTE",BD!$D427="")),"VENCIDO",""))</f>
        <v/>
      </c>
      <c r="O427" s="82" t="str">
        <f ca="1">IF(N427 = "VENCIDO",BD!$B427,"")</f>
        <v/>
      </c>
      <c r="P427" s="82" t="str">
        <f ca="1">IF(N427 = "VENCIDO",BD!$C427,"")</f>
        <v/>
      </c>
      <c r="Q427" s="83" t="str">
        <f ca="1">IF(N427 = "VENCIDO",BD!$E427,"")</f>
        <v/>
      </c>
      <c r="R427" s="83" t="str">
        <f ca="1">IF(N427 = "VENCIDO",BD!$F427,"")</f>
        <v/>
      </c>
      <c r="S427" s="85" t="str">
        <f ca="1">IF(N427 = "VENCIDO",BD!$G427,"")</f>
        <v/>
      </c>
      <c r="T427" s="83" t="str">
        <f ca="1">IF(AND(TODAY()&gt;BD!$C427, OR(BD!$D427="PENDENTE", BD!$D427="")), TODAY()-BD!$C427, "")</f>
        <v/>
      </c>
    </row>
    <row r="428" spans="1:20" ht="14.25" customHeight="1" x14ac:dyDescent="0.35">
      <c r="A428" s="32"/>
      <c r="B428" s="82">
        <f>'JUN-26'!A59</f>
        <v>0</v>
      </c>
      <c r="C428" s="82">
        <f>'JUN-26'!B59</f>
        <v>0</v>
      </c>
      <c r="D428" s="82">
        <f>'JUN-26'!C59</f>
        <v>0</v>
      </c>
      <c r="E428" s="83">
        <f>'JUN-26'!D59</f>
        <v>0</v>
      </c>
      <c r="F428" s="84">
        <f>'JUN-26'!E59</f>
        <v>0</v>
      </c>
      <c r="G428" s="85">
        <f>'JUN-26'!F59</f>
        <v>0</v>
      </c>
      <c r="H428" s="85">
        <f t="shared" si="0"/>
        <v>0</v>
      </c>
      <c r="I428" s="83" t="s">
        <v>100</v>
      </c>
      <c r="J428" s="83" t="str">
        <f t="shared" si="1"/>
        <v/>
      </c>
      <c r="K428" s="85">
        <f t="shared" si="2"/>
        <v>0</v>
      </c>
      <c r="L428" s="83" t="str">
        <f t="shared" si="3"/>
        <v/>
      </c>
      <c r="M428" s="83">
        <f>'JUN-26'!H59</f>
        <v>0</v>
      </c>
      <c r="N428" s="92" t="str">
        <f ca="1">IF(BD!$C428="","",IF(AND(TODAY()&gt;BD!$C428,OR(BD!$D428="PENDENTE",BD!$D428="")),"VENCIDO",""))</f>
        <v/>
      </c>
      <c r="O428" s="82" t="str">
        <f ca="1">IF(N428 = "VENCIDO",BD!$B428,"")</f>
        <v/>
      </c>
      <c r="P428" s="82" t="str">
        <f ca="1">IF(N428 = "VENCIDO",BD!$C428,"")</f>
        <v/>
      </c>
      <c r="Q428" s="83" t="str">
        <f ca="1">IF(N428 = "VENCIDO",BD!$E428,"")</f>
        <v/>
      </c>
      <c r="R428" s="83" t="str">
        <f ca="1">IF(N428 = "VENCIDO",BD!$F428,"")</f>
        <v/>
      </c>
      <c r="S428" s="85" t="str">
        <f ca="1">IF(N428 = "VENCIDO",BD!$G428,"")</f>
        <v/>
      </c>
      <c r="T428" s="83" t="str">
        <f ca="1">IF(AND(TODAY()&gt;BD!$C428, OR(BD!$D428="PENDENTE", BD!$D428="")), TODAY()-BD!$C428, "")</f>
        <v/>
      </c>
    </row>
    <row r="429" spans="1:20" ht="14.25" customHeight="1" x14ac:dyDescent="0.35">
      <c r="A429" s="32"/>
      <c r="B429" s="82">
        <f>'JUN-26'!A60</f>
        <v>0</v>
      </c>
      <c r="C429" s="82">
        <f>'JUN-26'!B60</f>
        <v>0</v>
      </c>
      <c r="D429" s="82">
        <f>'JUN-26'!C60</f>
        <v>0</v>
      </c>
      <c r="E429" s="83">
        <f>'JUN-26'!D60</f>
        <v>0</v>
      </c>
      <c r="F429" s="84">
        <f>'JUN-26'!E60</f>
        <v>0</v>
      </c>
      <c r="G429" s="85">
        <f>'JUN-26'!F60</f>
        <v>0</v>
      </c>
      <c r="H429" s="85">
        <f t="shared" si="0"/>
        <v>0</v>
      </c>
      <c r="I429" s="83" t="s">
        <v>100</v>
      </c>
      <c r="J429" s="83" t="str">
        <f t="shared" si="1"/>
        <v/>
      </c>
      <c r="K429" s="85">
        <f t="shared" si="2"/>
        <v>0</v>
      </c>
      <c r="L429" s="83" t="str">
        <f t="shared" si="3"/>
        <v/>
      </c>
      <c r="M429" s="83">
        <f>'JUN-26'!H60</f>
        <v>0</v>
      </c>
      <c r="N429" s="92" t="str">
        <f ca="1">IF(BD!$C429="","",IF(AND(TODAY()&gt;BD!$C429,OR(BD!$D429="PENDENTE",BD!$D429="")),"VENCIDO",""))</f>
        <v/>
      </c>
      <c r="O429" s="82" t="str">
        <f ca="1">IF(N429 = "VENCIDO",BD!$B429,"")</f>
        <v/>
      </c>
      <c r="P429" s="82" t="str">
        <f ca="1">IF(N429 = "VENCIDO",BD!$C429,"")</f>
        <v/>
      </c>
      <c r="Q429" s="83" t="str">
        <f ca="1">IF(N429 = "VENCIDO",BD!$E429,"")</f>
        <v/>
      </c>
      <c r="R429" s="83" t="str">
        <f ca="1">IF(N429 = "VENCIDO",BD!$F429,"")</f>
        <v/>
      </c>
      <c r="S429" s="85" t="str">
        <f ca="1">IF(N429 = "VENCIDO",BD!$G429,"")</f>
        <v/>
      </c>
      <c r="T429" s="83" t="str">
        <f ca="1">IF(AND(TODAY()&gt;BD!$C429, OR(BD!$D429="PENDENTE", BD!$D429="")), TODAY()-BD!$C429, "")</f>
        <v/>
      </c>
    </row>
    <row r="430" spans="1:20" ht="14.25" customHeight="1" x14ac:dyDescent="0.35">
      <c r="A430" s="32"/>
      <c r="B430" s="82">
        <f>'JUN-26'!A61</f>
        <v>0</v>
      </c>
      <c r="C430" s="82">
        <f>'JUN-26'!B61</f>
        <v>0</v>
      </c>
      <c r="D430" s="82">
        <f>'JUN-26'!C61</f>
        <v>0</v>
      </c>
      <c r="E430" s="83">
        <f>'JUN-26'!D61</f>
        <v>0</v>
      </c>
      <c r="F430" s="84">
        <f>'JUN-26'!E61</f>
        <v>0</v>
      </c>
      <c r="G430" s="85">
        <f>'JUN-26'!F61</f>
        <v>0</v>
      </c>
      <c r="H430" s="85">
        <f t="shared" si="0"/>
        <v>0</v>
      </c>
      <c r="I430" s="83" t="s">
        <v>100</v>
      </c>
      <c r="J430" s="83" t="str">
        <f t="shared" si="1"/>
        <v/>
      </c>
      <c r="K430" s="85">
        <f t="shared" si="2"/>
        <v>0</v>
      </c>
      <c r="L430" s="83" t="str">
        <f t="shared" si="3"/>
        <v/>
      </c>
      <c r="M430" s="83">
        <f>'JUN-26'!H61</f>
        <v>0</v>
      </c>
      <c r="N430" s="92" t="str">
        <f ca="1">IF(BD!$C430="","",IF(AND(TODAY()&gt;BD!$C430,OR(BD!$D430="PENDENTE",BD!$D430="")),"VENCIDO",""))</f>
        <v/>
      </c>
      <c r="O430" s="82" t="str">
        <f ca="1">IF(N430 = "VENCIDO",BD!$B430,"")</f>
        <v/>
      </c>
      <c r="P430" s="82" t="str">
        <f ca="1">IF(N430 = "VENCIDO",BD!$C430,"")</f>
        <v/>
      </c>
      <c r="Q430" s="83" t="str">
        <f ca="1">IF(N430 = "VENCIDO",BD!$E430,"")</f>
        <v/>
      </c>
      <c r="R430" s="83" t="str">
        <f ca="1">IF(N430 = "VENCIDO",BD!$F430,"")</f>
        <v/>
      </c>
      <c r="S430" s="85" t="str">
        <f ca="1">IF(N430 = "VENCIDO",BD!$G430,"")</f>
        <v/>
      </c>
      <c r="T430" s="83" t="str">
        <f ca="1">IF(AND(TODAY()&gt;BD!$C430, OR(BD!$D430="PENDENTE", BD!$D430="")), TODAY()-BD!$C430, "")</f>
        <v/>
      </c>
    </row>
    <row r="431" spans="1:20" ht="14.25" customHeight="1" x14ac:dyDescent="0.35">
      <c r="A431" s="32"/>
      <c r="B431" s="82">
        <f>'JUN-26'!A62</f>
        <v>0</v>
      </c>
      <c r="C431" s="82">
        <f>'JUN-26'!B62</f>
        <v>0</v>
      </c>
      <c r="D431" s="82">
        <f>'JUN-26'!C62</f>
        <v>0</v>
      </c>
      <c r="E431" s="83">
        <f>'JUN-26'!D62</f>
        <v>0</v>
      </c>
      <c r="F431" s="84">
        <f>'JUN-26'!E62</f>
        <v>0</v>
      </c>
      <c r="G431" s="85">
        <f>'JUN-26'!F62</f>
        <v>0</v>
      </c>
      <c r="H431" s="85">
        <f t="shared" si="0"/>
        <v>0</v>
      </c>
      <c r="I431" s="83" t="s">
        <v>100</v>
      </c>
      <c r="J431" s="83" t="str">
        <f t="shared" si="1"/>
        <v/>
      </c>
      <c r="K431" s="85">
        <f t="shared" si="2"/>
        <v>0</v>
      </c>
      <c r="L431" s="83" t="str">
        <f t="shared" si="3"/>
        <v/>
      </c>
      <c r="M431" s="83">
        <f>'JUN-26'!H62</f>
        <v>0</v>
      </c>
      <c r="N431" s="92" t="str">
        <f ca="1">IF(BD!$C431="","",IF(AND(TODAY()&gt;BD!$C431,OR(BD!$D431="PENDENTE",BD!$D431="")),"VENCIDO",""))</f>
        <v/>
      </c>
      <c r="O431" s="82" t="str">
        <f ca="1">IF(N431 = "VENCIDO",BD!$B431,"")</f>
        <v/>
      </c>
      <c r="P431" s="82" t="str">
        <f ca="1">IF(N431 = "VENCIDO",BD!$C431,"")</f>
        <v/>
      </c>
      <c r="Q431" s="83" t="str">
        <f ca="1">IF(N431 = "VENCIDO",BD!$E431,"")</f>
        <v/>
      </c>
      <c r="R431" s="83" t="str">
        <f ca="1">IF(N431 = "VENCIDO",BD!$F431,"")</f>
        <v/>
      </c>
      <c r="S431" s="85" t="str">
        <f ca="1">IF(N431 = "VENCIDO",BD!$G431,"")</f>
        <v/>
      </c>
      <c r="T431" s="83" t="str">
        <f ca="1">IF(AND(TODAY()&gt;BD!$C431, OR(BD!$D431="PENDENTE", BD!$D431="")), TODAY()-BD!$C431, "")</f>
        <v/>
      </c>
    </row>
    <row r="432" spans="1:20" ht="14.25" customHeight="1" x14ac:dyDescent="0.35">
      <c r="A432" s="32"/>
      <c r="B432" s="82">
        <f>'JUN-26'!A63</f>
        <v>0</v>
      </c>
      <c r="C432" s="82">
        <f>'JUN-26'!B63</f>
        <v>0</v>
      </c>
      <c r="D432" s="82">
        <f>'JUN-26'!C63</f>
        <v>0</v>
      </c>
      <c r="E432" s="83">
        <f>'JUN-26'!D63</f>
        <v>0</v>
      </c>
      <c r="F432" s="84">
        <f>'JUN-26'!E63</f>
        <v>0</v>
      </c>
      <c r="G432" s="85">
        <f>'JUN-26'!F63</f>
        <v>0</v>
      </c>
      <c r="H432" s="85">
        <f t="shared" si="0"/>
        <v>0</v>
      </c>
      <c r="I432" s="83" t="s">
        <v>100</v>
      </c>
      <c r="J432" s="83" t="str">
        <f t="shared" si="1"/>
        <v/>
      </c>
      <c r="K432" s="85">
        <f t="shared" si="2"/>
        <v>0</v>
      </c>
      <c r="L432" s="83" t="str">
        <f t="shared" si="3"/>
        <v/>
      </c>
      <c r="M432" s="83">
        <f>'JUN-26'!H63</f>
        <v>0</v>
      </c>
      <c r="N432" s="92" t="str">
        <f ca="1">IF(BD!$C432="","",IF(AND(TODAY()&gt;BD!$C432,OR(BD!$D432="PENDENTE",BD!$D432="")),"VENCIDO",""))</f>
        <v/>
      </c>
      <c r="O432" s="82" t="str">
        <f ca="1">IF(N432 = "VENCIDO",BD!$B432,"")</f>
        <v/>
      </c>
      <c r="P432" s="82" t="str">
        <f ca="1">IF(N432 = "VENCIDO",BD!$C432,"")</f>
        <v/>
      </c>
      <c r="Q432" s="83" t="str">
        <f ca="1">IF(N432 = "VENCIDO",BD!$E432,"")</f>
        <v/>
      </c>
      <c r="R432" s="83" t="str">
        <f ca="1">IF(N432 = "VENCIDO",BD!$F432,"")</f>
        <v/>
      </c>
      <c r="S432" s="85" t="str">
        <f ca="1">IF(N432 = "VENCIDO",BD!$G432,"")</f>
        <v/>
      </c>
      <c r="T432" s="83" t="str">
        <f ca="1">IF(AND(TODAY()&gt;BD!$C432, OR(BD!$D432="PENDENTE", BD!$D432="")), TODAY()-BD!$C432, "")</f>
        <v/>
      </c>
    </row>
    <row r="433" spans="1:20" ht="14.25" customHeight="1" x14ac:dyDescent="0.35">
      <c r="A433" s="32"/>
      <c r="B433" s="82">
        <f>'JUN-26'!A64</f>
        <v>0</v>
      </c>
      <c r="C433" s="82">
        <f>'JUN-26'!B64</f>
        <v>0</v>
      </c>
      <c r="D433" s="82">
        <f>'JUN-26'!C64</f>
        <v>0</v>
      </c>
      <c r="E433" s="83">
        <f>'JUN-26'!D64</f>
        <v>0</v>
      </c>
      <c r="F433" s="84">
        <f>'JUN-26'!E64</f>
        <v>0</v>
      </c>
      <c r="G433" s="85">
        <f>'JUN-26'!F64</f>
        <v>0</v>
      </c>
      <c r="H433" s="85">
        <f t="shared" si="0"/>
        <v>0</v>
      </c>
      <c r="I433" s="83" t="s">
        <v>100</v>
      </c>
      <c r="J433" s="83" t="str">
        <f t="shared" si="1"/>
        <v/>
      </c>
      <c r="K433" s="85">
        <f t="shared" si="2"/>
        <v>0</v>
      </c>
      <c r="L433" s="83" t="str">
        <f t="shared" si="3"/>
        <v/>
      </c>
      <c r="M433" s="83">
        <f>'JUN-26'!H64</f>
        <v>0</v>
      </c>
      <c r="N433" s="92" t="str">
        <f ca="1">IF(BD!$C433="","",IF(AND(TODAY()&gt;BD!$C433,OR(BD!$D433="PENDENTE",BD!$D433="")),"VENCIDO",""))</f>
        <v/>
      </c>
      <c r="O433" s="82" t="str">
        <f ca="1">IF(N433 = "VENCIDO",BD!$B433,"")</f>
        <v/>
      </c>
      <c r="P433" s="82" t="str">
        <f ca="1">IF(N433 = "VENCIDO",BD!$C433,"")</f>
        <v/>
      </c>
      <c r="Q433" s="83" t="str">
        <f ca="1">IF(N433 = "VENCIDO",BD!$E433,"")</f>
        <v/>
      </c>
      <c r="R433" s="83" t="str">
        <f ca="1">IF(N433 = "VENCIDO",BD!$F433,"")</f>
        <v/>
      </c>
      <c r="S433" s="85" t="str">
        <f ca="1">IF(N433 = "VENCIDO",BD!$G433,"")</f>
        <v/>
      </c>
      <c r="T433" s="83" t="str">
        <f ca="1">IF(AND(TODAY()&gt;BD!$C433, OR(BD!$D433="PENDENTE", BD!$D433="")), TODAY()-BD!$C433, "")</f>
        <v/>
      </c>
    </row>
    <row r="434" spans="1:20" ht="14.25" customHeight="1" x14ac:dyDescent="0.35">
      <c r="A434" s="32"/>
      <c r="B434" s="82">
        <f>'JUN-26'!A65</f>
        <v>0</v>
      </c>
      <c r="C434" s="82">
        <f>'JUN-26'!B65</f>
        <v>0</v>
      </c>
      <c r="D434" s="82">
        <f>'JUN-26'!C65</f>
        <v>0</v>
      </c>
      <c r="E434" s="83">
        <f>'JUN-26'!D65</f>
        <v>0</v>
      </c>
      <c r="F434" s="84">
        <f>'JUN-26'!E65</f>
        <v>0</v>
      </c>
      <c r="G434" s="85">
        <f>'JUN-26'!F65</f>
        <v>0</v>
      </c>
      <c r="H434" s="85">
        <f t="shared" si="0"/>
        <v>0</v>
      </c>
      <c r="I434" s="83" t="s">
        <v>100</v>
      </c>
      <c r="J434" s="83" t="str">
        <f t="shared" si="1"/>
        <v/>
      </c>
      <c r="K434" s="85">
        <f t="shared" si="2"/>
        <v>0</v>
      </c>
      <c r="L434" s="83" t="str">
        <f t="shared" si="3"/>
        <v/>
      </c>
      <c r="M434" s="83">
        <f>'JUN-26'!H65</f>
        <v>0</v>
      </c>
      <c r="N434" s="92" t="str">
        <f ca="1">IF(BD!$C434="","",IF(AND(TODAY()&gt;BD!$C434,OR(BD!$D434="PENDENTE",BD!$D434="")),"VENCIDO",""))</f>
        <v/>
      </c>
      <c r="O434" s="82" t="str">
        <f ca="1">IF(N434 = "VENCIDO",BD!$B434,"")</f>
        <v/>
      </c>
      <c r="P434" s="82" t="str">
        <f ca="1">IF(N434 = "VENCIDO",BD!$C434,"")</f>
        <v/>
      </c>
      <c r="Q434" s="83" t="str">
        <f ca="1">IF(N434 = "VENCIDO",BD!$E434,"")</f>
        <v/>
      </c>
      <c r="R434" s="83" t="str">
        <f ca="1">IF(N434 = "VENCIDO",BD!$F434,"")</f>
        <v/>
      </c>
      <c r="S434" s="85" t="str">
        <f ca="1">IF(N434 = "VENCIDO",BD!$G434,"")</f>
        <v/>
      </c>
      <c r="T434" s="83" t="str">
        <f ca="1">IF(AND(TODAY()&gt;BD!$C434, OR(BD!$D434="PENDENTE", BD!$D434="")), TODAY()-BD!$C434, "")</f>
        <v/>
      </c>
    </row>
    <row r="435" spans="1:20" ht="14.25" customHeight="1" x14ac:dyDescent="0.35">
      <c r="A435" s="32"/>
      <c r="B435" s="82">
        <f>'JUN-26'!A66</f>
        <v>0</v>
      </c>
      <c r="C435" s="82">
        <f>'JUN-26'!B66</f>
        <v>0</v>
      </c>
      <c r="D435" s="82">
        <f>'JUN-26'!C66</f>
        <v>0</v>
      </c>
      <c r="E435" s="83">
        <f>'JUN-26'!D66</f>
        <v>0</v>
      </c>
      <c r="F435" s="84">
        <f>'JUN-26'!E66</f>
        <v>0</v>
      </c>
      <c r="G435" s="85">
        <f>'JUN-26'!F66</f>
        <v>0</v>
      </c>
      <c r="H435" s="85">
        <f t="shared" si="0"/>
        <v>0</v>
      </c>
      <c r="I435" s="83" t="s">
        <v>100</v>
      </c>
      <c r="J435" s="83" t="str">
        <f t="shared" si="1"/>
        <v/>
      </c>
      <c r="K435" s="85">
        <f t="shared" si="2"/>
        <v>0</v>
      </c>
      <c r="L435" s="83" t="str">
        <f t="shared" si="3"/>
        <v/>
      </c>
      <c r="M435" s="83">
        <f>'JUN-26'!H66</f>
        <v>0</v>
      </c>
      <c r="N435" s="92" t="str">
        <f ca="1">IF(BD!$C435="","",IF(AND(TODAY()&gt;BD!$C435,OR(BD!$D435="PENDENTE",BD!$D435="")),"VENCIDO",""))</f>
        <v/>
      </c>
      <c r="O435" s="82" t="str">
        <f ca="1">IF(N435 = "VENCIDO",BD!$B435,"")</f>
        <v/>
      </c>
      <c r="P435" s="82" t="str">
        <f ca="1">IF(N435 = "VENCIDO",BD!$C435,"")</f>
        <v/>
      </c>
      <c r="Q435" s="83" t="str">
        <f ca="1">IF(N435 = "VENCIDO",BD!$E435,"")</f>
        <v/>
      </c>
      <c r="R435" s="83" t="str">
        <f ca="1">IF(N435 = "VENCIDO",BD!$F435,"")</f>
        <v/>
      </c>
      <c r="S435" s="85" t="str">
        <f ca="1">IF(N435 = "VENCIDO",BD!$G435,"")</f>
        <v/>
      </c>
      <c r="T435" s="83" t="str">
        <f ca="1">IF(AND(TODAY()&gt;BD!$C435, OR(BD!$D435="PENDENTE", BD!$D435="")), TODAY()-BD!$C435, "")</f>
        <v/>
      </c>
    </row>
    <row r="436" spans="1:20" ht="14.25" customHeight="1" x14ac:dyDescent="0.35">
      <c r="A436" s="32"/>
      <c r="B436" s="82">
        <f>'JUN-26'!A67</f>
        <v>0</v>
      </c>
      <c r="C436" s="82">
        <f>'JUN-26'!B67</f>
        <v>0</v>
      </c>
      <c r="D436" s="82">
        <f>'JUN-26'!C67</f>
        <v>0</v>
      </c>
      <c r="E436" s="83">
        <f>'JUN-26'!D67</f>
        <v>0</v>
      </c>
      <c r="F436" s="84">
        <f>'JUN-26'!E67</f>
        <v>0</v>
      </c>
      <c r="G436" s="85">
        <f>'JUN-26'!F67</f>
        <v>0</v>
      </c>
      <c r="H436" s="85">
        <f t="shared" si="0"/>
        <v>0</v>
      </c>
      <c r="I436" s="83" t="s">
        <v>100</v>
      </c>
      <c r="J436" s="83" t="str">
        <f t="shared" si="1"/>
        <v/>
      </c>
      <c r="K436" s="85">
        <f t="shared" si="2"/>
        <v>0</v>
      </c>
      <c r="L436" s="83" t="str">
        <f t="shared" si="3"/>
        <v/>
      </c>
      <c r="M436" s="83">
        <f>'JUN-26'!H67</f>
        <v>0</v>
      </c>
      <c r="N436" s="92" t="str">
        <f ca="1">IF(BD!$C436="","",IF(AND(TODAY()&gt;BD!$C436,OR(BD!$D436="PENDENTE",BD!$D436="")),"VENCIDO",""))</f>
        <v/>
      </c>
      <c r="O436" s="82" t="str">
        <f ca="1">IF(N436 = "VENCIDO",BD!$B436,"")</f>
        <v/>
      </c>
      <c r="P436" s="82" t="str">
        <f ca="1">IF(N436 = "VENCIDO",BD!$C436,"")</f>
        <v/>
      </c>
      <c r="Q436" s="83" t="str">
        <f ca="1">IF(N436 = "VENCIDO",BD!$E436,"")</f>
        <v/>
      </c>
      <c r="R436" s="83" t="str">
        <f ca="1">IF(N436 = "VENCIDO",BD!$F436,"")</f>
        <v/>
      </c>
      <c r="S436" s="85" t="str">
        <f ca="1">IF(N436 = "VENCIDO",BD!$G436,"")</f>
        <v/>
      </c>
      <c r="T436" s="83" t="str">
        <f ca="1">IF(AND(TODAY()&gt;BD!$C436, OR(BD!$D436="PENDENTE", BD!$D436="")), TODAY()-BD!$C436, "")</f>
        <v/>
      </c>
    </row>
    <row r="437" spans="1:20" ht="14.25" customHeight="1" x14ac:dyDescent="0.35">
      <c r="A437" s="32"/>
      <c r="B437" s="82">
        <f>'JUN-26'!A68</f>
        <v>0</v>
      </c>
      <c r="C437" s="82">
        <f>'JUN-26'!B68</f>
        <v>0</v>
      </c>
      <c r="D437" s="82">
        <f>'JUN-26'!C68</f>
        <v>0</v>
      </c>
      <c r="E437" s="83">
        <f>'JUN-26'!D68</f>
        <v>0</v>
      </c>
      <c r="F437" s="84">
        <f>'JUN-26'!E68</f>
        <v>0</v>
      </c>
      <c r="G437" s="85">
        <f>'JUN-26'!F68</f>
        <v>0</v>
      </c>
      <c r="H437" s="85">
        <f t="shared" si="0"/>
        <v>0</v>
      </c>
      <c r="I437" s="83" t="s">
        <v>100</v>
      </c>
      <c r="J437" s="83" t="str">
        <f t="shared" si="1"/>
        <v/>
      </c>
      <c r="K437" s="85">
        <f t="shared" si="2"/>
        <v>0</v>
      </c>
      <c r="L437" s="83" t="str">
        <f t="shared" si="3"/>
        <v/>
      </c>
      <c r="M437" s="83">
        <f>'JUN-26'!H68</f>
        <v>0</v>
      </c>
      <c r="N437" s="92" t="str">
        <f ca="1">IF(BD!$C437="","",IF(AND(TODAY()&gt;BD!$C437,OR(BD!$D437="PENDENTE",BD!$D437="")),"VENCIDO",""))</f>
        <v/>
      </c>
      <c r="O437" s="82" t="str">
        <f ca="1">IF(N437 = "VENCIDO",BD!$B437,"")</f>
        <v/>
      </c>
      <c r="P437" s="82" t="str">
        <f ca="1">IF(N437 = "VENCIDO",BD!$C437,"")</f>
        <v/>
      </c>
      <c r="Q437" s="83" t="str">
        <f ca="1">IF(N437 = "VENCIDO",BD!$E437,"")</f>
        <v/>
      </c>
      <c r="R437" s="83" t="str">
        <f ca="1">IF(N437 = "VENCIDO",BD!$F437,"")</f>
        <v/>
      </c>
      <c r="S437" s="85" t="str">
        <f ca="1">IF(N437 = "VENCIDO",BD!$G437,"")</f>
        <v/>
      </c>
      <c r="T437" s="83" t="str">
        <f ca="1">IF(AND(TODAY()&gt;BD!$C437, OR(BD!$D437="PENDENTE", BD!$D437="")), TODAY()-BD!$C437, "")</f>
        <v/>
      </c>
    </row>
    <row r="438" spans="1:20" ht="14.25" customHeight="1" x14ac:dyDescent="0.35">
      <c r="A438" s="32"/>
      <c r="B438" s="82">
        <f>'JUN-26'!A69</f>
        <v>0</v>
      </c>
      <c r="C438" s="82">
        <f>'JUN-26'!B69</f>
        <v>0</v>
      </c>
      <c r="D438" s="82">
        <f>'JUN-26'!C69</f>
        <v>0</v>
      </c>
      <c r="E438" s="83">
        <f>'JUN-26'!D69</f>
        <v>0</v>
      </c>
      <c r="F438" s="84">
        <f>'JUN-26'!E69</f>
        <v>0</v>
      </c>
      <c r="G438" s="85">
        <f>'JUN-26'!F69</f>
        <v>0</v>
      </c>
      <c r="H438" s="85">
        <f t="shared" si="0"/>
        <v>0</v>
      </c>
      <c r="I438" s="83" t="s">
        <v>100</v>
      </c>
      <c r="J438" s="83" t="str">
        <f t="shared" si="1"/>
        <v/>
      </c>
      <c r="K438" s="85">
        <f t="shared" si="2"/>
        <v>0</v>
      </c>
      <c r="L438" s="83" t="str">
        <f t="shared" si="3"/>
        <v/>
      </c>
      <c r="M438" s="83">
        <f>'JUN-26'!H69</f>
        <v>0</v>
      </c>
      <c r="N438" s="92" t="str">
        <f ca="1">IF(BD!$C438="","",IF(AND(TODAY()&gt;BD!$C438,OR(BD!$D438="PENDENTE",BD!$D438="")),"VENCIDO",""))</f>
        <v/>
      </c>
      <c r="O438" s="82" t="str">
        <f ca="1">IF(N438 = "VENCIDO",BD!$B438,"")</f>
        <v/>
      </c>
      <c r="P438" s="82" t="str">
        <f ca="1">IF(N438 = "VENCIDO",BD!$C438,"")</f>
        <v/>
      </c>
      <c r="Q438" s="83" t="str">
        <f ca="1">IF(N438 = "VENCIDO",BD!$E438,"")</f>
        <v/>
      </c>
      <c r="R438" s="83" t="str">
        <f ca="1">IF(N438 = "VENCIDO",BD!$F438,"")</f>
        <v/>
      </c>
      <c r="S438" s="85" t="str">
        <f ca="1">IF(N438 = "VENCIDO",BD!$G438,"")</f>
        <v/>
      </c>
      <c r="T438" s="83" t="str">
        <f ca="1">IF(AND(TODAY()&gt;BD!$C438, OR(BD!$D438="PENDENTE", BD!$D438="")), TODAY()-BD!$C438, "")</f>
        <v/>
      </c>
    </row>
    <row r="439" spans="1:20" ht="14.25" customHeight="1" x14ac:dyDescent="0.35">
      <c r="A439" s="32"/>
      <c r="B439" s="82">
        <f>'JUN-26'!A70</f>
        <v>0</v>
      </c>
      <c r="C439" s="82">
        <f>'JUN-26'!B70</f>
        <v>0</v>
      </c>
      <c r="D439" s="82">
        <f>'JUN-26'!C70</f>
        <v>0</v>
      </c>
      <c r="E439" s="83">
        <f>'JUN-26'!D70</f>
        <v>0</v>
      </c>
      <c r="F439" s="84">
        <f>'JUN-26'!E70</f>
        <v>0</v>
      </c>
      <c r="G439" s="85">
        <f>'JUN-26'!F70</f>
        <v>0</v>
      </c>
      <c r="H439" s="85">
        <f t="shared" si="0"/>
        <v>0</v>
      </c>
      <c r="I439" s="83" t="s">
        <v>100</v>
      </c>
      <c r="J439" s="83" t="str">
        <f t="shared" si="1"/>
        <v/>
      </c>
      <c r="K439" s="85">
        <f t="shared" si="2"/>
        <v>0</v>
      </c>
      <c r="L439" s="83" t="str">
        <f t="shared" si="3"/>
        <v/>
      </c>
      <c r="M439" s="83">
        <f>'JUN-26'!H70</f>
        <v>0</v>
      </c>
      <c r="N439" s="92" t="str">
        <f ca="1">IF(BD!$C439="","",IF(AND(TODAY()&gt;BD!$C439,OR(BD!$D439="PENDENTE",BD!$D439="")),"VENCIDO",""))</f>
        <v/>
      </c>
      <c r="O439" s="82" t="str">
        <f ca="1">IF(N439 = "VENCIDO",BD!$B439,"")</f>
        <v/>
      </c>
      <c r="P439" s="82" t="str">
        <f ca="1">IF(N439 = "VENCIDO",BD!$C439,"")</f>
        <v/>
      </c>
      <c r="Q439" s="83" t="str">
        <f ca="1">IF(N439 = "VENCIDO",BD!$E439,"")</f>
        <v/>
      </c>
      <c r="R439" s="83" t="str">
        <f ca="1">IF(N439 = "VENCIDO",BD!$F439,"")</f>
        <v/>
      </c>
      <c r="S439" s="85" t="str">
        <f ca="1">IF(N439 = "VENCIDO",BD!$G439,"")</f>
        <v/>
      </c>
      <c r="T439" s="83" t="str">
        <f ca="1">IF(AND(TODAY()&gt;BD!$C439, OR(BD!$D439="PENDENTE", BD!$D439="")), TODAY()-BD!$C439, "")</f>
        <v/>
      </c>
    </row>
    <row r="440" spans="1:20" ht="14.25" customHeight="1" x14ac:dyDescent="0.35">
      <c r="A440" s="32"/>
      <c r="B440" s="82">
        <f>'JUN-26'!A71</f>
        <v>0</v>
      </c>
      <c r="C440" s="82">
        <f>'JUN-26'!B71</f>
        <v>0</v>
      </c>
      <c r="D440" s="82">
        <f>'JUN-26'!C71</f>
        <v>0</v>
      </c>
      <c r="E440" s="83">
        <f>'JUN-26'!D71</f>
        <v>0</v>
      </c>
      <c r="F440" s="84">
        <f>'JUN-26'!E71</f>
        <v>0</v>
      </c>
      <c r="G440" s="85">
        <f>'JUN-26'!F71</f>
        <v>0</v>
      </c>
      <c r="H440" s="85">
        <f t="shared" si="0"/>
        <v>0</v>
      </c>
      <c r="I440" s="83" t="s">
        <v>100</v>
      </c>
      <c r="J440" s="83" t="str">
        <f t="shared" si="1"/>
        <v/>
      </c>
      <c r="K440" s="85">
        <f t="shared" si="2"/>
        <v>0</v>
      </c>
      <c r="L440" s="83" t="str">
        <f t="shared" si="3"/>
        <v/>
      </c>
      <c r="M440" s="83">
        <f>'JUN-26'!H71</f>
        <v>0</v>
      </c>
      <c r="N440" s="92" t="str">
        <f ca="1">IF(BD!$C440="","",IF(AND(TODAY()&gt;BD!$C440,OR(BD!$D440="PENDENTE",BD!$D440="")),"VENCIDO",""))</f>
        <v/>
      </c>
      <c r="O440" s="82" t="str">
        <f ca="1">IF(N440 = "VENCIDO",BD!$B440,"")</f>
        <v/>
      </c>
      <c r="P440" s="82" t="str">
        <f ca="1">IF(N440 = "VENCIDO",BD!$C440,"")</f>
        <v/>
      </c>
      <c r="Q440" s="83" t="str">
        <f ca="1">IF(N440 = "VENCIDO",BD!$E440,"")</f>
        <v/>
      </c>
      <c r="R440" s="83" t="str">
        <f ca="1">IF(N440 = "VENCIDO",BD!$F440,"")</f>
        <v/>
      </c>
      <c r="S440" s="85" t="str">
        <f ca="1">IF(N440 = "VENCIDO",BD!$G440,"")</f>
        <v/>
      </c>
      <c r="T440" s="83" t="str">
        <f ca="1">IF(AND(TODAY()&gt;BD!$C440, OR(BD!$D440="PENDENTE", BD!$D440="")), TODAY()-BD!$C440, "")</f>
        <v/>
      </c>
    </row>
    <row r="441" spans="1:20" ht="14.25" customHeight="1" x14ac:dyDescent="0.35">
      <c r="A441" s="32"/>
      <c r="B441" s="82">
        <f>'JUN-26'!A72</f>
        <v>0</v>
      </c>
      <c r="C441" s="82">
        <f>'JUN-26'!B72</f>
        <v>0</v>
      </c>
      <c r="D441" s="82">
        <f>'JUN-26'!C72</f>
        <v>0</v>
      </c>
      <c r="E441" s="83">
        <f>'JUN-26'!D72</f>
        <v>0</v>
      </c>
      <c r="F441" s="84">
        <f>'JUN-26'!E72</f>
        <v>0</v>
      </c>
      <c r="G441" s="85">
        <f>'JUN-26'!F72</f>
        <v>0</v>
      </c>
      <c r="H441" s="85">
        <f t="shared" si="0"/>
        <v>0</v>
      </c>
      <c r="I441" s="83" t="s">
        <v>100</v>
      </c>
      <c r="J441" s="83" t="str">
        <f t="shared" si="1"/>
        <v/>
      </c>
      <c r="K441" s="85">
        <f t="shared" si="2"/>
        <v>0</v>
      </c>
      <c r="L441" s="83" t="str">
        <f t="shared" si="3"/>
        <v/>
      </c>
      <c r="M441" s="83">
        <f>'JUN-26'!H72</f>
        <v>0</v>
      </c>
      <c r="N441" s="92" t="str">
        <f ca="1">IF(BD!$C441="","",IF(AND(TODAY()&gt;BD!$C441,OR(BD!$D441="PENDENTE",BD!$D441="")),"VENCIDO",""))</f>
        <v/>
      </c>
      <c r="O441" s="82" t="str">
        <f ca="1">IF(N441 = "VENCIDO",BD!$B441,"")</f>
        <v/>
      </c>
      <c r="P441" s="82" t="str">
        <f ca="1">IF(N441 = "VENCIDO",BD!$C441,"")</f>
        <v/>
      </c>
      <c r="Q441" s="83" t="str">
        <f ca="1">IF(N441 = "VENCIDO",BD!$E441,"")</f>
        <v/>
      </c>
      <c r="R441" s="83" t="str">
        <f ca="1">IF(N441 = "VENCIDO",BD!$F441,"")</f>
        <v/>
      </c>
      <c r="S441" s="85" t="str">
        <f ca="1">IF(N441 = "VENCIDO",BD!$G441,"")</f>
        <v/>
      </c>
      <c r="T441" s="83" t="str">
        <f ca="1">IF(AND(TODAY()&gt;BD!$C441, OR(BD!$D441="PENDENTE", BD!$D441="")), TODAY()-BD!$C441, "")</f>
        <v/>
      </c>
    </row>
    <row r="442" spans="1:20" ht="14.25" customHeight="1" x14ac:dyDescent="0.35">
      <c r="A442" s="32"/>
      <c r="B442" s="82">
        <f>'JUN-26'!A73</f>
        <v>0</v>
      </c>
      <c r="C442" s="82">
        <f>'JUN-26'!B73</f>
        <v>0</v>
      </c>
      <c r="D442" s="82">
        <f>'JUN-26'!C73</f>
        <v>0</v>
      </c>
      <c r="E442" s="83">
        <f>'JUN-26'!D73</f>
        <v>0</v>
      </c>
      <c r="F442" s="84">
        <f>'JUN-26'!E73</f>
        <v>0</v>
      </c>
      <c r="G442" s="85">
        <f>'JUN-26'!F73</f>
        <v>0</v>
      </c>
      <c r="H442" s="85">
        <f t="shared" si="0"/>
        <v>0</v>
      </c>
      <c r="I442" s="83" t="s">
        <v>100</v>
      </c>
      <c r="J442" s="83" t="str">
        <f t="shared" si="1"/>
        <v/>
      </c>
      <c r="K442" s="85">
        <f t="shared" si="2"/>
        <v>0</v>
      </c>
      <c r="L442" s="83" t="str">
        <f t="shared" si="3"/>
        <v/>
      </c>
      <c r="M442" s="83">
        <f>'JUN-26'!H73</f>
        <v>0</v>
      </c>
      <c r="N442" s="92" t="str">
        <f ca="1">IF(BD!$C442="","",IF(AND(TODAY()&gt;BD!$C442,OR(BD!$D442="PENDENTE",BD!$D442="")),"VENCIDO",""))</f>
        <v/>
      </c>
      <c r="O442" s="82" t="str">
        <f ca="1">IF(N442 = "VENCIDO",BD!$B442,"")</f>
        <v/>
      </c>
      <c r="P442" s="82" t="str">
        <f ca="1">IF(N442 = "VENCIDO",BD!$C442,"")</f>
        <v/>
      </c>
      <c r="Q442" s="83" t="str">
        <f ca="1">IF(N442 = "VENCIDO",BD!$E442,"")</f>
        <v/>
      </c>
      <c r="R442" s="83" t="str">
        <f ca="1">IF(N442 = "VENCIDO",BD!$F442,"")</f>
        <v/>
      </c>
      <c r="S442" s="85" t="str">
        <f ca="1">IF(N442 = "VENCIDO",BD!$G442,"")</f>
        <v/>
      </c>
      <c r="T442" s="83" t="str">
        <f ca="1">IF(AND(TODAY()&gt;BD!$C442, OR(BD!$D442="PENDENTE", BD!$D442="")), TODAY()-BD!$C442, "")</f>
        <v/>
      </c>
    </row>
    <row r="443" spans="1:20" ht="14.25" customHeight="1" x14ac:dyDescent="0.35">
      <c r="A443" s="32"/>
      <c r="B443" s="82">
        <f>'JUN-26'!A74</f>
        <v>0</v>
      </c>
      <c r="C443" s="82">
        <f>'JUN-26'!B74</f>
        <v>0</v>
      </c>
      <c r="D443" s="82">
        <f>'JUN-26'!C74</f>
        <v>0</v>
      </c>
      <c r="E443" s="83">
        <f>'JUN-26'!D74</f>
        <v>0</v>
      </c>
      <c r="F443" s="84">
        <f>'JUN-26'!E74</f>
        <v>0</v>
      </c>
      <c r="G443" s="85">
        <f>'JUN-26'!F74</f>
        <v>0</v>
      </c>
      <c r="H443" s="85">
        <f t="shared" si="0"/>
        <v>0</v>
      </c>
      <c r="I443" s="83" t="s">
        <v>100</v>
      </c>
      <c r="J443" s="83" t="str">
        <f t="shared" si="1"/>
        <v/>
      </c>
      <c r="K443" s="85">
        <f t="shared" si="2"/>
        <v>0</v>
      </c>
      <c r="L443" s="83" t="str">
        <f t="shared" si="3"/>
        <v/>
      </c>
      <c r="M443" s="83">
        <f>'JUN-26'!H74</f>
        <v>0</v>
      </c>
      <c r="N443" s="92" t="str">
        <f ca="1">IF(BD!$C443="","",IF(AND(TODAY()&gt;BD!$C443,OR(BD!$D443="PENDENTE",BD!$D443="")),"VENCIDO",""))</f>
        <v/>
      </c>
      <c r="O443" s="82" t="str">
        <f ca="1">IF(N443 = "VENCIDO",BD!$B443,"")</f>
        <v/>
      </c>
      <c r="P443" s="82" t="str">
        <f ca="1">IF(N443 = "VENCIDO",BD!$C443,"")</f>
        <v/>
      </c>
      <c r="Q443" s="83" t="str">
        <f ca="1">IF(N443 = "VENCIDO",BD!$E443,"")</f>
        <v/>
      </c>
      <c r="R443" s="83" t="str">
        <f ca="1">IF(N443 = "VENCIDO",BD!$F443,"")</f>
        <v/>
      </c>
      <c r="S443" s="85" t="str">
        <f ca="1">IF(N443 = "VENCIDO",BD!$G443,"")</f>
        <v/>
      </c>
      <c r="T443" s="83" t="str">
        <f ca="1">IF(AND(TODAY()&gt;BD!$C443, OR(BD!$D443="PENDENTE", BD!$D443="")), TODAY()-BD!$C443, "")</f>
        <v/>
      </c>
    </row>
    <row r="444" spans="1:20" ht="14.25" customHeight="1" x14ac:dyDescent="0.35">
      <c r="A444" s="32"/>
      <c r="B444" s="82">
        <f>'JUN-26'!A75</f>
        <v>0</v>
      </c>
      <c r="C444" s="82">
        <f>'JUN-26'!B75</f>
        <v>0</v>
      </c>
      <c r="D444" s="82">
        <f>'JUN-26'!C75</f>
        <v>0</v>
      </c>
      <c r="E444" s="83">
        <f>'JUN-26'!D75</f>
        <v>0</v>
      </c>
      <c r="F444" s="84">
        <f>'JUN-26'!E75</f>
        <v>0</v>
      </c>
      <c r="G444" s="85">
        <f>'JUN-26'!F75</f>
        <v>0</v>
      </c>
      <c r="H444" s="85">
        <f t="shared" si="0"/>
        <v>0</v>
      </c>
      <c r="I444" s="83" t="s">
        <v>100</v>
      </c>
      <c r="J444" s="83" t="str">
        <f t="shared" si="1"/>
        <v/>
      </c>
      <c r="K444" s="85">
        <f t="shared" si="2"/>
        <v>0</v>
      </c>
      <c r="L444" s="83" t="str">
        <f t="shared" si="3"/>
        <v/>
      </c>
      <c r="M444" s="83">
        <f>'JUN-26'!H75</f>
        <v>0</v>
      </c>
      <c r="N444" s="92" t="str">
        <f ca="1">IF(BD!$C444="","",IF(AND(TODAY()&gt;BD!$C444,OR(BD!$D444="PENDENTE",BD!$D444="")),"VENCIDO",""))</f>
        <v/>
      </c>
      <c r="O444" s="82" t="str">
        <f ca="1">IF(N444 = "VENCIDO",BD!$B444,"")</f>
        <v/>
      </c>
      <c r="P444" s="82" t="str">
        <f ca="1">IF(N444 = "VENCIDO",BD!$C444,"")</f>
        <v/>
      </c>
      <c r="Q444" s="83" t="str">
        <f ca="1">IF(N444 = "VENCIDO",BD!$E444,"")</f>
        <v/>
      </c>
      <c r="R444" s="83" t="str">
        <f ca="1">IF(N444 = "VENCIDO",BD!$F444,"")</f>
        <v/>
      </c>
      <c r="S444" s="85" t="str">
        <f ca="1">IF(N444 = "VENCIDO",BD!$G444,"")</f>
        <v/>
      </c>
      <c r="T444" s="83" t="str">
        <f ca="1">IF(AND(TODAY()&gt;BD!$C444, OR(BD!$D444="PENDENTE", BD!$D444="")), TODAY()-BD!$C444, "")</f>
        <v/>
      </c>
    </row>
    <row r="445" spans="1:20" ht="14.25" customHeight="1" x14ac:dyDescent="0.35">
      <c r="A445" s="32"/>
      <c r="B445" s="82">
        <f>'JUN-26'!A76</f>
        <v>0</v>
      </c>
      <c r="C445" s="82">
        <f>'JUN-26'!B76</f>
        <v>0</v>
      </c>
      <c r="D445" s="82">
        <f>'JUN-26'!C76</f>
        <v>0</v>
      </c>
      <c r="E445" s="83">
        <f>'JUN-26'!D76</f>
        <v>0</v>
      </c>
      <c r="F445" s="84">
        <f>'JUN-26'!E76</f>
        <v>0</v>
      </c>
      <c r="G445" s="85">
        <f>'JUN-26'!F76</f>
        <v>0</v>
      </c>
      <c r="H445" s="85">
        <f t="shared" si="0"/>
        <v>0</v>
      </c>
      <c r="I445" s="83" t="s">
        <v>100</v>
      </c>
      <c r="J445" s="83" t="str">
        <f t="shared" si="1"/>
        <v/>
      </c>
      <c r="K445" s="85">
        <f t="shared" si="2"/>
        <v>0</v>
      </c>
      <c r="L445" s="83" t="str">
        <f t="shared" si="3"/>
        <v/>
      </c>
      <c r="M445" s="83">
        <f>'JUN-26'!H76</f>
        <v>0</v>
      </c>
      <c r="N445" s="92" t="str">
        <f ca="1">IF(BD!$C445="","",IF(AND(TODAY()&gt;BD!$C445,OR(BD!$D445="PENDENTE",BD!$D445="")),"VENCIDO",""))</f>
        <v/>
      </c>
      <c r="O445" s="82" t="str">
        <f ca="1">IF(N445 = "VENCIDO",BD!$B445,"")</f>
        <v/>
      </c>
      <c r="P445" s="82" t="str">
        <f ca="1">IF(N445 = "VENCIDO",BD!$C445,"")</f>
        <v/>
      </c>
      <c r="Q445" s="83" t="str">
        <f ca="1">IF(N445 = "VENCIDO",BD!$E445,"")</f>
        <v/>
      </c>
      <c r="R445" s="83" t="str">
        <f ca="1">IF(N445 = "VENCIDO",BD!$F445,"")</f>
        <v/>
      </c>
      <c r="S445" s="85" t="str">
        <f ca="1">IF(N445 = "VENCIDO",BD!$G445,"")</f>
        <v/>
      </c>
      <c r="T445" s="83" t="str">
        <f ca="1">IF(AND(TODAY()&gt;BD!$C445, OR(BD!$D445="PENDENTE", BD!$D445="")), TODAY()-BD!$C445, "")</f>
        <v/>
      </c>
    </row>
    <row r="446" spans="1:20" ht="14.25" customHeight="1" x14ac:dyDescent="0.35">
      <c r="A446" s="32"/>
      <c r="B446" s="82">
        <f>'JUL-26'!A3</f>
        <v>0</v>
      </c>
      <c r="C446" s="82">
        <f>'JUL-26'!B3</f>
        <v>0</v>
      </c>
      <c r="D446" s="82">
        <f>'JUL-26'!C3</f>
        <v>0</v>
      </c>
      <c r="E446" s="83">
        <f>'JUL-26'!D3</f>
        <v>0</v>
      </c>
      <c r="F446" s="84">
        <f>'JUL-26'!E3</f>
        <v>0</v>
      </c>
      <c r="G446" s="85">
        <f>'JUL-26'!F3</f>
        <v>0</v>
      </c>
      <c r="H446" s="85">
        <f t="shared" si="0"/>
        <v>0</v>
      </c>
      <c r="I446" s="83" t="s">
        <v>101</v>
      </c>
      <c r="J446" s="83" t="str">
        <f t="shared" si="1"/>
        <v/>
      </c>
      <c r="K446" s="85">
        <f t="shared" si="2"/>
        <v>0</v>
      </c>
      <c r="L446" s="83" t="str">
        <f t="shared" si="3"/>
        <v/>
      </c>
      <c r="M446" s="83">
        <f>'JUL-26'!H3</f>
        <v>0</v>
      </c>
      <c r="N446" s="92" t="str">
        <f ca="1">IF(BD!$C446="","",IF(AND(TODAY()&gt;BD!$C446,OR(BD!$D446="PENDENTE",BD!$D446="")),"VENCIDO",""))</f>
        <v/>
      </c>
      <c r="O446" s="82" t="str">
        <f ca="1">IF(N446 = "VENCIDO",BD!$B446,"")</f>
        <v/>
      </c>
      <c r="P446" s="82" t="str">
        <f ca="1">IF(N446 = "VENCIDO",BD!$C446,"")</f>
        <v/>
      </c>
      <c r="Q446" s="83" t="str">
        <f ca="1">IF(N446 = "VENCIDO",BD!$E446,"")</f>
        <v/>
      </c>
      <c r="R446" s="83" t="str">
        <f ca="1">IF(N446 = "VENCIDO",BD!$F446,"")</f>
        <v/>
      </c>
      <c r="S446" s="85" t="str">
        <f ca="1">IF(N446 = "VENCIDO",BD!$G446,"")</f>
        <v/>
      </c>
      <c r="T446" s="83" t="str">
        <f ca="1">IF(AND(TODAY()&gt;BD!$C446, OR(BD!$D446="PENDENTE", BD!$D446="")), TODAY()-BD!$C446, "")</f>
        <v/>
      </c>
    </row>
    <row r="447" spans="1:20" ht="14.25" customHeight="1" x14ac:dyDescent="0.35">
      <c r="A447" s="32"/>
      <c r="B447" s="82">
        <f>'JUL-26'!A4</f>
        <v>0</v>
      </c>
      <c r="C447" s="82">
        <f>'JUL-26'!B4</f>
        <v>0</v>
      </c>
      <c r="D447" s="82">
        <f>'JUL-26'!C4</f>
        <v>0</v>
      </c>
      <c r="E447" s="83">
        <f>'JUL-26'!D4</f>
        <v>0</v>
      </c>
      <c r="F447" s="84">
        <f>'JUL-26'!E4</f>
        <v>0</v>
      </c>
      <c r="G447" s="85">
        <f>'JUL-26'!F4</f>
        <v>0</v>
      </c>
      <c r="H447" s="85">
        <f t="shared" si="0"/>
        <v>0</v>
      </c>
      <c r="I447" s="83" t="s">
        <v>101</v>
      </c>
      <c r="J447" s="83" t="str">
        <f t="shared" si="1"/>
        <v/>
      </c>
      <c r="K447" s="85">
        <f t="shared" si="2"/>
        <v>0</v>
      </c>
      <c r="L447" s="83" t="str">
        <f t="shared" si="3"/>
        <v/>
      </c>
      <c r="M447" s="83">
        <f>'JUL-26'!H4</f>
        <v>0</v>
      </c>
      <c r="N447" s="92" t="str">
        <f ca="1">IF(BD!$C447="","",IF(AND(TODAY()&gt;BD!$C447,OR(BD!$D447="PENDENTE",BD!$D447="")),"VENCIDO",""))</f>
        <v/>
      </c>
      <c r="O447" s="82" t="str">
        <f ca="1">IF(N447 = "VENCIDO",BD!$B447,"")</f>
        <v/>
      </c>
      <c r="P447" s="82" t="str">
        <f ca="1">IF(N447 = "VENCIDO",BD!$C447,"")</f>
        <v/>
      </c>
      <c r="Q447" s="83" t="str">
        <f ca="1">IF(N447 = "VENCIDO",BD!$E447,"")</f>
        <v/>
      </c>
      <c r="R447" s="83" t="str">
        <f ca="1">IF(N447 = "VENCIDO",BD!$F447,"")</f>
        <v/>
      </c>
      <c r="S447" s="85" t="str">
        <f ca="1">IF(N447 = "VENCIDO",BD!$G447,"")</f>
        <v/>
      </c>
      <c r="T447" s="83" t="str">
        <f ca="1">IF(AND(TODAY()&gt;BD!$C447, OR(BD!$D447="PENDENTE", BD!$D447="")), TODAY()-BD!$C447, "")</f>
        <v/>
      </c>
    </row>
    <row r="448" spans="1:20" ht="14.25" customHeight="1" x14ac:dyDescent="0.35">
      <c r="A448" s="32"/>
      <c r="B448" s="82">
        <f>'JUL-26'!A5</f>
        <v>0</v>
      </c>
      <c r="C448" s="82">
        <f>'JUL-26'!B5</f>
        <v>0</v>
      </c>
      <c r="D448" s="82">
        <f>'JUL-26'!C5</f>
        <v>0</v>
      </c>
      <c r="E448" s="83">
        <f>'JUL-26'!D5</f>
        <v>0</v>
      </c>
      <c r="F448" s="84">
        <f>'JUL-26'!E5</f>
        <v>0</v>
      </c>
      <c r="G448" s="85">
        <f>'JUL-26'!F5</f>
        <v>0</v>
      </c>
      <c r="H448" s="85">
        <f t="shared" si="0"/>
        <v>0</v>
      </c>
      <c r="I448" s="83" t="s">
        <v>101</v>
      </c>
      <c r="J448" s="83" t="str">
        <f t="shared" si="1"/>
        <v/>
      </c>
      <c r="K448" s="85">
        <f t="shared" si="2"/>
        <v>0</v>
      </c>
      <c r="L448" s="83" t="str">
        <f t="shared" si="3"/>
        <v/>
      </c>
      <c r="M448" s="83">
        <f>'JUL-26'!H5</f>
        <v>0</v>
      </c>
      <c r="N448" s="92" t="str">
        <f ca="1">IF(BD!$C448="","",IF(AND(TODAY()&gt;BD!$C448,OR(BD!$D448="PENDENTE",BD!$D448="")),"VENCIDO",""))</f>
        <v/>
      </c>
      <c r="O448" s="82" t="str">
        <f ca="1">IF(N448 = "VENCIDO",BD!$B448,"")</f>
        <v/>
      </c>
      <c r="P448" s="82" t="str">
        <f ca="1">IF(N448 = "VENCIDO",BD!$C448,"")</f>
        <v/>
      </c>
      <c r="Q448" s="83" t="str">
        <f ca="1">IF(N448 = "VENCIDO",BD!$E448,"")</f>
        <v/>
      </c>
      <c r="R448" s="83" t="str">
        <f ca="1">IF(N448 = "VENCIDO",BD!$F448,"")</f>
        <v/>
      </c>
      <c r="S448" s="85" t="str">
        <f ca="1">IF(N448 = "VENCIDO",BD!$G448,"")</f>
        <v/>
      </c>
      <c r="T448" s="83" t="str">
        <f ca="1">IF(AND(TODAY()&gt;BD!$C448, OR(BD!$D448="PENDENTE", BD!$D448="")), TODAY()-BD!$C448, "")</f>
        <v/>
      </c>
    </row>
    <row r="449" spans="1:20" ht="14.25" customHeight="1" x14ac:dyDescent="0.35">
      <c r="A449" s="32"/>
      <c r="B449" s="82">
        <f>'JUL-26'!A6</f>
        <v>0</v>
      </c>
      <c r="C449" s="82">
        <f>'JUL-26'!B6</f>
        <v>0</v>
      </c>
      <c r="D449" s="82">
        <f>'JUL-26'!C6</f>
        <v>0</v>
      </c>
      <c r="E449" s="83">
        <f>'JUL-26'!D6</f>
        <v>0</v>
      </c>
      <c r="F449" s="84">
        <f>'JUL-26'!E6</f>
        <v>0</v>
      </c>
      <c r="G449" s="85">
        <f>'JUL-26'!F6</f>
        <v>0</v>
      </c>
      <c r="H449" s="85">
        <f t="shared" si="0"/>
        <v>0</v>
      </c>
      <c r="I449" s="83" t="s">
        <v>101</v>
      </c>
      <c r="J449" s="83" t="str">
        <f t="shared" si="1"/>
        <v/>
      </c>
      <c r="K449" s="85">
        <f t="shared" si="2"/>
        <v>0</v>
      </c>
      <c r="L449" s="83" t="str">
        <f t="shared" si="3"/>
        <v/>
      </c>
      <c r="M449" s="83">
        <f>'JUL-26'!H6</f>
        <v>0</v>
      </c>
      <c r="N449" s="92" t="str">
        <f ca="1">IF(BD!$C449="","",IF(AND(TODAY()&gt;BD!$C449,OR(BD!$D449="PENDENTE",BD!$D449="")),"VENCIDO",""))</f>
        <v/>
      </c>
      <c r="O449" s="82" t="str">
        <f ca="1">IF(N449 = "VENCIDO",BD!$B449,"")</f>
        <v/>
      </c>
      <c r="P449" s="82" t="str">
        <f ca="1">IF(N449 = "VENCIDO",BD!$C449,"")</f>
        <v/>
      </c>
      <c r="Q449" s="83" t="str">
        <f ca="1">IF(N449 = "VENCIDO",BD!$E449,"")</f>
        <v/>
      </c>
      <c r="R449" s="83" t="str">
        <f ca="1">IF(N449 = "VENCIDO",BD!$F449,"")</f>
        <v/>
      </c>
      <c r="S449" s="85" t="str">
        <f ca="1">IF(N449 = "VENCIDO",BD!$G449,"")</f>
        <v/>
      </c>
      <c r="T449" s="83" t="str">
        <f ca="1">IF(AND(TODAY()&gt;BD!$C449, OR(BD!$D449="PENDENTE", BD!$D449="")), TODAY()-BD!$C449, "")</f>
        <v/>
      </c>
    </row>
    <row r="450" spans="1:20" ht="14.25" customHeight="1" x14ac:dyDescent="0.35">
      <c r="A450" s="32"/>
      <c r="B450" s="82">
        <f>'JUL-26'!A7</f>
        <v>0</v>
      </c>
      <c r="C450" s="82">
        <f>'JUL-26'!B7</f>
        <v>0</v>
      </c>
      <c r="D450" s="82">
        <f>'JUL-26'!C7</f>
        <v>0</v>
      </c>
      <c r="E450" s="83">
        <f>'JUL-26'!D7</f>
        <v>0</v>
      </c>
      <c r="F450" s="84">
        <f>'JUL-26'!E7</f>
        <v>0</v>
      </c>
      <c r="G450" s="85">
        <f>'JUL-26'!F7</f>
        <v>0</v>
      </c>
      <c r="H450" s="85">
        <f t="shared" si="0"/>
        <v>0</v>
      </c>
      <c r="I450" s="83" t="s">
        <v>101</v>
      </c>
      <c r="J450" s="83" t="str">
        <f t="shared" si="1"/>
        <v/>
      </c>
      <c r="K450" s="85">
        <f t="shared" si="2"/>
        <v>0</v>
      </c>
      <c r="L450" s="83" t="str">
        <f t="shared" si="3"/>
        <v/>
      </c>
      <c r="M450" s="83">
        <f>'JUL-26'!H7</f>
        <v>0</v>
      </c>
      <c r="N450" s="92" t="str">
        <f ca="1">IF(BD!$C450="","",IF(AND(TODAY()&gt;BD!$C450,OR(BD!$D450="PENDENTE",BD!$D450="")),"VENCIDO",""))</f>
        <v/>
      </c>
      <c r="O450" s="82" t="str">
        <f ca="1">IF(N450 = "VENCIDO",BD!$B450,"")</f>
        <v/>
      </c>
      <c r="P450" s="82" t="str">
        <f ca="1">IF(N450 = "VENCIDO",BD!$C450,"")</f>
        <v/>
      </c>
      <c r="Q450" s="83" t="str">
        <f ca="1">IF(N450 = "VENCIDO",BD!$E450,"")</f>
        <v/>
      </c>
      <c r="R450" s="83" t="str">
        <f ca="1">IF(N450 = "VENCIDO",BD!$F450,"")</f>
        <v/>
      </c>
      <c r="S450" s="85" t="str">
        <f ca="1">IF(N450 = "VENCIDO",BD!$G450,"")</f>
        <v/>
      </c>
      <c r="T450" s="83" t="str">
        <f ca="1">IF(AND(TODAY()&gt;BD!$C450, OR(BD!$D450="PENDENTE", BD!$D450="")), TODAY()-BD!$C450, "")</f>
        <v/>
      </c>
    </row>
    <row r="451" spans="1:20" ht="14.25" customHeight="1" x14ac:dyDescent="0.35">
      <c r="A451" s="32"/>
      <c r="B451" s="82">
        <f>'JUL-26'!A8</f>
        <v>0</v>
      </c>
      <c r="C451" s="82">
        <f>'JUL-26'!B8</f>
        <v>0</v>
      </c>
      <c r="D451" s="82">
        <f>'JUL-26'!C8</f>
        <v>0</v>
      </c>
      <c r="E451" s="83">
        <f>'JUL-26'!D8</f>
        <v>0</v>
      </c>
      <c r="F451" s="84">
        <f>'JUL-26'!E8</f>
        <v>0</v>
      </c>
      <c r="G451" s="85">
        <f>'JUL-26'!F8</f>
        <v>0</v>
      </c>
      <c r="H451" s="85">
        <f t="shared" si="0"/>
        <v>0</v>
      </c>
      <c r="I451" s="83" t="s">
        <v>101</v>
      </c>
      <c r="J451" s="83" t="str">
        <f t="shared" si="1"/>
        <v/>
      </c>
      <c r="K451" s="85">
        <f t="shared" si="2"/>
        <v>0</v>
      </c>
      <c r="L451" s="83" t="str">
        <f t="shared" si="3"/>
        <v/>
      </c>
      <c r="M451" s="83">
        <f>'JUL-26'!H8</f>
        <v>0</v>
      </c>
      <c r="N451" s="92" t="str">
        <f ca="1">IF(BD!$C451="","",IF(AND(TODAY()&gt;BD!$C451,OR(BD!$D451="PENDENTE",BD!$D451="")),"VENCIDO",""))</f>
        <v/>
      </c>
      <c r="O451" s="82" t="str">
        <f ca="1">IF(N451 = "VENCIDO",BD!$B451,"")</f>
        <v/>
      </c>
      <c r="P451" s="82" t="str">
        <f ca="1">IF(N451 = "VENCIDO",BD!$C451,"")</f>
        <v/>
      </c>
      <c r="Q451" s="83" t="str">
        <f ca="1">IF(N451 = "VENCIDO",BD!$E451,"")</f>
        <v/>
      </c>
      <c r="R451" s="83" t="str">
        <f ca="1">IF(N451 = "VENCIDO",BD!$F451,"")</f>
        <v/>
      </c>
      <c r="S451" s="85" t="str">
        <f ca="1">IF(N451 = "VENCIDO",BD!$G451,"")</f>
        <v/>
      </c>
      <c r="T451" s="83" t="str">
        <f ca="1">IF(AND(TODAY()&gt;BD!$C451, OR(BD!$D451="PENDENTE", BD!$D451="")), TODAY()-BD!$C451, "")</f>
        <v/>
      </c>
    </row>
    <row r="452" spans="1:20" ht="14.25" customHeight="1" x14ac:dyDescent="0.35">
      <c r="A452" s="32"/>
      <c r="B452" s="82">
        <f>'JUL-26'!A9</f>
        <v>0</v>
      </c>
      <c r="C452" s="82">
        <f>'JUL-26'!B9</f>
        <v>0</v>
      </c>
      <c r="D452" s="82">
        <f>'JUL-26'!C9</f>
        <v>0</v>
      </c>
      <c r="E452" s="83">
        <f>'JUL-26'!D9</f>
        <v>0</v>
      </c>
      <c r="F452" s="84">
        <f>'JUL-26'!E9</f>
        <v>0</v>
      </c>
      <c r="G452" s="85">
        <f>'JUL-26'!F9</f>
        <v>0</v>
      </c>
      <c r="H452" s="85">
        <f t="shared" si="0"/>
        <v>0</v>
      </c>
      <c r="I452" s="83" t="s">
        <v>101</v>
      </c>
      <c r="J452" s="83" t="str">
        <f t="shared" si="1"/>
        <v/>
      </c>
      <c r="K452" s="85">
        <f t="shared" si="2"/>
        <v>0</v>
      </c>
      <c r="L452" s="83" t="str">
        <f t="shared" si="3"/>
        <v/>
      </c>
      <c r="M452" s="83">
        <f>'JUL-26'!H9</f>
        <v>0</v>
      </c>
      <c r="N452" s="92" t="str">
        <f ca="1">IF(BD!$C452="","",IF(AND(TODAY()&gt;BD!$C452,OR(BD!$D452="PENDENTE",BD!$D452="")),"VENCIDO",""))</f>
        <v/>
      </c>
      <c r="O452" s="82" t="str">
        <f ca="1">IF(N452 = "VENCIDO",BD!$B452,"")</f>
        <v/>
      </c>
      <c r="P452" s="82" t="str">
        <f ca="1">IF(N452 = "VENCIDO",BD!$C452,"")</f>
        <v/>
      </c>
      <c r="Q452" s="83" t="str">
        <f ca="1">IF(N452 = "VENCIDO",BD!$E452,"")</f>
        <v/>
      </c>
      <c r="R452" s="83" t="str">
        <f ca="1">IF(N452 = "VENCIDO",BD!$F452,"")</f>
        <v/>
      </c>
      <c r="S452" s="85" t="str">
        <f ca="1">IF(N452 = "VENCIDO",BD!$G452,"")</f>
        <v/>
      </c>
      <c r="T452" s="83" t="str">
        <f ca="1">IF(AND(TODAY()&gt;BD!$C452, OR(BD!$D452="PENDENTE", BD!$D452="")), TODAY()-BD!$C452, "")</f>
        <v/>
      </c>
    </row>
    <row r="453" spans="1:20" ht="14.25" customHeight="1" x14ac:dyDescent="0.35">
      <c r="A453" s="32"/>
      <c r="B453" s="82">
        <f>'JUL-26'!A10</f>
        <v>0</v>
      </c>
      <c r="C453" s="82">
        <f>'JUL-26'!B10</f>
        <v>0</v>
      </c>
      <c r="D453" s="82">
        <f>'JUL-26'!C10</f>
        <v>0</v>
      </c>
      <c r="E453" s="83">
        <f>'JUL-26'!D10</f>
        <v>0</v>
      </c>
      <c r="F453" s="84">
        <f>'JUL-26'!E10</f>
        <v>0</v>
      </c>
      <c r="G453" s="85">
        <f>'JUL-26'!F10</f>
        <v>0</v>
      </c>
      <c r="H453" s="85">
        <f t="shared" si="0"/>
        <v>0</v>
      </c>
      <c r="I453" s="83" t="s">
        <v>101</v>
      </c>
      <c r="J453" s="83" t="str">
        <f t="shared" si="1"/>
        <v/>
      </c>
      <c r="K453" s="85">
        <f t="shared" si="2"/>
        <v>0</v>
      </c>
      <c r="L453" s="83" t="str">
        <f t="shared" si="3"/>
        <v/>
      </c>
      <c r="M453" s="83">
        <f>'JUL-26'!H10</f>
        <v>0</v>
      </c>
      <c r="N453" s="92" t="str">
        <f ca="1">IF(BD!$C453="","",IF(AND(TODAY()&gt;BD!$C453,OR(BD!$D453="PENDENTE",BD!$D453="")),"VENCIDO",""))</f>
        <v/>
      </c>
      <c r="O453" s="82" t="str">
        <f ca="1">IF(N453 = "VENCIDO",BD!$B453,"")</f>
        <v/>
      </c>
      <c r="P453" s="82" t="str">
        <f ca="1">IF(N453 = "VENCIDO",BD!$C453,"")</f>
        <v/>
      </c>
      <c r="Q453" s="83" t="str">
        <f ca="1">IF(N453 = "VENCIDO",BD!$E453,"")</f>
        <v/>
      </c>
      <c r="R453" s="83" t="str">
        <f ca="1">IF(N453 = "VENCIDO",BD!$F453,"")</f>
        <v/>
      </c>
      <c r="S453" s="85" t="str">
        <f ca="1">IF(N453 = "VENCIDO",BD!$G453,"")</f>
        <v/>
      </c>
      <c r="T453" s="83" t="str">
        <f ca="1">IF(AND(TODAY()&gt;BD!$C453, OR(BD!$D453="PENDENTE", BD!$D453="")), TODAY()-BD!$C453, "")</f>
        <v/>
      </c>
    </row>
    <row r="454" spans="1:20" ht="14.25" customHeight="1" x14ac:dyDescent="0.35">
      <c r="A454" s="32"/>
      <c r="B454" s="82">
        <f>'JUL-26'!A11</f>
        <v>0</v>
      </c>
      <c r="C454" s="82">
        <f>'JUL-26'!B11</f>
        <v>0</v>
      </c>
      <c r="D454" s="82">
        <f>'JUL-26'!C11</f>
        <v>0</v>
      </c>
      <c r="E454" s="83">
        <f>'JUL-26'!D11</f>
        <v>0</v>
      </c>
      <c r="F454" s="84">
        <f>'JUL-26'!E11</f>
        <v>0</v>
      </c>
      <c r="G454" s="85">
        <f>'JUL-26'!F11</f>
        <v>0</v>
      </c>
      <c r="H454" s="85">
        <f t="shared" si="0"/>
        <v>0</v>
      </c>
      <c r="I454" s="83" t="s">
        <v>101</v>
      </c>
      <c r="J454" s="83" t="str">
        <f t="shared" si="1"/>
        <v/>
      </c>
      <c r="K454" s="85">
        <f t="shared" si="2"/>
        <v>0</v>
      </c>
      <c r="L454" s="83" t="str">
        <f t="shared" si="3"/>
        <v/>
      </c>
      <c r="M454" s="83">
        <f>'JUL-26'!H11</f>
        <v>0</v>
      </c>
      <c r="N454" s="92" t="str">
        <f ca="1">IF(BD!$C454="","",IF(AND(TODAY()&gt;BD!$C454,OR(BD!$D454="PENDENTE",BD!$D454="")),"VENCIDO",""))</f>
        <v/>
      </c>
      <c r="O454" s="82" t="str">
        <f ca="1">IF(N454 = "VENCIDO",BD!$B454,"")</f>
        <v/>
      </c>
      <c r="P454" s="82" t="str">
        <f ca="1">IF(N454 = "VENCIDO",BD!$C454,"")</f>
        <v/>
      </c>
      <c r="Q454" s="83" t="str">
        <f ca="1">IF(N454 = "VENCIDO",BD!$E454,"")</f>
        <v/>
      </c>
      <c r="R454" s="83" t="str">
        <f ca="1">IF(N454 = "VENCIDO",BD!$F454,"")</f>
        <v/>
      </c>
      <c r="S454" s="85" t="str">
        <f ca="1">IF(N454 = "VENCIDO",BD!$G454,"")</f>
        <v/>
      </c>
      <c r="T454" s="83" t="str">
        <f ca="1">IF(AND(TODAY()&gt;BD!$C454, OR(BD!$D454="PENDENTE", BD!$D454="")), TODAY()-BD!$C454, "")</f>
        <v/>
      </c>
    </row>
    <row r="455" spans="1:20" ht="14.25" customHeight="1" x14ac:dyDescent="0.35">
      <c r="A455" s="32"/>
      <c r="B455" s="82">
        <f>'JUL-26'!A12</f>
        <v>0</v>
      </c>
      <c r="C455" s="82">
        <f>'JUL-26'!B12</f>
        <v>0</v>
      </c>
      <c r="D455" s="82">
        <f>'JUL-26'!C12</f>
        <v>0</v>
      </c>
      <c r="E455" s="83">
        <f>'JUL-26'!D12</f>
        <v>0</v>
      </c>
      <c r="F455" s="84">
        <f>'JUL-26'!E12</f>
        <v>0</v>
      </c>
      <c r="G455" s="85">
        <f>'JUL-26'!F12</f>
        <v>0</v>
      </c>
      <c r="H455" s="85">
        <f t="shared" si="0"/>
        <v>0</v>
      </c>
      <c r="I455" s="83" t="s">
        <v>101</v>
      </c>
      <c r="J455" s="83" t="str">
        <f t="shared" si="1"/>
        <v/>
      </c>
      <c r="K455" s="85">
        <f t="shared" si="2"/>
        <v>0</v>
      </c>
      <c r="L455" s="83" t="str">
        <f t="shared" si="3"/>
        <v/>
      </c>
      <c r="M455" s="83">
        <f>'JUL-26'!H12</f>
        <v>0</v>
      </c>
      <c r="N455" s="92" t="str">
        <f ca="1">IF(BD!$C455="","",IF(AND(TODAY()&gt;BD!$C455,OR(BD!$D455="PENDENTE",BD!$D455="")),"VENCIDO",""))</f>
        <v/>
      </c>
      <c r="O455" s="82" t="str">
        <f ca="1">IF(N455 = "VENCIDO",BD!$B455,"")</f>
        <v/>
      </c>
      <c r="P455" s="82" t="str">
        <f ca="1">IF(N455 = "VENCIDO",BD!$C455,"")</f>
        <v/>
      </c>
      <c r="Q455" s="83" t="str">
        <f ca="1">IF(N455 = "VENCIDO",BD!$E455,"")</f>
        <v/>
      </c>
      <c r="R455" s="83" t="str">
        <f ca="1">IF(N455 = "VENCIDO",BD!$F455,"")</f>
        <v/>
      </c>
      <c r="S455" s="85" t="str">
        <f ca="1">IF(N455 = "VENCIDO",BD!$G455,"")</f>
        <v/>
      </c>
      <c r="T455" s="83" t="str">
        <f ca="1">IF(AND(TODAY()&gt;BD!$C455, OR(BD!$D455="PENDENTE", BD!$D455="")), TODAY()-BD!$C455, "")</f>
        <v/>
      </c>
    </row>
    <row r="456" spans="1:20" ht="14.25" customHeight="1" x14ac:dyDescent="0.35">
      <c r="A456" s="32"/>
      <c r="B456" s="82">
        <f>'JUL-26'!A13</f>
        <v>0</v>
      </c>
      <c r="C456" s="82">
        <f>'JUL-26'!B13</f>
        <v>0</v>
      </c>
      <c r="D456" s="82">
        <f>'JUL-26'!C13</f>
        <v>0</v>
      </c>
      <c r="E456" s="83">
        <f>'JUL-26'!D13</f>
        <v>0</v>
      </c>
      <c r="F456" s="84">
        <f>'JUL-26'!E13</f>
        <v>0</v>
      </c>
      <c r="G456" s="85">
        <f>'JUL-26'!F13</f>
        <v>0</v>
      </c>
      <c r="H456" s="85">
        <f t="shared" si="0"/>
        <v>0</v>
      </c>
      <c r="I456" s="83" t="s">
        <v>101</v>
      </c>
      <c r="J456" s="83" t="str">
        <f t="shared" si="1"/>
        <v/>
      </c>
      <c r="K456" s="85">
        <f t="shared" si="2"/>
        <v>0</v>
      </c>
      <c r="L456" s="83" t="str">
        <f t="shared" si="3"/>
        <v/>
      </c>
      <c r="M456" s="83">
        <f>'JUL-26'!H13</f>
        <v>0</v>
      </c>
      <c r="N456" s="92" t="str">
        <f ca="1">IF(BD!$C456="","",IF(AND(TODAY()&gt;BD!$C456,OR(BD!$D456="PENDENTE",BD!$D456="")),"VENCIDO",""))</f>
        <v/>
      </c>
      <c r="O456" s="82" t="str">
        <f ca="1">IF(N456 = "VENCIDO",BD!$B456,"")</f>
        <v/>
      </c>
      <c r="P456" s="82" t="str">
        <f ca="1">IF(N456 = "VENCIDO",BD!$C456,"")</f>
        <v/>
      </c>
      <c r="Q456" s="83" t="str">
        <f ca="1">IF(N456 = "VENCIDO",BD!$E456,"")</f>
        <v/>
      </c>
      <c r="R456" s="83" t="str">
        <f ca="1">IF(N456 = "VENCIDO",BD!$F456,"")</f>
        <v/>
      </c>
      <c r="S456" s="85" t="str">
        <f ca="1">IF(N456 = "VENCIDO",BD!$G456,"")</f>
        <v/>
      </c>
      <c r="T456" s="83" t="str">
        <f ca="1">IF(AND(TODAY()&gt;BD!$C456, OR(BD!$D456="PENDENTE", BD!$D456="")), TODAY()-BD!$C456, "")</f>
        <v/>
      </c>
    </row>
    <row r="457" spans="1:20" ht="14.25" customHeight="1" x14ac:dyDescent="0.35">
      <c r="A457" s="32"/>
      <c r="B457" s="82">
        <f>'JUL-26'!A14</f>
        <v>0</v>
      </c>
      <c r="C457" s="82">
        <f>'JUL-26'!B14</f>
        <v>0</v>
      </c>
      <c r="D457" s="82">
        <f>'JUL-26'!C14</f>
        <v>0</v>
      </c>
      <c r="E457" s="83">
        <f>'JUL-26'!D14</f>
        <v>0</v>
      </c>
      <c r="F457" s="84">
        <f>'JUL-26'!E14</f>
        <v>0</v>
      </c>
      <c r="G457" s="85">
        <f>'JUL-26'!F14</f>
        <v>0</v>
      </c>
      <c r="H457" s="85">
        <f t="shared" si="0"/>
        <v>0</v>
      </c>
      <c r="I457" s="83" t="s">
        <v>101</v>
      </c>
      <c r="J457" s="83" t="str">
        <f t="shared" si="1"/>
        <v/>
      </c>
      <c r="K457" s="85">
        <f t="shared" si="2"/>
        <v>0</v>
      </c>
      <c r="L457" s="83" t="str">
        <f t="shared" si="3"/>
        <v/>
      </c>
      <c r="M457" s="83">
        <f>'JUL-26'!H14</f>
        <v>0</v>
      </c>
      <c r="N457" s="92" t="str">
        <f ca="1">IF(BD!$C457="","",IF(AND(TODAY()&gt;BD!$C457,OR(BD!$D457="PENDENTE",BD!$D457="")),"VENCIDO",""))</f>
        <v/>
      </c>
      <c r="O457" s="82" t="str">
        <f ca="1">IF(N457 = "VENCIDO",BD!$B457,"")</f>
        <v/>
      </c>
      <c r="P457" s="82" t="str">
        <f ca="1">IF(N457 = "VENCIDO",BD!$C457,"")</f>
        <v/>
      </c>
      <c r="Q457" s="83" t="str">
        <f ca="1">IF(N457 = "VENCIDO",BD!$E457,"")</f>
        <v/>
      </c>
      <c r="R457" s="83" t="str">
        <f ca="1">IF(N457 = "VENCIDO",BD!$F457,"")</f>
        <v/>
      </c>
      <c r="S457" s="85" t="str">
        <f ca="1">IF(N457 = "VENCIDO",BD!$G457,"")</f>
        <v/>
      </c>
      <c r="T457" s="83" t="str">
        <f ca="1">IF(AND(TODAY()&gt;BD!$C457, OR(BD!$D457="PENDENTE", BD!$D457="")), TODAY()-BD!$C457, "")</f>
        <v/>
      </c>
    </row>
    <row r="458" spans="1:20" ht="14.25" customHeight="1" x14ac:dyDescent="0.35">
      <c r="A458" s="32"/>
      <c r="B458" s="82">
        <f>'JUL-26'!A15</f>
        <v>0</v>
      </c>
      <c r="C458" s="82">
        <f>'JUL-26'!B15</f>
        <v>0</v>
      </c>
      <c r="D458" s="82">
        <f>'JUL-26'!C15</f>
        <v>0</v>
      </c>
      <c r="E458" s="83">
        <f>'JUL-26'!D15</f>
        <v>0</v>
      </c>
      <c r="F458" s="84">
        <f>'JUL-26'!E15</f>
        <v>0</v>
      </c>
      <c r="G458" s="85">
        <f>'JUL-26'!F15</f>
        <v>0</v>
      </c>
      <c r="H458" s="85">
        <f t="shared" si="0"/>
        <v>0</v>
      </c>
      <c r="I458" s="83" t="s">
        <v>101</v>
      </c>
      <c r="J458" s="83" t="str">
        <f t="shared" si="1"/>
        <v/>
      </c>
      <c r="K458" s="85">
        <f t="shared" si="2"/>
        <v>0</v>
      </c>
      <c r="L458" s="83" t="str">
        <f t="shared" si="3"/>
        <v/>
      </c>
      <c r="M458" s="83">
        <f>'JUL-26'!H15</f>
        <v>0</v>
      </c>
      <c r="N458" s="92" t="str">
        <f ca="1">IF(BD!$C458="","",IF(AND(TODAY()&gt;BD!$C458,OR(BD!$D458="PENDENTE",BD!$D458="")),"VENCIDO",""))</f>
        <v/>
      </c>
      <c r="O458" s="82" t="str">
        <f ca="1">IF(N458 = "VENCIDO",BD!$B458,"")</f>
        <v/>
      </c>
      <c r="P458" s="82" t="str">
        <f ca="1">IF(N458 = "VENCIDO",BD!$C458,"")</f>
        <v/>
      </c>
      <c r="Q458" s="83" t="str">
        <f ca="1">IF(N458 = "VENCIDO",BD!$E458,"")</f>
        <v/>
      </c>
      <c r="R458" s="83" t="str">
        <f ca="1">IF(N458 = "VENCIDO",BD!$F458,"")</f>
        <v/>
      </c>
      <c r="S458" s="85" t="str">
        <f ca="1">IF(N458 = "VENCIDO",BD!$G458,"")</f>
        <v/>
      </c>
      <c r="T458" s="83" t="str">
        <f ca="1">IF(AND(TODAY()&gt;BD!$C458, OR(BD!$D458="PENDENTE", BD!$D458="")), TODAY()-BD!$C458, "")</f>
        <v/>
      </c>
    </row>
    <row r="459" spans="1:20" ht="14.25" customHeight="1" x14ac:dyDescent="0.35">
      <c r="A459" s="32"/>
      <c r="B459" s="82">
        <f>'JUL-26'!A16</f>
        <v>0</v>
      </c>
      <c r="C459" s="82">
        <f>'JUL-26'!B16</f>
        <v>0</v>
      </c>
      <c r="D459" s="82">
        <f>'JUL-26'!C16</f>
        <v>0</v>
      </c>
      <c r="E459" s="83">
        <f>'JUL-26'!D16</f>
        <v>0</v>
      </c>
      <c r="F459" s="84">
        <f>'JUL-26'!E16</f>
        <v>0</v>
      </c>
      <c r="G459" s="85">
        <f>'JUL-26'!F16</f>
        <v>0</v>
      </c>
      <c r="H459" s="85">
        <f t="shared" si="0"/>
        <v>0</v>
      </c>
      <c r="I459" s="83" t="s">
        <v>101</v>
      </c>
      <c r="J459" s="83" t="str">
        <f t="shared" si="1"/>
        <v/>
      </c>
      <c r="K459" s="85">
        <f t="shared" si="2"/>
        <v>0</v>
      </c>
      <c r="L459" s="83" t="str">
        <f t="shared" si="3"/>
        <v/>
      </c>
      <c r="M459" s="83">
        <f>'JUL-26'!H16</f>
        <v>0</v>
      </c>
      <c r="N459" s="92" t="str">
        <f ca="1">IF(BD!$C459="","",IF(AND(TODAY()&gt;BD!$C459,OR(BD!$D459="PENDENTE",BD!$D459="")),"VENCIDO",""))</f>
        <v/>
      </c>
      <c r="O459" s="82" t="str">
        <f ca="1">IF(N459 = "VENCIDO",BD!$B459,"")</f>
        <v/>
      </c>
      <c r="P459" s="82" t="str">
        <f ca="1">IF(N459 = "VENCIDO",BD!$C459,"")</f>
        <v/>
      </c>
      <c r="Q459" s="83" t="str">
        <f ca="1">IF(N459 = "VENCIDO",BD!$E459,"")</f>
        <v/>
      </c>
      <c r="R459" s="83" t="str">
        <f ca="1">IF(N459 = "VENCIDO",BD!$F459,"")</f>
        <v/>
      </c>
      <c r="S459" s="85" t="str">
        <f ca="1">IF(N459 = "VENCIDO",BD!$G459,"")</f>
        <v/>
      </c>
      <c r="T459" s="83" t="str">
        <f ca="1">IF(AND(TODAY()&gt;BD!$C459, OR(BD!$D459="PENDENTE", BD!$D459="")), TODAY()-BD!$C459, "")</f>
        <v/>
      </c>
    </row>
    <row r="460" spans="1:20" ht="14.25" customHeight="1" x14ac:dyDescent="0.35">
      <c r="A460" s="32"/>
      <c r="B460" s="82">
        <f>'JUL-26'!A17</f>
        <v>0</v>
      </c>
      <c r="C460" s="82">
        <f>'JUL-26'!B17</f>
        <v>0</v>
      </c>
      <c r="D460" s="82">
        <f>'JUL-26'!C17</f>
        <v>0</v>
      </c>
      <c r="E460" s="83">
        <f>'JUL-26'!D17</f>
        <v>0</v>
      </c>
      <c r="F460" s="84">
        <f>'JUL-26'!E17</f>
        <v>0</v>
      </c>
      <c r="G460" s="85">
        <f>'JUL-26'!F17</f>
        <v>0</v>
      </c>
      <c r="H460" s="85">
        <f t="shared" si="0"/>
        <v>0</v>
      </c>
      <c r="I460" s="83" t="s">
        <v>101</v>
      </c>
      <c r="J460" s="83" t="str">
        <f t="shared" si="1"/>
        <v/>
      </c>
      <c r="K460" s="85">
        <f t="shared" si="2"/>
        <v>0</v>
      </c>
      <c r="L460" s="83" t="str">
        <f t="shared" si="3"/>
        <v/>
      </c>
      <c r="M460" s="83">
        <f>'JUL-26'!H17</f>
        <v>0</v>
      </c>
      <c r="N460" s="92" t="str">
        <f ca="1">IF(BD!$C460="","",IF(AND(TODAY()&gt;BD!$C460,OR(BD!$D460="PENDENTE",BD!$D460="")),"VENCIDO",""))</f>
        <v/>
      </c>
      <c r="O460" s="82" t="str">
        <f ca="1">IF(N460 = "VENCIDO",BD!$B460,"")</f>
        <v/>
      </c>
      <c r="P460" s="82" t="str">
        <f ca="1">IF(N460 = "VENCIDO",BD!$C460,"")</f>
        <v/>
      </c>
      <c r="Q460" s="83" t="str">
        <f ca="1">IF(N460 = "VENCIDO",BD!$E460,"")</f>
        <v/>
      </c>
      <c r="R460" s="83" t="str">
        <f ca="1">IF(N460 = "VENCIDO",BD!$F460,"")</f>
        <v/>
      </c>
      <c r="S460" s="85" t="str">
        <f ca="1">IF(N460 = "VENCIDO",BD!$G460,"")</f>
        <v/>
      </c>
      <c r="T460" s="83" t="str">
        <f ca="1">IF(AND(TODAY()&gt;BD!$C460, OR(BD!$D460="PENDENTE", BD!$D460="")), TODAY()-BD!$C460, "")</f>
        <v/>
      </c>
    </row>
    <row r="461" spans="1:20" ht="14.25" customHeight="1" x14ac:dyDescent="0.35">
      <c r="A461" s="32"/>
      <c r="B461" s="82">
        <f>'JUL-26'!A18</f>
        <v>0</v>
      </c>
      <c r="C461" s="82">
        <f>'JUL-26'!B18</f>
        <v>0</v>
      </c>
      <c r="D461" s="82">
        <f>'JUL-26'!C18</f>
        <v>0</v>
      </c>
      <c r="E461" s="83">
        <f>'JUL-26'!D18</f>
        <v>0</v>
      </c>
      <c r="F461" s="84">
        <f>'JUL-26'!E18</f>
        <v>0</v>
      </c>
      <c r="G461" s="85">
        <f>'JUL-26'!F18</f>
        <v>0</v>
      </c>
      <c r="H461" s="85">
        <f t="shared" si="0"/>
        <v>0</v>
      </c>
      <c r="I461" s="83" t="s">
        <v>101</v>
      </c>
      <c r="J461" s="83" t="str">
        <f t="shared" si="1"/>
        <v/>
      </c>
      <c r="K461" s="85">
        <f t="shared" si="2"/>
        <v>0</v>
      </c>
      <c r="L461" s="83" t="str">
        <f t="shared" si="3"/>
        <v/>
      </c>
      <c r="M461" s="83">
        <f>'JUL-26'!H18</f>
        <v>0</v>
      </c>
      <c r="N461" s="92" t="str">
        <f ca="1">IF(BD!$C461="","",IF(AND(TODAY()&gt;BD!$C461,OR(BD!$D461="PENDENTE",BD!$D461="")),"VENCIDO",""))</f>
        <v/>
      </c>
      <c r="O461" s="82" t="str">
        <f ca="1">IF(N461 = "VENCIDO",BD!$B461,"")</f>
        <v/>
      </c>
      <c r="P461" s="82" t="str">
        <f ca="1">IF(N461 = "VENCIDO",BD!$C461,"")</f>
        <v/>
      </c>
      <c r="Q461" s="83" t="str">
        <f ca="1">IF(N461 = "VENCIDO",BD!$E461,"")</f>
        <v/>
      </c>
      <c r="R461" s="83" t="str">
        <f ca="1">IF(N461 = "VENCIDO",BD!$F461,"")</f>
        <v/>
      </c>
      <c r="S461" s="85" t="str">
        <f ca="1">IF(N461 = "VENCIDO",BD!$G461,"")</f>
        <v/>
      </c>
      <c r="T461" s="83" t="str">
        <f ca="1">IF(AND(TODAY()&gt;BD!$C461, OR(BD!$D461="PENDENTE", BD!$D461="")), TODAY()-BD!$C461, "")</f>
        <v/>
      </c>
    </row>
    <row r="462" spans="1:20" ht="14.25" customHeight="1" x14ac:dyDescent="0.35">
      <c r="A462" s="32"/>
      <c r="B462" s="82">
        <f>'JUL-26'!A19</f>
        <v>0</v>
      </c>
      <c r="C462" s="82">
        <f>'JUL-26'!B19</f>
        <v>0</v>
      </c>
      <c r="D462" s="82">
        <f>'JUL-26'!C19</f>
        <v>0</v>
      </c>
      <c r="E462" s="83">
        <f>'JUL-26'!D19</f>
        <v>0</v>
      </c>
      <c r="F462" s="84">
        <f>'JUL-26'!E19</f>
        <v>0</v>
      </c>
      <c r="G462" s="85">
        <f>'JUL-26'!F19</f>
        <v>0</v>
      </c>
      <c r="H462" s="85">
        <f t="shared" si="0"/>
        <v>0</v>
      </c>
      <c r="I462" s="83" t="s">
        <v>101</v>
      </c>
      <c r="J462" s="83" t="str">
        <f t="shared" si="1"/>
        <v/>
      </c>
      <c r="K462" s="85">
        <f t="shared" si="2"/>
        <v>0</v>
      </c>
      <c r="L462" s="83" t="str">
        <f t="shared" si="3"/>
        <v/>
      </c>
      <c r="M462" s="83">
        <f>'JUL-26'!H19</f>
        <v>0</v>
      </c>
      <c r="N462" s="92" t="str">
        <f ca="1">IF(BD!$C462="","",IF(AND(TODAY()&gt;BD!$C462,OR(BD!$D462="PENDENTE",BD!$D462="")),"VENCIDO",""))</f>
        <v/>
      </c>
      <c r="O462" s="82" t="str">
        <f ca="1">IF(N462 = "VENCIDO",BD!$B462,"")</f>
        <v/>
      </c>
      <c r="P462" s="82" t="str">
        <f ca="1">IF(N462 = "VENCIDO",BD!$C462,"")</f>
        <v/>
      </c>
      <c r="Q462" s="83" t="str">
        <f ca="1">IF(N462 = "VENCIDO",BD!$E462,"")</f>
        <v/>
      </c>
      <c r="R462" s="83" t="str">
        <f ca="1">IF(N462 = "VENCIDO",BD!$F462,"")</f>
        <v/>
      </c>
      <c r="S462" s="85" t="str">
        <f ca="1">IF(N462 = "VENCIDO",BD!$G462,"")</f>
        <v/>
      </c>
      <c r="T462" s="83" t="str">
        <f ca="1">IF(AND(TODAY()&gt;BD!$C462, OR(BD!$D462="PENDENTE", BD!$D462="")), TODAY()-BD!$C462, "")</f>
        <v/>
      </c>
    </row>
    <row r="463" spans="1:20" ht="14.25" customHeight="1" x14ac:dyDescent="0.35">
      <c r="A463" s="32"/>
      <c r="B463" s="82">
        <f>'JUL-26'!A20</f>
        <v>0</v>
      </c>
      <c r="C463" s="82">
        <f>'JUL-26'!B20</f>
        <v>0</v>
      </c>
      <c r="D463" s="82">
        <f>'JUL-26'!C20</f>
        <v>0</v>
      </c>
      <c r="E463" s="83">
        <f>'JUL-26'!D20</f>
        <v>0</v>
      </c>
      <c r="F463" s="84">
        <f>'JUL-26'!E20</f>
        <v>0</v>
      </c>
      <c r="G463" s="85">
        <f>'JUL-26'!F20</f>
        <v>0</v>
      </c>
      <c r="H463" s="85">
        <f t="shared" si="0"/>
        <v>0</v>
      </c>
      <c r="I463" s="83" t="s">
        <v>101</v>
      </c>
      <c r="J463" s="83" t="str">
        <f t="shared" si="1"/>
        <v/>
      </c>
      <c r="K463" s="85">
        <f t="shared" si="2"/>
        <v>0</v>
      </c>
      <c r="L463" s="83" t="str">
        <f t="shared" si="3"/>
        <v/>
      </c>
      <c r="M463" s="83">
        <f>'JUL-26'!H20</f>
        <v>0</v>
      </c>
      <c r="N463" s="92" t="str">
        <f ca="1">IF(BD!$C463="","",IF(AND(TODAY()&gt;BD!$C463,OR(BD!$D463="PENDENTE",BD!$D463="")),"VENCIDO",""))</f>
        <v/>
      </c>
      <c r="O463" s="82" t="str">
        <f ca="1">IF(N463 = "VENCIDO",BD!$B463,"")</f>
        <v/>
      </c>
      <c r="P463" s="82" t="str">
        <f ca="1">IF(N463 = "VENCIDO",BD!$C463,"")</f>
        <v/>
      </c>
      <c r="Q463" s="83" t="str">
        <f ca="1">IF(N463 = "VENCIDO",BD!$E463,"")</f>
        <v/>
      </c>
      <c r="R463" s="83" t="str">
        <f ca="1">IF(N463 = "VENCIDO",BD!$F463,"")</f>
        <v/>
      </c>
      <c r="S463" s="85" t="str">
        <f ca="1">IF(N463 = "VENCIDO",BD!$G463,"")</f>
        <v/>
      </c>
      <c r="T463" s="83" t="str">
        <f ca="1">IF(AND(TODAY()&gt;BD!$C463, OR(BD!$D463="PENDENTE", BD!$D463="")), TODAY()-BD!$C463, "")</f>
        <v/>
      </c>
    </row>
    <row r="464" spans="1:20" ht="14.25" customHeight="1" x14ac:dyDescent="0.35">
      <c r="A464" s="32"/>
      <c r="B464" s="82">
        <f>'JUL-26'!A21</f>
        <v>0</v>
      </c>
      <c r="C464" s="82">
        <f>'JUL-26'!B21</f>
        <v>0</v>
      </c>
      <c r="D464" s="82">
        <f>'JUL-26'!C21</f>
        <v>0</v>
      </c>
      <c r="E464" s="83">
        <f>'JUL-26'!D21</f>
        <v>0</v>
      </c>
      <c r="F464" s="84">
        <f>'JUL-26'!E21</f>
        <v>0</v>
      </c>
      <c r="G464" s="85">
        <f>'JUL-26'!F21</f>
        <v>0</v>
      </c>
      <c r="H464" s="85">
        <f t="shared" si="0"/>
        <v>0</v>
      </c>
      <c r="I464" s="83" t="s">
        <v>101</v>
      </c>
      <c r="J464" s="83" t="str">
        <f t="shared" si="1"/>
        <v/>
      </c>
      <c r="K464" s="85">
        <f t="shared" si="2"/>
        <v>0</v>
      </c>
      <c r="L464" s="83" t="str">
        <f t="shared" si="3"/>
        <v/>
      </c>
      <c r="M464" s="83">
        <f>'JUL-26'!H21</f>
        <v>0</v>
      </c>
      <c r="N464" s="92" t="str">
        <f ca="1">IF(BD!$C464="","",IF(AND(TODAY()&gt;BD!$C464,OR(BD!$D464="PENDENTE",BD!$D464="")),"VENCIDO",""))</f>
        <v/>
      </c>
      <c r="O464" s="82" t="str">
        <f ca="1">IF(N464 = "VENCIDO",BD!$B464,"")</f>
        <v/>
      </c>
      <c r="P464" s="82" t="str">
        <f ca="1">IF(N464 = "VENCIDO",BD!$C464,"")</f>
        <v/>
      </c>
      <c r="Q464" s="83" t="str">
        <f ca="1">IF(N464 = "VENCIDO",BD!$E464,"")</f>
        <v/>
      </c>
      <c r="R464" s="83" t="str">
        <f ca="1">IF(N464 = "VENCIDO",BD!$F464,"")</f>
        <v/>
      </c>
      <c r="S464" s="85" t="str">
        <f ca="1">IF(N464 = "VENCIDO",BD!$G464,"")</f>
        <v/>
      </c>
      <c r="T464" s="83" t="str">
        <f ca="1">IF(AND(TODAY()&gt;BD!$C464, OR(BD!$D464="PENDENTE", BD!$D464="")), TODAY()-BD!$C464, "")</f>
        <v/>
      </c>
    </row>
    <row r="465" spans="1:20" ht="14.25" customHeight="1" x14ac:dyDescent="0.35">
      <c r="A465" s="32"/>
      <c r="B465" s="82">
        <f>'JUL-26'!A22</f>
        <v>0</v>
      </c>
      <c r="C465" s="82">
        <f>'JUL-26'!B22</f>
        <v>0</v>
      </c>
      <c r="D465" s="82">
        <f>'JUL-26'!C22</f>
        <v>0</v>
      </c>
      <c r="E465" s="83">
        <f>'JUL-26'!D22</f>
        <v>0</v>
      </c>
      <c r="F465" s="84">
        <f>'JUL-26'!E22</f>
        <v>0</v>
      </c>
      <c r="G465" s="85">
        <f>'JUL-26'!F22</f>
        <v>0</v>
      </c>
      <c r="H465" s="85">
        <f t="shared" si="0"/>
        <v>0</v>
      </c>
      <c r="I465" s="83" t="s">
        <v>101</v>
      </c>
      <c r="J465" s="83" t="str">
        <f t="shared" si="1"/>
        <v/>
      </c>
      <c r="K465" s="85">
        <f t="shared" si="2"/>
        <v>0</v>
      </c>
      <c r="L465" s="83" t="str">
        <f t="shared" si="3"/>
        <v/>
      </c>
      <c r="M465" s="83">
        <f>'JUL-26'!H22</f>
        <v>0</v>
      </c>
      <c r="N465" s="92" t="str">
        <f ca="1">IF(BD!$C465="","",IF(AND(TODAY()&gt;BD!$C465,OR(BD!$D465="PENDENTE",BD!$D465="")),"VENCIDO",""))</f>
        <v/>
      </c>
      <c r="O465" s="82" t="str">
        <f ca="1">IF(N465 = "VENCIDO",BD!$B465,"")</f>
        <v/>
      </c>
      <c r="P465" s="82" t="str">
        <f ca="1">IF(N465 = "VENCIDO",BD!$C465,"")</f>
        <v/>
      </c>
      <c r="Q465" s="83" t="str">
        <f ca="1">IF(N465 = "VENCIDO",BD!$E465,"")</f>
        <v/>
      </c>
      <c r="R465" s="83" t="str">
        <f ca="1">IF(N465 = "VENCIDO",BD!$F465,"")</f>
        <v/>
      </c>
      <c r="S465" s="85" t="str">
        <f ca="1">IF(N465 = "VENCIDO",BD!$G465,"")</f>
        <v/>
      </c>
      <c r="T465" s="83" t="str">
        <f ca="1">IF(AND(TODAY()&gt;BD!$C465, OR(BD!$D465="PENDENTE", BD!$D465="")), TODAY()-BD!$C465, "")</f>
        <v/>
      </c>
    </row>
    <row r="466" spans="1:20" ht="14.25" customHeight="1" x14ac:dyDescent="0.35">
      <c r="A466" s="32"/>
      <c r="B466" s="82">
        <f>'JUL-26'!A23</f>
        <v>0</v>
      </c>
      <c r="C466" s="82">
        <f>'JUL-26'!B23</f>
        <v>0</v>
      </c>
      <c r="D466" s="82">
        <f>'JUL-26'!C23</f>
        <v>0</v>
      </c>
      <c r="E466" s="83">
        <f>'JUL-26'!D23</f>
        <v>0</v>
      </c>
      <c r="F466" s="84">
        <f>'JUL-26'!E23</f>
        <v>0</v>
      </c>
      <c r="G466" s="85">
        <f>'JUL-26'!F23</f>
        <v>0</v>
      </c>
      <c r="H466" s="85">
        <f t="shared" si="0"/>
        <v>0</v>
      </c>
      <c r="I466" s="83" t="s">
        <v>101</v>
      </c>
      <c r="J466" s="83" t="str">
        <f t="shared" si="1"/>
        <v/>
      </c>
      <c r="K466" s="85">
        <f t="shared" si="2"/>
        <v>0</v>
      </c>
      <c r="L466" s="83" t="str">
        <f t="shared" si="3"/>
        <v/>
      </c>
      <c r="M466" s="83">
        <f>'JUL-26'!H23</f>
        <v>0</v>
      </c>
      <c r="N466" s="92" t="str">
        <f ca="1">IF(BD!$C466="","",IF(AND(TODAY()&gt;BD!$C466,OR(BD!$D466="PENDENTE",BD!$D466="")),"VENCIDO",""))</f>
        <v/>
      </c>
      <c r="O466" s="82" t="str">
        <f ca="1">IF(N466 = "VENCIDO",BD!$B466,"")</f>
        <v/>
      </c>
      <c r="P466" s="82" t="str">
        <f ca="1">IF(N466 = "VENCIDO",BD!$C466,"")</f>
        <v/>
      </c>
      <c r="Q466" s="83" t="str">
        <f ca="1">IF(N466 = "VENCIDO",BD!$E466,"")</f>
        <v/>
      </c>
      <c r="R466" s="83" t="str">
        <f ca="1">IF(N466 = "VENCIDO",BD!$F466,"")</f>
        <v/>
      </c>
      <c r="S466" s="85" t="str">
        <f ca="1">IF(N466 = "VENCIDO",BD!$G466,"")</f>
        <v/>
      </c>
      <c r="T466" s="83" t="str">
        <f ca="1">IF(AND(TODAY()&gt;BD!$C466, OR(BD!$D466="PENDENTE", BD!$D466="")), TODAY()-BD!$C466, "")</f>
        <v/>
      </c>
    </row>
    <row r="467" spans="1:20" ht="14.25" customHeight="1" x14ac:dyDescent="0.35">
      <c r="A467" s="32"/>
      <c r="B467" s="82">
        <f>'JUL-26'!A24</f>
        <v>0</v>
      </c>
      <c r="C467" s="82">
        <f>'JUL-26'!B24</f>
        <v>0</v>
      </c>
      <c r="D467" s="82">
        <f>'JUL-26'!C24</f>
        <v>0</v>
      </c>
      <c r="E467" s="83">
        <f>'JUL-26'!D24</f>
        <v>0</v>
      </c>
      <c r="F467" s="84">
        <f>'JUL-26'!E24</f>
        <v>0</v>
      </c>
      <c r="G467" s="85">
        <f>'JUL-26'!F24</f>
        <v>0</v>
      </c>
      <c r="H467" s="85">
        <f t="shared" si="0"/>
        <v>0</v>
      </c>
      <c r="I467" s="83" t="s">
        <v>101</v>
      </c>
      <c r="J467" s="83" t="str">
        <f t="shared" si="1"/>
        <v/>
      </c>
      <c r="K467" s="85">
        <f t="shared" si="2"/>
        <v>0</v>
      </c>
      <c r="L467" s="83" t="str">
        <f t="shared" si="3"/>
        <v/>
      </c>
      <c r="M467" s="83">
        <f>'JUL-26'!H24</f>
        <v>0</v>
      </c>
      <c r="N467" s="92" t="str">
        <f ca="1">IF(BD!$C467="","",IF(AND(TODAY()&gt;BD!$C467,OR(BD!$D467="PENDENTE",BD!$D467="")),"VENCIDO",""))</f>
        <v/>
      </c>
      <c r="O467" s="82" t="str">
        <f ca="1">IF(N467 = "VENCIDO",BD!$B467,"")</f>
        <v/>
      </c>
      <c r="P467" s="82" t="str">
        <f ca="1">IF(N467 = "VENCIDO",BD!$C467,"")</f>
        <v/>
      </c>
      <c r="Q467" s="83" t="str">
        <f ca="1">IF(N467 = "VENCIDO",BD!$E467,"")</f>
        <v/>
      </c>
      <c r="R467" s="83" t="str">
        <f ca="1">IF(N467 = "VENCIDO",BD!$F467,"")</f>
        <v/>
      </c>
      <c r="S467" s="85" t="str">
        <f ca="1">IF(N467 = "VENCIDO",BD!$G467,"")</f>
        <v/>
      </c>
      <c r="T467" s="83" t="str">
        <f ca="1">IF(AND(TODAY()&gt;BD!$C467, OR(BD!$D467="PENDENTE", BD!$D467="")), TODAY()-BD!$C467, "")</f>
        <v/>
      </c>
    </row>
    <row r="468" spans="1:20" ht="14.25" customHeight="1" x14ac:dyDescent="0.35">
      <c r="A468" s="32"/>
      <c r="B468" s="82">
        <f>'JUL-26'!A25</f>
        <v>0</v>
      </c>
      <c r="C468" s="82">
        <f>'JUL-26'!B25</f>
        <v>0</v>
      </c>
      <c r="D468" s="82">
        <f>'JUL-26'!C25</f>
        <v>0</v>
      </c>
      <c r="E468" s="93">
        <f>'JUL-26'!D25</f>
        <v>0</v>
      </c>
      <c r="F468" s="84">
        <f>'JUL-26'!E25</f>
        <v>0</v>
      </c>
      <c r="G468" s="85">
        <f>'JUL-26'!F25</f>
        <v>0</v>
      </c>
      <c r="H468" s="85">
        <f t="shared" si="0"/>
        <v>0</v>
      </c>
      <c r="I468" s="83" t="s">
        <v>101</v>
      </c>
      <c r="J468" s="83" t="str">
        <f t="shared" si="1"/>
        <v/>
      </c>
      <c r="K468" s="85">
        <f t="shared" si="2"/>
        <v>0</v>
      </c>
      <c r="L468" s="83" t="str">
        <f t="shared" si="3"/>
        <v/>
      </c>
      <c r="M468" s="83">
        <f>'JUL-26'!H25</f>
        <v>0</v>
      </c>
      <c r="N468" s="92" t="str">
        <f ca="1">IF(BD!$C468="","",IF(AND(TODAY()&gt;BD!$C468,OR(BD!$D468="PENDENTE",BD!$D468="")),"VENCIDO",""))</f>
        <v/>
      </c>
      <c r="O468" s="82" t="str">
        <f ca="1">IF(N468 = "VENCIDO",BD!$B468,"")</f>
        <v/>
      </c>
      <c r="P468" s="82" t="str">
        <f ca="1">IF(N468 = "VENCIDO",BD!$C468,"")</f>
        <v/>
      </c>
      <c r="Q468" s="83" t="str">
        <f ca="1">IF(N468 = "VENCIDO",BD!$E468,"")</f>
        <v/>
      </c>
      <c r="R468" s="83" t="str">
        <f ca="1">IF(N468 = "VENCIDO",BD!$F468,"")</f>
        <v/>
      </c>
      <c r="S468" s="85" t="str">
        <f ca="1">IF(N468 = "VENCIDO",BD!$G468,"")</f>
        <v/>
      </c>
      <c r="T468" s="83" t="str">
        <f ca="1">IF(AND(TODAY()&gt;BD!$C468, OR(BD!$D468="PENDENTE", BD!$D468="")), TODAY()-BD!$C468, "")</f>
        <v/>
      </c>
    </row>
    <row r="469" spans="1:20" ht="14.25" customHeight="1" x14ac:dyDescent="0.35">
      <c r="A469" s="32"/>
      <c r="B469" s="82">
        <f>'JUL-26'!A26</f>
        <v>0</v>
      </c>
      <c r="C469" s="82">
        <f>'JUL-26'!B26</f>
        <v>0</v>
      </c>
      <c r="D469" s="82">
        <f>'JUL-26'!C26</f>
        <v>0</v>
      </c>
      <c r="E469" s="83">
        <f>'JUL-26'!D26</f>
        <v>0</v>
      </c>
      <c r="F469" s="84">
        <f>'JUL-26'!E26</f>
        <v>0</v>
      </c>
      <c r="G469" s="85">
        <f>'JUL-26'!F26</f>
        <v>0</v>
      </c>
      <c r="H469" s="85">
        <f t="shared" si="0"/>
        <v>0</v>
      </c>
      <c r="I469" s="83" t="s">
        <v>101</v>
      </c>
      <c r="J469" s="83" t="str">
        <f t="shared" si="1"/>
        <v/>
      </c>
      <c r="K469" s="85">
        <f t="shared" si="2"/>
        <v>0</v>
      </c>
      <c r="L469" s="83" t="str">
        <f t="shared" si="3"/>
        <v/>
      </c>
      <c r="M469" s="83">
        <f>'JUL-26'!H26</f>
        <v>0</v>
      </c>
      <c r="N469" s="92" t="str">
        <f ca="1">IF(BD!$C469="","",IF(AND(TODAY()&gt;BD!$C469,OR(BD!$D469="PENDENTE",BD!$D469="")),"VENCIDO",""))</f>
        <v/>
      </c>
      <c r="O469" s="82" t="str">
        <f ca="1">IF(N469 = "VENCIDO",BD!$B469,"")</f>
        <v/>
      </c>
      <c r="P469" s="82" t="str">
        <f ca="1">IF(N469 = "VENCIDO",BD!$C469,"")</f>
        <v/>
      </c>
      <c r="Q469" s="83" t="str">
        <f ca="1">IF(N469 = "VENCIDO",BD!$E469,"")</f>
        <v/>
      </c>
      <c r="R469" s="83" t="str">
        <f ca="1">IF(N469 = "VENCIDO",BD!$F469,"")</f>
        <v/>
      </c>
      <c r="S469" s="85" t="str">
        <f ca="1">IF(N469 = "VENCIDO",BD!$G469,"")</f>
        <v/>
      </c>
      <c r="T469" s="83" t="str">
        <f ca="1">IF(AND(TODAY()&gt;BD!$C469, OR(BD!$D469="PENDENTE", BD!$D469="")), TODAY()-BD!$C469, "")</f>
        <v/>
      </c>
    </row>
    <row r="470" spans="1:20" ht="14.25" customHeight="1" x14ac:dyDescent="0.35">
      <c r="A470" s="32"/>
      <c r="B470" s="82">
        <f>'JUL-26'!A27</f>
        <v>0</v>
      </c>
      <c r="C470" s="82">
        <f>'JUL-26'!B27</f>
        <v>0</v>
      </c>
      <c r="D470" s="82">
        <f>'JUL-26'!C27</f>
        <v>0</v>
      </c>
      <c r="E470" s="83">
        <f>'JUL-26'!D27</f>
        <v>0</v>
      </c>
      <c r="F470" s="84">
        <f>'JUL-26'!E27</f>
        <v>0</v>
      </c>
      <c r="G470" s="85">
        <f>'JUL-26'!F27</f>
        <v>0</v>
      </c>
      <c r="H470" s="85">
        <f t="shared" si="0"/>
        <v>0</v>
      </c>
      <c r="I470" s="83" t="s">
        <v>101</v>
      </c>
      <c r="J470" s="83" t="str">
        <f t="shared" si="1"/>
        <v/>
      </c>
      <c r="K470" s="85">
        <f t="shared" si="2"/>
        <v>0</v>
      </c>
      <c r="L470" s="83" t="str">
        <f t="shared" si="3"/>
        <v/>
      </c>
      <c r="M470" s="83">
        <f>'JUL-26'!H27</f>
        <v>0</v>
      </c>
      <c r="N470" s="92" t="str">
        <f ca="1">IF(BD!$C470="","",IF(AND(TODAY()&gt;BD!$C470,OR(BD!$D470="PENDENTE",BD!$D470="")),"VENCIDO",""))</f>
        <v/>
      </c>
      <c r="O470" s="82" t="str">
        <f ca="1">IF(N470 = "VENCIDO",BD!$B470,"")</f>
        <v/>
      </c>
      <c r="P470" s="82" t="str">
        <f ca="1">IF(N470 = "VENCIDO",BD!$C470,"")</f>
        <v/>
      </c>
      <c r="Q470" s="83" t="str">
        <f ca="1">IF(N470 = "VENCIDO",BD!$E470,"")</f>
        <v/>
      </c>
      <c r="R470" s="83" t="str">
        <f ca="1">IF(N470 = "VENCIDO",BD!$F470,"")</f>
        <v/>
      </c>
      <c r="S470" s="85" t="str">
        <f ca="1">IF(N470 = "VENCIDO",BD!$G470,"")</f>
        <v/>
      </c>
      <c r="T470" s="83" t="str">
        <f ca="1">IF(AND(TODAY()&gt;BD!$C470, OR(BD!$D470="PENDENTE", BD!$D470="")), TODAY()-BD!$C470, "")</f>
        <v/>
      </c>
    </row>
    <row r="471" spans="1:20" ht="14.25" customHeight="1" x14ac:dyDescent="0.35">
      <c r="A471" s="32"/>
      <c r="B471" s="82">
        <f>'JUL-26'!A28</f>
        <v>0</v>
      </c>
      <c r="C471" s="82">
        <f>'JUL-26'!B28</f>
        <v>0</v>
      </c>
      <c r="D471" s="82">
        <f>'JUL-26'!C28</f>
        <v>0</v>
      </c>
      <c r="E471" s="83">
        <f>'JUL-26'!D28</f>
        <v>0</v>
      </c>
      <c r="F471" s="84">
        <f>'JUL-26'!E28</f>
        <v>0</v>
      </c>
      <c r="G471" s="85">
        <f>'JUL-26'!F28</f>
        <v>0</v>
      </c>
      <c r="H471" s="85">
        <f t="shared" si="0"/>
        <v>0</v>
      </c>
      <c r="I471" s="83" t="s">
        <v>101</v>
      </c>
      <c r="J471" s="83" t="str">
        <f t="shared" si="1"/>
        <v/>
      </c>
      <c r="K471" s="85">
        <f t="shared" si="2"/>
        <v>0</v>
      </c>
      <c r="L471" s="83" t="str">
        <f t="shared" si="3"/>
        <v/>
      </c>
      <c r="M471" s="83">
        <f>'JUL-26'!H28</f>
        <v>0</v>
      </c>
      <c r="N471" s="92" t="str">
        <f ca="1">IF(BD!$C471="","",IF(AND(TODAY()&gt;BD!$C471,OR(BD!$D471="PENDENTE",BD!$D471="")),"VENCIDO",""))</f>
        <v/>
      </c>
      <c r="O471" s="82" t="str">
        <f ca="1">IF(N471 = "VENCIDO",BD!$B471,"")</f>
        <v/>
      </c>
      <c r="P471" s="82" t="str">
        <f ca="1">IF(N471 = "VENCIDO",BD!$C471,"")</f>
        <v/>
      </c>
      <c r="Q471" s="83" t="str">
        <f ca="1">IF(N471 = "VENCIDO",BD!$E471,"")</f>
        <v/>
      </c>
      <c r="R471" s="83" t="str">
        <f ca="1">IF(N471 = "VENCIDO",BD!$F471,"")</f>
        <v/>
      </c>
      <c r="S471" s="85" t="str">
        <f ca="1">IF(N471 = "VENCIDO",BD!$G471,"")</f>
        <v/>
      </c>
      <c r="T471" s="83" t="str">
        <f ca="1">IF(AND(TODAY()&gt;BD!$C471, OR(BD!$D471="PENDENTE", BD!$D471="")), TODAY()-BD!$C471, "")</f>
        <v/>
      </c>
    </row>
    <row r="472" spans="1:20" ht="14.25" customHeight="1" x14ac:dyDescent="0.35">
      <c r="A472" s="32"/>
      <c r="B472" s="82">
        <f>'JUL-26'!A29</f>
        <v>0</v>
      </c>
      <c r="C472" s="82">
        <f>'JUL-26'!B29</f>
        <v>0</v>
      </c>
      <c r="D472" s="82">
        <f>'JUL-26'!C29</f>
        <v>0</v>
      </c>
      <c r="E472" s="83">
        <f>'JUL-26'!D29</f>
        <v>0</v>
      </c>
      <c r="F472" s="84">
        <f>'JUL-26'!E29</f>
        <v>0</v>
      </c>
      <c r="G472" s="85">
        <f>'JUL-26'!F29</f>
        <v>0</v>
      </c>
      <c r="H472" s="85">
        <f t="shared" si="0"/>
        <v>0</v>
      </c>
      <c r="I472" s="83" t="s">
        <v>101</v>
      </c>
      <c r="J472" s="83" t="str">
        <f t="shared" si="1"/>
        <v/>
      </c>
      <c r="K472" s="85">
        <f t="shared" si="2"/>
        <v>0</v>
      </c>
      <c r="L472" s="83" t="str">
        <f t="shared" si="3"/>
        <v/>
      </c>
      <c r="M472" s="83">
        <f>'JUL-26'!H29</f>
        <v>0</v>
      </c>
      <c r="N472" s="92" t="str">
        <f ca="1">IF(BD!$C472="","",IF(AND(TODAY()&gt;BD!$C472,OR(BD!$D472="PENDENTE",BD!$D472="")),"VENCIDO",""))</f>
        <v/>
      </c>
      <c r="O472" s="82" t="str">
        <f ca="1">IF(N472 = "VENCIDO",BD!$B472,"")</f>
        <v/>
      </c>
      <c r="P472" s="82" t="str">
        <f ca="1">IF(N472 = "VENCIDO",BD!$C472,"")</f>
        <v/>
      </c>
      <c r="Q472" s="83" t="str">
        <f ca="1">IF(N472 = "VENCIDO",BD!$E472,"")</f>
        <v/>
      </c>
      <c r="R472" s="83" t="str">
        <f ca="1">IF(N472 = "VENCIDO",BD!$F472,"")</f>
        <v/>
      </c>
      <c r="S472" s="85" t="str">
        <f ca="1">IF(N472 = "VENCIDO",BD!$G472,"")</f>
        <v/>
      </c>
      <c r="T472" s="83" t="str">
        <f ca="1">IF(AND(TODAY()&gt;BD!$C472, OR(BD!$D472="PENDENTE", BD!$D472="")), TODAY()-BD!$C472, "")</f>
        <v/>
      </c>
    </row>
    <row r="473" spans="1:20" ht="14.25" customHeight="1" x14ac:dyDescent="0.35">
      <c r="A473" s="32"/>
      <c r="B473" s="82">
        <f>'JUL-26'!A30</f>
        <v>0</v>
      </c>
      <c r="C473" s="82">
        <f>'JUL-26'!B30</f>
        <v>0</v>
      </c>
      <c r="D473" s="82">
        <f>'JUL-26'!C30</f>
        <v>0</v>
      </c>
      <c r="E473" s="83">
        <f>'JUL-26'!D30</f>
        <v>0</v>
      </c>
      <c r="F473" s="84">
        <f>'JUL-26'!E30</f>
        <v>0</v>
      </c>
      <c r="G473" s="85">
        <f>'JUL-26'!F30</f>
        <v>0</v>
      </c>
      <c r="H473" s="85">
        <f t="shared" si="0"/>
        <v>0</v>
      </c>
      <c r="I473" s="83" t="s">
        <v>101</v>
      </c>
      <c r="J473" s="83" t="str">
        <f t="shared" si="1"/>
        <v/>
      </c>
      <c r="K473" s="85">
        <f t="shared" si="2"/>
        <v>0</v>
      </c>
      <c r="L473" s="83" t="str">
        <f t="shared" si="3"/>
        <v/>
      </c>
      <c r="M473" s="83">
        <f>'JUL-26'!H30</f>
        <v>0</v>
      </c>
      <c r="N473" s="92" t="str">
        <f ca="1">IF(BD!$C473="","",IF(AND(TODAY()&gt;BD!$C473,OR(BD!$D473="PENDENTE",BD!$D473="")),"VENCIDO",""))</f>
        <v/>
      </c>
      <c r="O473" s="82" t="str">
        <f ca="1">IF(N473 = "VENCIDO",BD!$B473,"")</f>
        <v/>
      </c>
      <c r="P473" s="82" t="str">
        <f ca="1">IF(N473 = "VENCIDO",BD!$C473,"")</f>
        <v/>
      </c>
      <c r="Q473" s="83" t="str">
        <f ca="1">IF(N473 = "VENCIDO",BD!$E473,"")</f>
        <v/>
      </c>
      <c r="R473" s="83" t="str">
        <f ca="1">IF(N473 = "VENCIDO",BD!$F473,"")</f>
        <v/>
      </c>
      <c r="S473" s="85" t="str">
        <f ca="1">IF(N473 = "VENCIDO",BD!$G473,"")</f>
        <v/>
      </c>
      <c r="T473" s="83" t="str">
        <f ca="1">IF(AND(TODAY()&gt;BD!$C473, OR(BD!$D473="PENDENTE", BD!$D473="")), TODAY()-BD!$C473, "")</f>
        <v/>
      </c>
    </row>
    <row r="474" spans="1:20" ht="14.25" customHeight="1" x14ac:dyDescent="0.35">
      <c r="A474" s="32"/>
      <c r="B474" s="82">
        <f>'JUL-26'!A31</f>
        <v>0</v>
      </c>
      <c r="C474" s="82">
        <f>'JUL-26'!B31</f>
        <v>0</v>
      </c>
      <c r="D474" s="82">
        <f>'JUL-26'!C31</f>
        <v>0</v>
      </c>
      <c r="E474" s="83">
        <f>'JUL-26'!D31</f>
        <v>0</v>
      </c>
      <c r="F474" s="84">
        <f>'JUL-26'!E31</f>
        <v>0</v>
      </c>
      <c r="G474" s="85">
        <f>'JUL-26'!F31</f>
        <v>0</v>
      </c>
      <c r="H474" s="85">
        <f t="shared" si="0"/>
        <v>0</v>
      </c>
      <c r="I474" s="83" t="s">
        <v>101</v>
      </c>
      <c r="J474" s="83" t="str">
        <f t="shared" si="1"/>
        <v/>
      </c>
      <c r="K474" s="85">
        <f t="shared" si="2"/>
        <v>0</v>
      </c>
      <c r="L474" s="83" t="str">
        <f t="shared" si="3"/>
        <v/>
      </c>
      <c r="M474" s="83">
        <f>'JUL-26'!H31</f>
        <v>0</v>
      </c>
      <c r="N474" s="92" t="str">
        <f ca="1">IF(BD!$C474="","",IF(AND(TODAY()&gt;BD!$C474,OR(BD!$D474="PENDENTE",BD!$D474="")),"VENCIDO",""))</f>
        <v/>
      </c>
      <c r="O474" s="82" t="str">
        <f ca="1">IF(N474 = "VENCIDO",BD!$B474,"")</f>
        <v/>
      </c>
      <c r="P474" s="82" t="str">
        <f ca="1">IF(N474 = "VENCIDO",BD!$C474,"")</f>
        <v/>
      </c>
      <c r="Q474" s="83" t="str">
        <f ca="1">IF(N474 = "VENCIDO",BD!$E474,"")</f>
        <v/>
      </c>
      <c r="R474" s="83" t="str">
        <f ca="1">IF(N474 = "VENCIDO",BD!$F474,"")</f>
        <v/>
      </c>
      <c r="S474" s="85" t="str">
        <f ca="1">IF(N474 = "VENCIDO",BD!$G474,"")</f>
        <v/>
      </c>
      <c r="T474" s="83" t="str">
        <f ca="1">IF(AND(TODAY()&gt;BD!$C474, OR(BD!$D474="PENDENTE", BD!$D474="")), TODAY()-BD!$C474, "")</f>
        <v/>
      </c>
    </row>
    <row r="475" spans="1:20" ht="14.25" customHeight="1" x14ac:dyDescent="0.35">
      <c r="A475" s="32"/>
      <c r="B475" s="82">
        <f>'JUL-26'!A32</f>
        <v>0</v>
      </c>
      <c r="C475" s="82">
        <f>'JUL-26'!B32</f>
        <v>0</v>
      </c>
      <c r="D475" s="82">
        <f>'JUL-26'!C32</f>
        <v>0</v>
      </c>
      <c r="E475" s="83">
        <f>'JUL-26'!D32</f>
        <v>0</v>
      </c>
      <c r="F475" s="84">
        <f>'JUL-26'!E32</f>
        <v>0</v>
      </c>
      <c r="G475" s="85">
        <f>'JUL-26'!F32</f>
        <v>0</v>
      </c>
      <c r="H475" s="85">
        <f t="shared" si="0"/>
        <v>0</v>
      </c>
      <c r="I475" s="83" t="s">
        <v>101</v>
      </c>
      <c r="J475" s="83" t="str">
        <f t="shared" si="1"/>
        <v/>
      </c>
      <c r="K475" s="85">
        <f t="shared" si="2"/>
        <v>0</v>
      </c>
      <c r="L475" s="83" t="str">
        <f t="shared" si="3"/>
        <v/>
      </c>
      <c r="M475" s="83">
        <f>'JUL-26'!H32</f>
        <v>0</v>
      </c>
      <c r="N475" s="92" t="str">
        <f ca="1">IF(BD!$C475="","",IF(AND(TODAY()&gt;BD!$C475,OR(BD!$D475="PENDENTE",BD!$D475="")),"VENCIDO",""))</f>
        <v/>
      </c>
      <c r="O475" s="82" t="str">
        <f ca="1">IF(N475 = "VENCIDO",BD!$B475,"")</f>
        <v/>
      </c>
      <c r="P475" s="82" t="str">
        <f ca="1">IF(N475 = "VENCIDO",BD!$C475,"")</f>
        <v/>
      </c>
      <c r="Q475" s="83" t="str">
        <f ca="1">IF(N475 = "VENCIDO",BD!$E475,"")</f>
        <v/>
      </c>
      <c r="R475" s="83" t="str">
        <f ca="1">IF(N475 = "VENCIDO",BD!$F475,"")</f>
        <v/>
      </c>
      <c r="S475" s="85" t="str">
        <f ca="1">IF(N475 = "VENCIDO",BD!$G475,"")</f>
        <v/>
      </c>
      <c r="T475" s="83" t="str">
        <f ca="1">IF(AND(TODAY()&gt;BD!$C475, OR(BD!$D475="PENDENTE", BD!$D475="")), TODAY()-BD!$C475, "")</f>
        <v/>
      </c>
    </row>
    <row r="476" spans="1:20" ht="14.25" customHeight="1" x14ac:dyDescent="0.35">
      <c r="A476" s="32"/>
      <c r="B476" s="82">
        <f>'JUL-26'!A33</f>
        <v>0</v>
      </c>
      <c r="C476" s="82">
        <f>'JUL-26'!B33</f>
        <v>0</v>
      </c>
      <c r="D476" s="82">
        <f>'JUL-26'!C33</f>
        <v>0</v>
      </c>
      <c r="E476" s="83">
        <f>'JUL-26'!D33</f>
        <v>0</v>
      </c>
      <c r="F476" s="84">
        <f>'JUL-26'!E33</f>
        <v>0</v>
      </c>
      <c r="G476" s="85">
        <f>'JUL-26'!F33</f>
        <v>0</v>
      </c>
      <c r="H476" s="85">
        <f t="shared" si="0"/>
        <v>0</v>
      </c>
      <c r="I476" s="83" t="s">
        <v>101</v>
      </c>
      <c r="J476" s="83" t="str">
        <f t="shared" si="1"/>
        <v/>
      </c>
      <c r="K476" s="85">
        <f t="shared" si="2"/>
        <v>0</v>
      </c>
      <c r="L476" s="83" t="str">
        <f t="shared" si="3"/>
        <v/>
      </c>
      <c r="M476" s="83">
        <f>'JUL-26'!H33</f>
        <v>0</v>
      </c>
      <c r="N476" s="92" t="str">
        <f ca="1">IF(BD!$C476="","",IF(AND(TODAY()&gt;BD!$C476,OR(BD!$D476="PENDENTE",BD!$D476="")),"VENCIDO",""))</f>
        <v/>
      </c>
      <c r="O476" s="82" t="str">
        <f ca="1">IF(N476 = "VENCIDO",BD!$B476,"")</f>
        <v/>
      </c>
      <c r="P476" s="82" t="str">
        <f ca="1">IF(N476 = "VENCIDO",BD!$C476,"")</f>
        <v/>
      </c>
      <c r="Q476" s="83" t="str">
        <f ca="1">IF(N476 = "VENCIDO",BD!$E476,"")</f>
        <v/>
      </c>
      <c r="R476" s="83" t="str">
        <f ca="1">IF(N476 = "VENCIDO",BD!$F476,"")</f>
        <v/>
      </c>
      <c r="S476" s="85" t="str">
        <f ca="1">IF(N476 = "VENCIDO",BD!$G476,"")</f>
        <v/>
      </c>
      <c r="T476" s="83" t="str">
        <f ca="1">IF(AND(TODAY()&gt;BD!$C476, OR(BD!$D476="PENDENTE", BD!$D476="")), TODAY()-BD!$C476, "")</f>
        <v/>
      </c>
    </row>
    <row r="477" spans="1:20" ht="14.25" customHeight="1" x14ac:dyDescent="0.35">
      <c r="A477" s="32"/>
      <c r="B477" s="82">
        <f>'JUL-26'!A34</f>
        <v>0</v>
      </c>
      <c r="C477" s="82">
        <f>'JUL-26'!B34</f>
        <v>0</v>
      </c>
      <c r="D477" s="82">
        <f>'JUL-26'!C34</f>
        <v>0</v>
      </c>
      <c r="E477" s="83">
        <f>'JUL-26'!D34</f>
        <v>0</v>
      </c>
      <c r="F477" s="84">
        <f>'JUL-26'!E34</f>
        <v>0</v>
      </c>
      <c r="G477" s="85">
        <f>'JUL-26'!F34</f>
        <v>0</v>
      </c>
      <c r="H477" s="85">
        <f t="shared" si="0"/>
        <v>0</v>
      </c>
      <c r="I477" s="83" t="s">
        <v>101</v>
      </c>
      <c r="J477" s="83" t="str">
        <f t="shared" si="1"/>
        <v/>
      </c>
      <c r="K477" s="85">
        <f t="shared" si="2"/>
        <v>0</v>
      </c>
      <c r="L477" s="83" t="str">
        <f t="shared" si="3"/>
        <v/>
      </c>
      <c r="M477" s="83">
        <f>'JUL-26'!H34</f>
        <v>0</v>
      </c>
      <c r="N477" s="92" t="str">
        <f ca="1">IF(BD!$C477="","",IF(AND(TODAY()&gt;BD!$C477,OR(BD!$D477="PENDENTE",BD!$D477="")),"VENCIDO",""))</f>
        <v/>
      </c>
      <c r="O477" s="82" t="str">
        <f ca="1">IF(N477 = "VENCIDO",BD!$B477,"")</f>
        <v/>
      </c>
      <c r="P477" s="82" t="str">
        <f ca="1">IF(N477 = "VENCIDO",BD!$C477,"")</f>
        <v/>
      </c>
      <c r="Q477" s="83" t="str">
        <f ca="1">IF(N477 = "VENCIDO",BD!$E477,"")</f>
        <v/>
      </c>
      <c r="R477" s="83" t="str">
        <f ca="1">IF(N477 = "VENCIDO",BD!$F477,"")</f>
        <v/>
      </c>
      <c r="S477" s="85" t="str">
        <f ca="1">IF(N477 = "VENCIDO",BD!$G477,"")</f>
        <v/>
      </c>
      <c r="T477" s="83" t="str">
        <f ca="1">IF(AND(TODAY()&gt;BD!$C477, OR(BD!$D477="PENDENTE", BD!$D477="")), TODAY()-BD!$C477, "")</f>
        <v/>
      </c>
    </row>
    <row r="478" spans="1:20" ht="14.25" customHeight="1" x14ac:dyDescent="0.35">
      <c r="A478" s="32"/>
      <c r="B478" s="82">
        <f>'JUL-26'!A35</f>
        <v>0</v>
      </c>
      <c r="C478" s="82">
        <f>'JUL-26'!B35</f>
        <v>0</v>
      </c>
      <c r="D478" s="82">
        <f>'JUL-26'!C35</f>
        <v>0</v>
      </c>
      <c r="E478" s="93">
        <f>'JUL-26'!D35</f>
        <v>0</v>
      </c>
      <c r="F478" s="84">
        <f>'JUL-26'!E35</f>
        <v>0</v>
      </c>
      <c r="G478" s="85">
        <f>'JUL-26'!F35</f>
        <v>0</v>
      </c>
      <c r="H478" s="85">
        <f t="shared" si="0"/>
        <v>0</v>
      </c>
      <c r="I478" s="83" t="s">
        <v>101</v>
      </c>
      <c r="J478" s="83" t="str">
        <f t="shared" si="1"/>
        <v/>
      </c>
      <c r="K478" s="85">
        <f t="shared" si="2"/>
        <v>0</v>
      </c>
      <c r="L478" s="83" t="str">
        <f t="shared" si="3"/>
        <v/>
      </c>
      <c r="M478" s="83">
        <f>'JUL-26'!H35</f>
        <v>0</v>
      </c>
      <c r="N478" s="92" t="str">
        <f ca="1">IF(BD!$C478="","",IF(AND(TODAY()&gt;BD!$C478,OR(BD!$D478="PENDENTE",BD!$D478="")),"VENCIDO",""))</f>
        <v/>
      </c>
      <c r="O478" s="82" t="str">
        <f ca="1">IF(N478 = "VENCIDO",BD!$B478,"")</f>
        <v/>
      </c>
      <c r="P478" s="82" t="str">
        <f ca="1">IF(N478 = "VENCIDO",BD!$C478,"")</f>
        <v/>
      </c>
      <c r="Q478" s="83" t="str">
        <f ca="1">IF(N478 = "VENCIDO",BD!$E478,"")</f>
        <v/>
      </c>
      <c r="R478" s="83" t="str">
        <f ca="1">IF(N478 = "VENCIDO",BD!$F478,"")</f>
        <v/>
      </c>
      <c r="S478" s="85" t="str">
        <f ca="1">IF(N478 = "VENCIDO",BD!$G478,"")</f>
        <v/>
      </c>
      <c r="T478" s="83" t="str">
        <f ca="1">IF(AND(TODAY()&gt;BD!$C478, OR(BD!$D478="PENDENTE", BD!$D478="")), TODAY()-BD!$C478, "")</f>
        <v/>
      </c>
    </row>
    <row r="479" spans="1:20" ht="14.25" customHeight="1" x14ac:dyDescent="0.35">
      <c r="A479" s="32"/>
      <c r="B479" s="82">
        <f>'JUL-26'!A36</f>
        <v>0</v>
      </c>
      <c r="C479" s="82">
        <f>'JUL-26'!B36</f>
        <v>0</v>
      </c>
      <c r="D479" s="82">
        <f>'JUL-26'!C36</f>
        <v>0</v>
      </c>
      <c r="E479" s="93">
        <f>'JUL-26'!D36</f>
        <v>0</v>
      </c>
      <c r="F479" s="84">
        <f>'JUL-26'!E36</f>
        <v>0</v>
      </c>
      <c r="G479" s="85">
        <f>'JUL-26'!F36</f>
        <v>0</v>
      </c>
      <c r="H479" s="85">
        <f t="shared" si="0"/>
        <v>0</v>
      </c>
      <c r="I479" s="83" t="s">
        <v>101</v>
      </c>
      <c r="J479" s="83" t="str">
        <f t="shared" si="1"/>
        <v/>
      </c>
      <c r="K479" s="85">
        <f t="shared" si="2"/>
        <v>0</v>
      </c>
      <c r="L479" s="83" t="str">
        <f t="shared" si="3"/>
        <v/>
      </c>
      <c r="M479" s="83">
        <f>'JUL-26'!H36</f>
        <v>0</v>
      </c>
      <c r="N479" s="92" t="str">
        <f ca="1">IF(BD!$C479="","",IF(AND(TODAY()&gt;BD!$C479,OR(BD!$D479="PENDENTE",BD!$D479="")),"VENCIDO",""))</f>
        <v/>
      </c>
      <c r="O479" s="82" t="str">
        <f ca="1">IF(N479 = "VENCIDO",BD!$B479,"")</f>
        <v/>
      </c>
      <c r="P479" s="82" t="str">
        <f ca="1">IF(N479 = "VENCIDO",BD!$C479,"")</f>
        <v/>
      </c>
      <c r="Q479" s="83" t="str">
        <f ca="1">IF(N479 = "VENCIDO",BD!$E479,"")</f>
        <v/>
      </c>
      <c r="R479" s="83" t="str">
        <f ca="1">IF(N479 = "VENCIDO",BD!$F479,"")</f>
        <v/>
      </c>
      <c r="S479" s="85" t="str">
        <f ca="1">IF(N479 = "VENCIDO",BD!$G479,"")</f>
        <v/>
      </c>
      <c r="T479" s="83" t="str">
        <f ca="1">IF(AND(TODAY()&gt;BD!$C479, OR(BD!$D479="PENDENTE", BD!$D479="")), TODAY()-BD!$C479, "")</f>
        <v/>
      </c>
    </row>
    <row r="480" spans="1:20" ht="14.25" customHeight="1" x14ac:dyDescent="0.35">
      <c r="A480" s="32"/>
      <c r="B480" s="82">
        <f>'JUL-26'!A37</f>
        <v>0</v>
      </c>
      <c r="C480" s="82">
        <f>'JUL-26'!B37</f>
        <v>0</v>
      </c>
      <c r="D480" s="82">
        <f>'JUL-26'!C37</f>
        <v>0</v>
      </c>
      <c r="E480" s="83">
        <f>'JUL-26'!D37</f>
        <v>0</v>
      </c>
      <c r="F480" s="84">
        <f>'JUL-26'!E37</f>
        <v>0</v>
      </c>
      <c r="G480" s="85">
        <f>'JUL-26'!F37</f>
        <v>0</v>
      </c>
      <c r="H480" s="85">
        <f t="shared" si="0"/>
        <v>0</v>
      </c>
      <c r="I480" s="83" t="s">
        <v>101</v>
      </c>
      <c r="J480" s="83" t="str">
        <f t="shared" si="1"/>
        <v/>
      </c>
      <c r="K480" s="85">
        <f t="shared" si="2"/>
        <v>0</v>
      </c>
      <c r="L480" s="83" t="str">
        <f t="shared" si="3"/>
        <v/>
      </c>
      <c r="M480" s="83">
        <f>'JUL-26'!H37</f>
        <v>0</v>
      </c>
      <c r="N480" s="92" t="str">
        <f ca="1">IF(BD!$C480="","",IF(AND(TODAY()&gt;BD!$C480,OR(BD!$D480="PENDENTE",BD!$D480="")),"VENCIDO",""))</f>
        <v/>
      </c>
      <c r="O480" s="82" t="str">
        <f ca="1">IF(N480 = "VENCIDO",BD!$B480,"")</f>
        <v/>
      </c>
      <c r="P480" s="82" t="str">
        <f ca="1">IF(N480 = "VENCIDO",BD!$C480,"")</f>
        <v/>
      </c>
      <c r="Q480" s="83" t="str">
        <f ca="1">IF(N480 = "VENCIDO",BD!$E480,"")</f>
        <v/>
      </c>
      <c r="R480" s="83" t="str">
        <f ca="1">IF(N480 = "VENCIDO",BD!$F480,"")</f>
        <v/>
      </c>
      <c r="S480" s="85" t="str">
        <f ca="1">IF(N480 = "VENCIDO",BD!$G480,"")</f>
        <v/>
      </c>
      <c r="T480" s="83" t="str">
        <f ca="1">IF(AND(TODAY()&gt;BD!$C480, OR(BD!$D480="PENDENTE", BD!$D480="")), TODAY()-BD!$C480, "")</f>
        <v/>
      </c>
    </row>
    <row r="481" spans="1:20" ht="14.25" customHeight="1" x14ac:dyDescent="0.35">
      <c r="A481" s="32"/>
      <c r="B481" s="82">
        <f>'JUL-26'!A38</f>
        <v>0</v>
      </c>
      <c r="C481" s="82">
        <f>'JUL-26'!B38</f>
        <v>0</v>
      </c>
      <c r="D481" s="82">
        <f>'JUL-26'!C38</f>
        <v>0</v>
      </c>
      <c r="E481" s="83">
        <f>'JUL-26'!D38</f>
        <v>0</v>
      </c>
      <c r="F481" s="84">
        <f>'JUL-26'!E38</f>
        <v>0</v>
      </c>
      <c r="G481" s="85">
        <f>'JUL-26'!F38</f>
        <v>0</v>
      </c>
      <c r="H481" s="85">
        <f t="shared" si="0"/>
        <v>0</v>
      </c>
      <c r="I481" s="83" t="s">
        <v>101</v>
      </c>
      <c r="J481" s="83" t="str">
        <f t="shared" si="1"/>
        <v/>
      </c>
      <c r="K481" s="85">
        <f t="shared" si="2"/>
        <v>0</v>
      </c>
      <c r="L481" s="83" t="str">
        <f t="shared" si="3"/>
        <v/>
      </c>
      <c r="M481" s="83">
        <f>'JUL-26'!H38</f>
        <v>0</v>
      </c>
      <c r="N481" s="92" t="str">
        <f ca="1">IF(BD!$C481="","",IF(AND(TODAY()&gt;BD!$C481,OR(BD!$D481="PENDENTE",BD!$D481="")),"VENCIDO",""))</f>
        <v/>
      </c>
      <c r="O481" s="82" t="str">
        <f ca="1">IF(N481 = "VENCIDO",BD!$B481,"")</f>
        <v/>
      </c>
      <c r="P481" s="82" t="str">
        <f ca="1">IF(N481 = "VENCIDO",BD!$C481,"")</f>
        <v/>
      </c>
      <c r="Q481" s="83" t="str">
        <f ca="1">IF(N481 = "VENCIDO",BD!$E481,"")</f>
        <v/>
      </c>
      <c r="R481" s="83" t="str">
        <f ca="1">IF(N481 = "VENCIDO",BD!$F481,"")</f>
        <v/>
      </c>
      <c r="S481" s="85" t="str">
        <f ca="1">IF(N481 = "VENCIDO",BD!$G481,"")</f>
        <v/>
      </c>
      <c r="T481" s="83" t="str">
        <f ca="1">IF(AND(TODAY()&gt;BD!$C481, OR(BD!$D481="PENDENTE", BD!$D481="")), TODAY()-BD!$C481, "")</f>
        <v/>
      </c>
    </row>
    <row r="482" spans="1:20" ht="14.25" customHeight="1" x14ac:dyDescent="0.35">
      <c r="A482" s="32"/>
      <c r="B482" s="82">
        <f>'JUL-26'!A39</f>
        <v>0</v>
      </c>
      <c r="C482" s="82">
        <f>'JUL-26'!B39</f>
        <v>0</v>
      </c>
      <c r="D482" s="82">
        <f>'JUL-26'!C39</f>
        <v>0</v>
      </c>
      <c r="E482" s="83">
        <f>'JUL-26'!D39</f>
        <v>0</v>
      </c>
      <c r="F482" s="84">
        <f>'JUL-26'!E39</f>
        <v>0</v>
      </c>
      <c r="G482" s="85">
        <f>'JUL-26'!F39</f>
        <v>0</v>
      </c>
      <c r="H482" s="85">
        <f t="shared" si="0"/>
        <v>0</v>
      </c>
      <c r="I482" s="83" t="s">
        <v>101</v>
      </c>
      <c r="J482" s="83" t="str">
        <f t="shared" si="1"/>
        <v/>
      </c>
      <c r="K482" s="85">
        <f t="shared" si="2"/>
        <v>0</v>
      </c>
      <c r="L482" s="83" t="str">
        <f t="shared" si="3"/>
        <v/>
      </c>
      <c r="M482" s="83">
        <f>'JUL-26'!H39</f>
        <v>0</v>
      </c>
      <c r="N482" s="92" t="str">
        <f ca="1">IF(BD!$C482="","",IF(AND(TODAY()&gt;BD!$C482,OR(BD!$D482="PENDENTE",BD!$D482="")),"VENCIDO",""))</f>
        <v/>
      </c>
      <c r="O482" s="82" t="str">
        <f ca="1">IF(N482 = "VENCIDO",BD!$B482,"")</f>
        <v/>
      </c>
      <c r="P482" s="82" t="str">
        <f ca="1">IF(N482 = "VENCIDO",BD!$C482,"")</f>
        <v/>
      </c>
      <c r="Q482" s="83" t="str">
        <f ca="1">IF(N482 = "VENCIDO",BD!$E482,"")</f>
        <v/>
      </c>
      <c r="R482" s="83" t="str">
        <f ca="1">IF(N482 = "VENCIDO",BD!$F482,"")</f>
        <v/>
      </c>
      <c r="S482" s="85" t="str">
        <f ca="1">IF(N482 = "VENCIDO",BD!$G482,"")</f>
        <v/>
      </c>
      <c r="T482" s="83" t="str">
        <f ca="1">IF(AND(TODAY()&gt;BD!$C482, OR(BD!$D482="PENDENTE", BD!$D482="")), TODAY()-BD!$C482, "")</f>
        <v/>
      </c>
    </row>
    <row r="483" spans="1:20" ht="14.25" customHeight="1" x14ac:dyDescent="0.35">
      <c r="A483" s="32"/>
      <c r="B483" s="82">
        <f>'JUL-26'!A40</f>
        <v>0</v>
      </c>
      <c r="C483" s="82">
        <f>'JUL-26'!B40</f>
        <v>0</v>
      </c>
      <c r="D483" s="82">
        <f>'JUL-26'!C40</f>
        <v>0</v>
      </c>
      <c r="E483" s="83">
        <f>'JUL-26'!D40</f>
        <v>0</v>
      </c>
      <c r="F483" s="84">
        <f>'JUL-26'!E40</f>
        <v>0</v>
      </c>
      <c r="G483" s="85">
        <f>'JUL-26'!F40</f>
        <v>0</v>
      </c>
      <c r="H483" s="85">
        <f t="shared" si="0"/>
        <v>0</v>
      </c>
      <c r="I483" s="83" t="s">
        <v>101</v>
      </c>
      <c r="J483" s="83" t="str">
        <f t="shared" si="1"/>
        <v/>
      </c>
      <c r="K483" s="85">
        <f t="shared" si="2"/>
        <v>0</v>
      </c>
      <c r="L483" s="83" t="str">
        <f t="shared" si="3"/>
        <v/>
      </c>
      <c r="M483" s="83">
        <f>'JUL-26'!H40</f>
        <v>0</v>
      </c>
      <c r="N483" s="92" t="str">
        <f ca="1">IF(BD!$C483="","",IF(AND(TODAY()&gt;BD!$C483,OR(BD!$D483="PENDENTE",BD!$D483="")),"VENCIDO",""))</f>
        <v/>
      </c>
      <c r="O483" s="82" t="str">
        <f ca="1">IF(N483 = "VENCIDO",BD!$B483,"")</f>
        <v/>
      </c>
      <c r="P483" s="82" t="str">
        <f ca="1">IF(N483 = "VENCIDO",BD!$C483,"")</f>
        <v/>
      </c>
      <c r="Q483" s="83" t="str">
        <f ca="1">IF(N483 = "VENCIDO",BD!$E483,"")</f>
        <v/>
      </c>
      <c r="R483" s="83" t="str">
        <f ca="1">IF(N483 = "VENCIDO",BD!$F483,"")</f>
        <v/>
      </c>
      <c r="S483" s="85" t="str">
        <f ca="1">IF(N483 = "VENCIDO",BD!$G483,"")</f>
        <v/>
      </c>
      <c r="T483" s="83" t="str">
        <f ca="1">IF(AND(TODAY()&gt;BD!$C483, OR(BD!$D483="PENDENTE", BD!$D483="")), TODAY()-BD!$C483, "")</f>
        <v/>
      </c>
    </row>
    <row r="484" spans="1:20" ht="14.25" customHeight="1" x14ac:dyDescent="0.35">
      <c r="A484" s="32"/>
      <c r="B484" s="82">
        <f>'JUL-26'!A41</f>
        <v>0</v>
      </c>
      <c r="C484" s="82">
        <f>'JUL-26'!B41</f>
        <v>0</v>
      </c>
      <c r="D484" s="82">
        <f>'JUL-26'!C41</f>
        <v>0</v>
      </c>
      <c r="E484" s="83">
        <f>'JUL-26'!D41</f>
        <v>0</v>
      </c>
      <c r="F484" s="84">
        <f>'JUL-26'!E41</f>
        <v>0</v>
      </c>
      <c r="G484" s="85">
        <f>'JUL-26'!F41</f>
        <v>0</v>
      </c>
      <c r="H484" s="85">
        <f t="shared" si="0"/>
        <v>0</v>
      </c>
      <c r="I484" s="83" t="s">
        <v>101</v>
      </c>
      <c r="J484" s="83" t="str">
        <f t="shared" si="1"/>
        <v/>
      </c>
      <c r="K484" s="85">
        <f t="shared" si="2"/>
        <v>0</v>
      </c>
      <c r="L484" s="83" t="str">
        <f t="shared" si="3"/>
        <v/>
      </c>
      <c r="M484" s="83">
        <f>'JUL-26'!H41</f>
        <v>0</v>
      </c>
      <c r="N484" s="92" t="str">
        <f ca="1">IF(BD!$C484="","",IF(AND(TODAY()&gt;BD!$C484,OR(BD!$D484="PENDENTE",BD!$D484="")),"VENCIDO",""))</f>
        <v/>
      </c>
      <c r="O484" s="82" t="str">
        <f ca="1">IF(N484 = "VENCIDO",BD!$B484,"")</f>
        <v/>
      </c>
      <c r="P484" s="82" t="str">
        <f ca="1">IF(N484 = "VENCIDO",BD!$C484,"")</f>
        <v/>
      </c>
      <c r="Q484" s="83" t="str">
        <f ca="1">IF(N484 = "VENCIDO",BD!$E484,"")</f>
        <v/>
      </c>
      <c r="R484" s="83" t="str">
        <f ca="1">IF(N484 = "VENCIDO",BD!$F484,"")</f>
        <v/>
      </c>
      <c r="S484" s="85" t="str">
        <f ca="1">IF(N484 = "VENCIDO",BD!$G484,"")</f>
        <v/>
      </c>
      <c r="T484" s="83" t="str">
        <f ca="1">IF(AND(TODAY()&gt;BD!$C484, OR(BD!$D484="PENDENTE", BD!$D484="")), TODAY()-BD!$C484, "")</f>
        <v/>
      </c>
    </row>
    <row r="485" spans="1:20" ht="14.25" customHeight="1" x14ac:dyDescent="0.35">
      <c r="A485" s="32"/>
      <c r="B485" s="82">
        <f>'JUL-26'!A42</f>
        <v>0</v>
      </c>
      <c r="C485" s="82">
        <f>'JUL-26'!B42</f>
        <v>0</v>
      </c>
      <c r="D485" s="82">
        <f>'JUL-26'!C42</f>
        <v>0</v>
      </c>
      <c r="E485" s="83">
        <f>'JUL-26'!D42</f>
        <v>0</v>
      </c>
      <c r="F485" s="84">
        <f>'JUL-26'!E42</f>
        <v>0</v>
      </c>
      <c r="G485" s="85">
        <f>'JUL-26'!F42</f>
        <v>0</v>
      </c>
      <c r="H485" s="85">
        <f t="shared" si="0"/>
        <v>0</v>
      </c>
      <c r="I485" s="83" t="s">
        <v>101</v>
      </c>
      <c r="J485" s="83" t="str">
        <f t="shared" si="1"/>
        <v/>
      </c>
      <c r="K485" s="85">
        <f t="shared" si="2"/>
        <v>0</v>
      </c>
      <c r="L485" s="83" t="str">
        <f t="shared" si="3"/>
        <v/>
      </c>
      <c r="M485" s="83">
        <f>'JUL-26'!H42</f>
        <v>0</v>
      </c>
      <c r="N485" s="92" t="str">
        <f ca="1">IF(BD!$C485="","",IF(AND(TODAY()&gt;BD!$C485,OR(BD!$D485="PENDENTE",BD!$D485="")),"VENCIDO",""))</f>
        <v/>
      </c>
      <c r="O485" s="82" t="str">
        <f ca="1">IF(N485 = "VENCIDO",BD!$B485,"")</f>
        <v/>
      </c>
      <c r="P485" s="82" t="str">
        <f ca="1">IF(N485 = "VENCIDO",BD!$C485,"")</f>
        <v/>
      </c>
      <c r="Q485" s="83" t="str">
        <f ca="1">IF(N485 = "VENCIDO",BD!$E485,"")</f>
        <v/>
      </c>
      <c r="R485" s="83" t="str">
        <f ca="1">IF(N485 = "VENCIDO",BD!$F485,"")</f>
        <v/>
      </c>
      <c r="S485" s="85" t="str">
        <f ca="1">IF(N485 = "VENCIDO",BD!$G485,"")</f>
        <v/>
      </c>
      <c r="T485" s="83" t="str">
        <f ca="1">IF(AND(TODAY()&gt;BD!$C485, OR(BD!$D485="PENDENTE", BD!$D485="")), TODAY()-BD!$C485, "")</f>
        <v/>
      </c>
    </row>
    <row r="486" spans="1:20" ht="14.25" customHeight="1" x14ac:dyDescent="0.35">
      <c r="A486" s="32"/>
      <c r="B486" s="82">
        <f>'JUL-26'!A43</f>
        <v>0</v>
      </c>
      <c r="C486" s="82">
        <f>'JUL-26'!B43</f>
        <v>0</v>
      </c>
      <c r="D486" s="82">
        <f>'JUL-26'!C43</f>
        <v>0</v>
      </c>
      <c r="E486" s="83">
        <f>'JUL-26'!D43</f>
        <v>0</v>
      </c>
      <c r="F486" s="84">
        <f>'JUL-26'!E43</f>
        <v>0</v>
      </c>
      <c r="G486" s="85">
        <f>'JUL-26'!F43</f>
        <v>0</v>
      </c>
      <c r="H486" s="85">
        <f t="shared" si="0"/>
        <v>0</v>
      </c>
      <c r="I486" s="83" t="s">
        <v>101</v>
      </c>
      <c r="J486" s="83" t="str">
        <f t="shared" si="1"/>
        <v/>
      </c>
      <c r="K486" s="85">
        <f t="shared" si="2"/>
        <v>0</v>
      </c>
      <c r="L486" s="83" t="str">
        <f t="shared" si="3"/>
        <v/>
      </c>
      <c r="M486" s="83">
        <f>'JUL-26'!H43</f>
        <v>0</v>
      </c>
      <c r="N486" s="92" t="str">
        <f ca="1">IF(BD!$C486="","",IF(AND(TODAY()&gt;BD!$C486,OR(BD!$D486="PENDENTE",BD!$D486="")),"VENCIDO",""))</f>
        <v/>
      </c>
      <c r="O486" s="82" t="str">
        <f ca="1">IF(N486 = "VENCIDO",BD!$B486,"")</f>
        <v/>
      </c>
      <c r="P486" s="82" t="str">
        <f ca="1">IF(N486 = "VENCIDO",BD!$C486,"")</f>
        <v/>
      </c>
      <c r="Q486" s="83" t="str">
        <f ca="1">IF(N486 = "VENCIDO",BD!$E486,"")</f>
        <v/>
      </c>
      <c r="R486" s="83" t="str">
        <f ca="1">IF(N486 = "VENCIDO",BD!$F486,"")</f>
        <v/>
      </c>
      <c r="S486" s="85" t="str">
        <f ca="1">IF(N486 = "VENCIDO",BD!$G486,"")</f>
        <v/>
      </c>
      <c r="T486" s="83" t="str">
        <f ca="1">IF(AND(TODAY()&gt;BD!$C486, OR(BD!$D486="PENDENTE", BD!$D486="")), TODAY()-BD!$C486, "")</f>
        <v/>
      </c>
    </row>
    <row r="487" spans="1:20" ht="14.25" customHeight="1" x14ac:dyDescent="0.35">
      <c r="A487" s="32"/>
      <c r="B487" s="82">
        <f>'JUL-26'!A44</f>
        <v>0</v>
      </c>
      <c r="C487" s="82">
        <f>'JUL-26'!B44</f>
        <v>0</v>
      </c>
      <c r="D487" s="82">
        <f>'JUL-26'!C44</f>
        <v>0</v>
      </c>
      <c r="E487" s="83">
        <f>'JUL-26'!D44</f>
        <v>0</v>
      </c>
      <c r="F487" s="84">
        <f>'JUL-26'!E44</f>
        <v>0</v>
      </c>
      <c r="G487" s="85">
        <f>'JUL-26'!F44</f>
        <v>0</v>
      </c>
      <c r="H487" s="85">
        <f t="shared" si="0"/>
        <v>0</v>
      </c>
      <c r="I487" s="83" t="s">
        <v>101</v>
      </c>
      <c r="J487" s="83" t="str">
        <f t="shared" si="1"/>
        <v/>
      </c>
      <c r="K487" s="85">
        <f t="shared" si="2"/>
        <v>0</v>
      </c>
      <c r="L487" s="83" t="str">
        <f t="shared" si="3"/>
        <v/>
      </c>
      <c r="M487" s="83">
        <f>'JUL-26'!H44</f>
        <v>0</v>
      </c>
      <c r="N487" s="92" t="str">
        <f ca="1">IF(BD!$C487="","",IF(AND(TODAY()&gt;BD!$C487,OR(BD!$D487="PENDENTE",BD!$D487="")),"VENCIDO",""))</f>
        <v/>
      </c>
      <c r="O487" s="82" t="str">
        <f ca="1">IF(N487 = "VENCIDO",BD!$B487,"")</f>
        <v/>
      </c>
      <c r="P487" s="82" t="str">
        <f ca="1">IF(N487 = "VENCIDO",BD!$C487,"")</f>
        <v/>
      </c>
      <c r="Q487" s="83" t="str">
        <f ca="1">IF(N487 = "VENCIDO",BD!$E487,"")</f>
        <v/>
      </c>
      <c r="R487" s="83" t="str">
        <f ca="1">IF(N487 = "VENCIDO",BD!$F487,"")</f>
        <v/>
      </c>
      <c r="S487" s="85" t="str">
        <f ca="1">IF(N487 = "VENCIDO",BD!$G487,"")</f>
        <v/>
      </c>
      <c r="T487" s="83" t="str">
        <f ca="1">IF(AND(TODAY()&gt;BD!$C487, OR(BD!$D487="PENDENTE", BD!$D487="")), TODAY()-BD!$C487, "")</f>
        <v/>
      </c>
    </row>
    <row r="488" spans="1:20" ht="14.25" customHeight="1" x14ac:dyDescent="0.35">
      <c r="A488" s="32"/>
      <c r="B488" s="82">
        <f>'JUL-26'!A45</f>
        <v>0</v>
      </c>
      <c r="C488" s="82">
        <f>'JUL-26'!B45</f>
        <v>0</v>
      </c>
      <c r="D488" s="82">
        <f>'JUL-26'!C45</f>
        <v>0</v>
      </c>
      <c r="E488" s="83">
        <f>'JUL-26'!D45</f>
        <v>0</v>
      </c>
      <c r="F488" s="84">
        <f>'JUL-26'!E45</f>
        <v>0</v>
      </c>
      <c r="G488" s="85">
        <f>'JUL-26'!F45</f>
        <v>0</v>
      </c>
      <c r="H488" s="85">
        <f t="shared" si="0"/>
        <v>0</v>
      </c>
      <c r="I488" s="83" t="s">
        <v>101</v>
      </c>
      <c r="J488" s="83" t="str">
        <f t="shared" si="1"/>
        <v/>
      </c>
      <c r="K488" s="85">
        <f t="shared" si="2"/>
        <v>0</v>
      </c>
      <c r="L488" s="83" t="str">
        <f t="shared" si="3"/>
        <v/>
      </c>
      <c r="M488" s="83">
        <f>'JUL-26'!H45</f>
        <v>0</v>
      </c>
      <c r="N488" s="92" t="str">
        <f ca="1">IF(BD!$C488="","",IF(AND(TODAY()&gt;BD!$C488,OR(BD!$D488="PENDENTE",BD!$D488="")),"VENCIDO",""))</f>
        <v/>
      </c>
      <c r="O488" s="82" t="str">
        <f ca="1">IF(N488 = "VENCIDO",BD!$B488,"")</f>
        <v/>
      </c>
      <c r="P488" s="82" t="str">
        <f ca="1">IF(N488 = "VENCIDO",BD!$C488,"")</f>
        <v/>
      </c>
      <c r="Q488" s="83" t="str">
        <f ca="1">IF(N488 = "VENCIDO",BD!$E488,"")</f>
        <v/>
      </c>
      <c r="R488" s="83" t="str">
        <f ca="1">IF(N488 = "VENCIDO",BD!$F488,"")</f>
        <v/>
      </c>
      <c r="S488" s="85" t="str">
        <f ca="1">IF(N488 = "VENCIDO",BD!$G488,"")</f>
        <v/>
      </c>
      <c r="T488" s="83" t="str">
        <f ca="1">IF(AND(TODAY()&gt;BD!$C488, OR(BD!$D488="PENDENTE", BD!$D488="")), TODAY()-BD!$C488, "")</f>
        <v/>
      </c>
    </row>
    <row r="489" spans="1:20" ht="14.25" customHeight="1" x14ac:dyDescent="0.35">
      <c r="A489" s="32"/>
      <c r="B489" s="82">
        <f>'JUL-26'!A46</f>
        <v>0</v>
      </c>
      <c r="C489" s="82">
        <f>'JUL-26'!B46</f>
        <v>0</v>
      </c>
      <c r="D489" s="82">
        <f>'JUL-26'!C46</f>
        <v>0</v>
      </c>
      <c r="E489" s="83">
        <f>'JUL-26'!D46</f>
        <v>0</v>
      </c>
      <c r="F489" s="84">
        <f>'JUL-26'!E46</f>
        <v>0</v>
      </c>
      <c r="G489" s="85">
        <f>'JUL-26'!F46</f>
        <v>0</v>
      </c>
      <c r="H489" s="85">
        <f t="shared" si="0"/>
        <v>0</v>
      </c>
      <c r="I489" s="83" t="s">
        <v>101</v>
      </c>
      <c r="J489" s="83" t="str">
        <f t="shared" si="1"/>
        <v/>
      </c>
      <c r="K489" s="85">
        <f t="shared" si="2"/>
        <v>0</v>
      </c>
      <c r="L489" s="83" t="str">
        <f t="shared" si="3"/>
        <v/>
      </c>
      <c r="M489" s="83">
        <f>'JUL-26'!H46</f>
        <v>0</v>
      </c>
      <c r="N489" s="92" t="str">
        <f ca="1">IF(BD!$C489="","",IF(AND(TODAY()&gt;BD!$C489,OR(BD!$D489="PENDENTE",BD!$D489="")),"VENCIDO",""))</f>
        <v/>
      </c>
      <c r="O489" s="82" t="str">
        <f ca="1">IF(N489 = "VENCIDO",BD!$B489,"")</f>
        <v/>
      </c>
      <c r="P489" s="82" t="str">
        <f ca="1">IF(N489 = "VENCIDO",BD!$C489,"")</f>
        <v/>
      </c>
      <c r="Q489" s="83" t="str">
        <f ca="1">IF(N489 = "VENCIDO",BD!$E489,"")</f>
        <v/>
      </c>
      <c r="R489" s="83" t="str">
        <f ca="1">IF(N489 = "VENCIDO",BD!$F489,"")</f>
        <v/>
      </c>
      <c r="S489" s="85" t="str">
        <f ca="1">IF(N489 = "VENCIDO",BD!$G489,"")</f>
        <v/>
      </c>
      <c r="T489" s="83" t="str">
        <f ca="1">IF(AND(TODAY()&gt;BD!$C489, OR(BD!$D489="PENDENTE", BD!$D489="")), TODAY()-BD!$C489, "")</f>
        <v/>
      </c>
    </row>
    <row r="490" spans="1:20" ht="14.25" customHeight="1" x14ac:dyDescent="0.35">
      <c r="A490" s="32"/>
      <c r="B490" s="82">
        <f>'JUL-26'!A47</f>
        <v>0</v>
      </c>
      <c r="C490" s="82">
        <f>'JUL-26'!B47</f>
        <v>0</v>
      </c>
      <c r="D490" s="82">
        <f>'JUL-26'!C47</f>
        <v>0</v>
      </c>
      <c r="E490" s="83">
        <f>'JUL-26'!D47</f>
        <v>0</v>
      </c>
      <c r="F490" s="84">
        <f>'JUL-26'!E47</f>
        <v>0</v>
      </c>
      <c r="G490" s="85">
        <f>'JUL-26'!F47</f>
        <v>0</v>
      </c>
      <c r="H490" s="85">
        <f t="shared" si="0"/>
        <v>0</v>
      </c>
      <c r="I490" s="83" t="s">
        <v>101</v>
      </c>
      <c r="J490" s="83" t="str">
        <f t="shared" si="1"/>
        <v/>
      </c>
      <c r="K490" s="85">
        <f t="shared" si="2"/>
        <v>0</v>
      </c>
      <c r="L490" s="83" t="str">
        <f t="shared" si="3"/>
        <v/>
      </c>
      <c r="M490" s="83">
        <f>'JUL-26'!H47</f>
        <v>0</v>
      </c>
      <c r="N490" s="92" t="str">
        <f ca="1">IF(BD!$C490="","",IF(AND(TODAY()&gt;BD!$C490,OR(BD!$D490="PENDENTE",BD!$D490="")),"VENCIDO",""))</f>
        <v/>
      </c>
      <c r="O490" s="82" t="str">
        <f ca="1">IF(N490 = "VENCIDO",BD!$B490,"")</f>
        <v/>
      </c>
      <c r="P490" s="82" t="str">
        <f ca="1">IF(N490 = "VENCIDO",BD!$C490,"")</f>
        <v/>
      </c>
      <c r="Q490" s="83" t="str">
        <f ca="1">IF(N490 = "VENCIDO",BD!$E490,"")</f>
        <v/>
      </c>
      <c r="R490" s="83" t="str">
        <f ca="1">IF(N490 = "VENCIDO",BD!$F490,"")</f>
        <v/>
      </c>
      <c r="S490" s="85" t="str">
        <f ca="1">IF(N490 = "VENCIDO",BD!$G490,"")</f>
        <v/>
      </c>
      <c r="T490" s="83" t="str">
        <f ca="1">IF(AND(TODAY()&gt;BD!$C490, OR(BD!$D490="PENDENTE", BD!$D490="")), TODAY()-BD!$C490, "")</f>
        <v/>
      </c>
    </row>
    <row r="491" spans="1:20" ht="14.25" customHeight="1" x14ac:dyDescent="0.35">
      <c r="A491" s="32"/>
      <c r="B491" s="82">
        <f>'JUL-26'!A48</f>
        <v>0</v>
      </c>
      <c r="C491" s="82">
        <f>'JUL-26'!B48</f>
        <v>0</v>
      </c>
      <c r="D491" s="82">
        <f>'JUL-26'!C48</f>
        <v>0</v>
      </c>
      <c r="E491" s="83">
        <f>'JUL-26'!D48</f>
        <v>0</v>
      </c>
      <c r="F491" s="84">
        <f>'JUL-26'!E48</f>
        <v>0</v>
      </c>
      <c r="G491" s="85">
        <f>'JUL-26'!F48</f>
        <v>0</v>
      </c>
      <c r="H491" s="85">
        <f t="shared" si="0"/>
        <v>0</v>
      </c>
      <c r="I491" s="83" t="s">
        <v>101</v>
      </c>
      <c r="J491" s="83" t="str">
        <f t="shared" si="1"/>
        <v/>
      </c>
      <c r="K491" s="85">
        <f t="shared" si="2"/>
        <v>0</v>
      </c>
      <c r="L491" s="83" t="str">
        <f t="shared" si="3"/>
        <v/>
      </c>
      <c r="M491" s="83">
        <f>'JUL-26'!H48</f>
        <v>0</v>
      </c>
      <c r="N491" s="92" t="str">
        <f ca="1">IF(BD!$C491="","",IF(AND(TODAY()&gt;BD!$C491,OR(BD!$D491="PENDENTE",BD!$D491="")),"VENCIDO",""))</f>
        <v/>
      </c>
      <c r="O491" s="82" t="str">
        <f ca="1">IF(N491 = "VENCIDO",BD!$B491,"")</f>
        <v/>
      </c>
      <c r="P491" s="82" t="str">
        <f ca="1">IF(N491 = "VENCIDO",BD!$C491,"")</f>
        <v/>
      </c>
      <c r="Q491" s="83" t="str">
        <f ca="1">IF(N491 = "VENCIDO",BD!$E491,"")</f>
        <v/>
      </c>
      <c r="R491" s="83" t="str">
        <f ca="1">IF(N491 = "VENCIDO",BD!$F491,"")</f>
        <v/>
      </c>
      <c r="S491" s="85" t="str">
        <f ca="1">IF(N491 = "VENCIDO",BD!$G491,"")</f>
        <v/>
      </c>
      <c r="T491" s="83" t="str">
        <f ca="1">IF(AND(TODAY()&gt;BD!$C491, OR(BD!$D491="PENDENTE", BD!$D491="")), TODAY()-BD!$C491, "")</f>
        <v/>
      </c>
    </row>
    <row r="492" spans="1:20" ht="14.25" customHeight="1" x14ac:dyDescent="0.35">
      <c r="A492" s="32"/>
      <c r="B492" s="82">
        <f>'JUL-26'!A49</f>
        <v>0</v>
      </c>
      <c r="C492" s="82">
        <f>'JUL-26'!B49</f>
        <v>0</v>
      </c>
      <c r="D492" s="82">
        <f>'JUL-26'!C49</f>
        <v>0</v>
      </c>
      <c r="E492" s="83">
        <f>'JUL-26'!D49</f>
        <v>0</v>
      </c>
      <c r="F492" s="84">
        <f>'JUL-26'!E49</f>
        <v>0</v>
      </c>
      <c r="G492" s="85">
        <f>'JUL-26'!F49</f>
        <v>0</v>
      </c>
      <c r="H492" s="85">
        <f t="shared" si="0"/>
        <v>0</v>
      </c>
      <c r="I492" s="83" t="s">
        <v>101</v>
      </c>
      <c r="J492" s="83" t="str">
        <f t="shared" si="1"/>
        <v/>
      </c>
      <c r="K492" s="85">
        <f t="shared" si="2"/>
        <v>0</v>
      </c>
      <c r="L492" s="83" t="str">
        <f t="shared" si="3"/>
        <v/>
      </c>
      <c r="M492" s="83">
        <f>'JUL-26'!H49</f>
        <v>0</v>
      </c>
      <c r="N492" s="92" t="str">
        <f ca="1">IF(BD!$C492="","",IF(AND(TODAY()&gt;BD!$C492,OR(BD!$D492="PENDENTE",BD!$D492="")),"VENCIDO",""))</f>
        <v/>
      </c>
      <c r="O492" s="82" t="str">
        <f ca="1">IF(N492 = "VENCIDO",BD!$B492,"")</f>
        <v/>
      </c>
      <c r="P492" s="82" t="str">
        <f ca="1">IF(N492 = "VENCIDO",BD!$C492,"")</f>
        <v/>
      </c>
      <c r="Q492" s="83" t="str">
        <f ca="1">IF(N492 = "VENCIDO",BD!$E492,"")</f>
        <v/>
      </c>
      <c r="R492" s="83" t="str">
        <f ca="1">IF(N492 = "VENCIDO",BD!$F492,"")</f>
        <v/>
      </c>
      <c r="S492" s="85" t="str">
        <f ca="1">IF(N492 = "VENCIDO",BD!$G492,"")</f>
        <v/>
      </c>
      <c r="T492" s="83" t="str">
        <f ca="1">IF(AND(TODAY()&gt;BD!$C492, OR(BD!$D492="PENDENTE", BD!$D492="")), TODAY()-BD!$C492, "")</f>
        <v/>
      </c>
    </row>
    <row r="493" spans="1:20" ht="14.25" customHeight="1" x14ac:dyDescent="0.35">
      <c r="A493" s="32"/>
      <c r="B493" s="82">
        <f>'JUL-26'!A50</f>
        <v>0</v>
      </c>
      <c r="C493" s="82">
        <f>'JUL-26'!B50</f>
        <v>0</v>
      </c>
      <c r="D493" s="82">
        <f>'JUL-26'!C50</f>
        <v>0</v>
      </c>
      <c r="E493" s="83">
        <f>'JUL-26'!D50</f>
        <v>0</v>
      </c>
      <c r="F493" s="84">
        <f>'JUL-26'!E50</f>
        <v>0</v>
      </c>
      <c r="G493" s="85">
        <f>'JUL-26'!F50</f>
        <v>0</v>
      </c>
      <c r="H493" s="85">
        <f t="shared" si="0"/>
        <v>0</v>
      </c>
      <c r="I493" s="83" t="s">
        <v>101</v>
      </c>
      <c r="J493" s="83" t="str">
        <f t="shared" si="1"/>
        <v/>
      </c>
      <c r="K493" s="85">
        <f t="shared" si="2"/>
        <v>0</v>
      </c>
      <c r="L493" s="83" t="str">
        <f t="shared" si="3"/>
        <v/>
      </c>
      <c r="M493" s="83">
        <f>'JUL-26'!H50</f>
        <v>0</v>
      </c>
      <c r="N493" s="92" t="str">
        <f ca="1">IF(BD!$C493="","",IF(AND(TODAY()&gt;BD!$C493,OR(BD!$D493="PENDENTE",BD!$D493="")),"VENCIDO",""))</f>
        <v/>
      </c>
      <c r="O493" s="82" t="str">
        <f ca="1">IF(N493 = "VENCIDO",BD!$B493,"")</f>
        <v/>
      </c>
      <c r="P493" s="82" t="str">
        <f ca="1">IF(N493 = "VENCIDO",BD!$C493,"")</f>
        <v/>
      </c>
      <c r="Q493" s="83" t="str">
        <f ca="1">IF(N493 = "VENCIDO",BD!$E493,"")</f>
        <v/>
      </c>
      <c r="R493" s="83" t="str">
        <f ca="1">IF(N493 = "VENCIDO",BD!$F493,"")</f>
        <v/>
      </c>
      <c r="S493" s="85" t="str">
        <f ca="1">IF(N493 = "VENCIDO",BD!$G493,"")</f>
        <v/>
      </c>
      <c r="T493" s="83" t="str">
        <f ca="1">IF(AND(TODAY()&gt;BD!$C493, OR(BD!$D493="PENDENTE", BD!$D493="")), TODAY()-BD!$C493, "")</f>
        <v/>
      </c>
    </row>
    <row r="494" spans="1:20" ht="14.25" customHeight="1" x14ac:dyDescent="0.35">
      <c r="A494" s="32"/>
      <c r="B494" s="82">
        <f>'JUL-26'!A51</f>
        <v>0</v>
      </c>
      <c r="C494" s="82">
        <f>'JUL-26'!B51</f>
        <v>0</v>
      </c>
      <c r="D494" s="82">
        <f>'JUL-26'!C51</f>
        <v>0</v>
      </c>
      <c r="E494" s="83">
        <f>'JUL-26'!D51</f>
        <v>0</v>
      </c>
      <c r="F494" s="84">
        <f>'JUL-26'!E51</f>
        <v>0</v>
      </c>
      <c r="G494" s="85">
        <f>'JUL-26'!F51</f>
        <v>0</v>
      </c>
      <c r="H494" s="85">
        <f t="shared" si="0"/>
        <v>0</v>
      </c>
      <c r="I494" s="83" t="s">
        <v>101</v>
      </c>
      <c r="J494" s="83" t="str">
        <f t="shared" si="1"/>
        <v/>
      </c>
      <c r="K494" s="85">
        <f t="shared" si="2"/>
        <v>0</v>
      </c>
      <c r="L494" s="83" t="str">
        <f t="shared" si="3"/>
        <v/>
      </c>
      <c r="M494" s="83">
        <f>'JUL-26'!H51</f>
        <v>0</v>
      </c>
      <c r="N494" s="92" t="str">
        <f ca="1">IF(BD!$C494="","",IF(AND(TODAY()&gt;BD!$C494,OR(BD!$D494="PENDENTE",BD!$D494="")),"VENCIDO",""))</f>
        <v/>
      </c>
      <c r="O494" s="82" t="str">
        <f ca="1">IF(N494 = "VENCIDO",BD!$B494,"")</f>
        <v/>
      </c>
      <c r="P494" s="82" t="str">
        <f ca="1">IF(N494 = "VENCIDO",BD!$C494,"")</f>
        <v/>
      </c>
      <c r="Q494" s="83" t="str">
        <f ca="1">IF(N494 = "VENCIDO",BD!$E494,"")</f>
        <v/>
      </c>
      <c r="R494" s="83" t="str">
        <f ca="1">IF(N494 = "VENCIDO",BD!$F494,"")</f>
        <v/>
      </c>
      <c r="S494" s="85" t="str">
        <f ca="1">IF(N494 = "VENCIDO",BD!$G494,"")</f>
        <v/>
      </c>
      <c r="T494" s="83" t="str">
        <f ca="1">IF(AND(TODAY()&gt;BD!$C494, OR(BD!$D494="PENDENTE", BD!$D494="")), TODAY()-BD!$C494, "")</f>
        <v/>
      </c>
    </row>
    <row r="495" spans="1:20" ht="14.25" customHeight="1" x14ac:dyDescent="0.35">
      <c r="A495" s="32"/>
      <c r="B495" s="82">
        <f>'JUL-26'!A52</f>
        <v>0</v>
      </c>
      <c r="C495" s="82">
        <f>'JUL-26'!B52</f>
        <v>0</v>
      </c>
      <c r="D495" s="82">
        <f>'JUL-26'!C52</f>
        <v>0</v>
      </c>
      <c r="E495" s="83">
        <f>'JUL-26'!D52</f>
        <v>0</v>
      </c>
      <c r="F495" s="84">
        <f>'JUL-26'!E52</f>
        <v>0</v>
      </c>
      <c r="G495" s="85">
        <f>'JUL-26'!F52</f>
        <v>0</v>
      </c>
      <c r="H495" s="85">
        <f t="shared" si="0"/>
        <v>0</v>
      </c>
      <c r="I495" s="83" t="s">
        <v>101</v>
      </c>
      <c r="J495" s="83" t="str">
        <f t="shared" si="1"/>
        <v/>
      </c>
      <c r="K495" s="85">
        <f t="shared" si="2"/>
        <v>0</v>
      </c>
      <c r="L495" s="83" t="str">
        <f t="shared" si="3"/>
        <v/>
      </c>
      <c r="M495" s="83">
        <f>'JUL-26'!H52</f>
        <v>0</v>
      </c>
      <c r="N495" s="92" t="str">
        <f ca="1">IF(BD!$C495="","",IF(AND(TODAY()&gt;BD!$C495,OR(BD!$D495="PENDENTE",BD!$D495="")),"VENCIDO",""))</f>
        <v/>
      </c>
      <c r="O495" s="82" t="str">
        <f ca="1">IF(N495 = "VENCIDO",BD!$B495,"")</f>
        <v/>
      </c>
      <c r="P495" s="82" t="str">
        <f ca="1">IF(N495 = "VENCIDO",BD!$C495,"")</f>
        <v/>
      </c>
      <c r="Q495" s="83" t="str">
        <f ca="1">IF(N495 = "VENCIDO",BD!$E495,"")</f>
        <v/>
      </c>
      <c r="R495" s="83" t="str">
        <f ca="1">IF(N495 = "VENCIDO",BD!$F495,"")</f>
        <v/>
      </c>
      <c r="S495" s="85" t="str">
        <f ca="1">IF(N495 = "VENCIDO",BD!$G495,"")</f>
        <v/>
      </c>
      <c r="T495" s="83" t="str">
        <f ca="1">IF(AND(TODAY()&gt;BD!$C495, OR(BD!$D495="PENDENTE", BD!$D495="")), TODAY()-BD!$C495, "")</f>
        <v/>
      </c>
    </row>
    <row r="496" spans="1:20" ht="14.25" customHeight="1" x14ac:dyDescent="0.35">
      <c r="A496" s="32"/>
      <c r="B496" s="82">
        <f>'JUL-26'!A53</f>
        <v>0</v>
      </c>
      <c r="C496" s="82">
        <f>'JUL-26'!B53</f>
        <v>0</v>
      </c>
      <c r="D496" s="82">
        <f>'JUL-26'!C53</f>
        <v>0</v>
      </c>
      <c r="E496" s="83">
        <f>'JUL-26'!D53</f>
        <v>0</v>
      </c>
      <c r="F496" s="84">
        <f>'JUL-26'!E53</f>
        <v>0</v>
      </c>
      <c r="G496" s="85">
        <f>'JUL-26'!F53</f>
        <v>0</v>
      </c>
      <c r="H496" s="85">
        <f t="shared" si="0"/>
        <v>0</v>
      </c>
      <c r="I496" s="83" t="s">
        <v>101</v>
      </c>
      <c r="J496" s="83" t="str">
        <f t="shared" si="1"/>
        <v/>
      </c>
      <c r="K496" s="85">
        <f t="shared" si="2"/>
        <v>0</v>
      </c>
      <c r="L496" s="83" t="str">
        <f t="shared" si="3"/>
        <v/>
      </c>
      <c r="M496" s="83">
        <f>'JUL-26'!H53</f>
        <v>0</v>
      </c>
      <c r="N496" s="92" t="str">
        <f ca="1">IF(BD!$C496="","",IF(AND(TODAY()&gt;BD!$C496,OR(BD!$D496="PENDENTE",BD!$D496="")),"VENCIDO",""))</f>
        <v/>
      </c>
      <c r="O496" s="82" t="str">
        <f ca="1">IF(N496 = "VENCIDO",BD!$B496,"")</f>
        <v/>
      </c>
      <c r="P496" s="82" t="str">
        <f ca="1">IF(N496 = "VENCIDO",BD!$C496,"")</f>
        <v/>
      </c>
      <c r="Q496" s="83" t="str">
        <f ca="1">IF(N496 = "VENCIDO",BD!$E496,"")</f>
        <v/>
      </c>
      <c r="R496" s="83" t="str">
        <f ca="1">IF(N496 = "VENCIDO",BD!$F496,"")</f>
        <v/>
      </c>
      <c r="S496" s="85" t="str">
        <f ca="1">IF(N496 = "VENCIDO",BD!$G496,"")</f>
        <v/>
      </c>
      <c r="T496" s="83" t="str">
        <f ca="1">IF(AND(TODAY()&gt;BD!$C496, OR(BD!$D496="PENDENTE", BD!$D496="")), TODAY()-BD!$C496, "")</f>
        <v/>
      </c>
    </row>
    <row r="497" spans="1:20" ht="14.25" customHeight="1" x14ac:dyDescent="0.35">
      <c r="A497" s="32"/>
      <c r="B497" s="82">
        <f>'JUL-26'!A54</f>
        <v>0</v>
      </c>
      <c r="C497" s="82">
        <f>'JUL-26'!B54</f>
        <v>0</v>
      </c>
      <c r="D497" s="82">
        <f>'JUL-26'!C54</f>
        <v>0</v>
      </c>
      <c r="E497" s="83">
        <f>'JUL-26'!D54</f>
        <v>0</v>
      </c>
      <c r="F497" s="84">
        <f>'JUL-26'!E54</f>
        <v>0</v>
      </c>
      <c r="G497" s="85">
        <f>'JUL-26'!F54</f>
        <v>0</v>
      </c>
      <c r="H497" s="85">
        <f t="shared" si="0"/>
        <v>0</v>
      </c>
      <c r="I497" s="83" t="s">
        <v>101</v>
      </c>
      <c r="J497" s="83" t="str">
        <f t="shared" si="1"/>
        <v/>
      </c>
      <c r="K497" s="85">
        <f t="shared" si="2"/>
        <v>0</v>
      </c>
      <c r="L497" s="83" t="str">
        <f t="shared" si="3"/>
        <v/>
      </c>
      <c r="M497" s="83">
        <f>'JUL-26'!H54</f>
        <v>0</v>
      </c>
      <c r="N497" s="92" t="str">
        <f ca="1">IF(BD!$C497="","",IF(AND(TODAY()&gt;BD!$C497,OR(BD!$D497="PENDENTE",BD!$D497="")),"VENCIDO",""))</f>
        <v/>
      </c>
      <c r="O497" s="82" t="str">
        <f ca="1">IF(N497 = "VENCIDO",BD!$B497,"")</f>
        <v/>
      </c>
      <c r="P497" s="82" t="str">
        <f ca="1">IF(N497 = "VENCIDO",BD!$C497,"")</f>
        <v/>
      </c>
      <c r="Q497" s="83" t="str">
        <f ca="1">IF(N497 = "VENCIDO",BD!$E497,"")</f>
        <v/>
      </c>
      <c r="R497" s="83" t="str">
        <f ca="1">IF(N497 = "VENCIDO",BD!$F497,"")</f>
        <v/>
      </c>
      <c r="S497" s="85" t="str">
        <f ca="1">IF(N497 = "VENCIDO",BD!$G497,"")</f>
        <v/>
      </c>
      <c r="T497" s="83" t="str">
        <f ca="1">IF(AND(TODAY()&gt;BD!$C497, OR(BD!$D497="PENDENTE", BD!$D497="")), TODAY()-BD!$C497, "")</f>
        <v/>
      </c>
    </row>
    <row r="498" spans="1:20" ht="14.25" customHeight="1" x14ac:dyDescent="0.35">
      <c r="A498" s="32"/>
      <c r="B498" s="82">
        <f>'JUL-26'!A55</f>
        <v>0</v>
      </c>
      <c r="C498" s="82">
        <f>'JUL-26'!B55</f>
        <v>0</v>
      </c>
      <c r="D498" s="82">
        <f>'JUL-26'!C55</f>
        <v>0</v>
      </c>
      <c r="E498" s="83">
        <f>'JUL-26'!D55</f>
        <v>0</v>
      </c>
      <c r="F498" s="84">
        <f>'JUL-26'!E55</f>
        <v>0</v>
      </c>
      <c r="G498" s="85">
        <f>'JUL-26'!F55</f>
        <v>0</v>
      </c>
      <c r="H498" s="85">
        <f t="shared" si="0"/>
        <v>0</v>
      </c>
      <c r="I498" s="83" t="s">
        <v>101</v>
      </c>
      <c r="J498" s="83" t="str">
        <f t="shared" si="1"/>
        <v/>
      </c>
      <c r="K498" s="85">
        <f t="shared" si="2"/>
        <v>0</v>
      </c>
      <c r="L498" s="83" t="str">
        <f t="shared" si="3"/>
        <v/>
      </c>
      <c r="M498" s="83">
        <f>'JUL-26'!H55</f>
        <v>0</v>
      </c>
      <c r="N498" s="92" t="str">
        <f ca="1">IF(BD!$C498="","",IF(AND(TODAY()&gt;BD!$C498,OR(BD!$D498="PENDENTE",BD!$D498="")),"VENCIDO",""))</f>
        <v/>
      </c>
      <c r="O498" s="82" t="str">
        <f ca="1">IF(N498 = "VENCIDO",BD!$B498,"")</f>
        <v/>
      </c>
      <c r="P498" s="82" t="str">
        <f ca="1">IF(N498 = "VENCIDO",BD!$C498,"")</f>
        <v/>
      </c>
      <c r="Q498" s="83" t="str">
        <f ca="1">IF(N498 = "VENCIDO",BD!$E498,"")</f>
        <v/>
      </c>
      <c r="R498" s="83" t="str">
        <f ca="1">IF(N498 = "VENCIDO",BD!$F498,"")</f>
        <v/>
      </c>
      <c r="S498" s="85" t="str">
        <f ca="1">IF(N498 = "VENCIDO",BD!$G498,"")</f>
        <v/>
      </c>
      <c r="T498" s="83" t="str">
        <f ca="1">IF(AND(TODAY()&gt;BD!$C498, OR(BD!$D498="PENDENTE", BD!$D498="")), TODAY()-BD!$C498, "")</f>
        <v/>
      </c>
    </row>
    <row r="499" spans="1:20" ht="14.25" customHeight="1" x14ac:dyDescent="0.35">
      <c r="A499" s="32"/>
      <c r="B499" s="82">
        <f>'JUL-26'!A56</f>
        <v>0</v>
      </c>
      <c r="C499" s="82">
        <f>'JUL-26'!B56</f>
        <v>0</v>
      </c>
      <c r="D499" s="82">
        <f>'JUL-26'!C56</f>
        <v>0</v>
      </c>
      <c r="E499" s="83">
        <f>'JUL-26'!D56</f>
        <v>0</v>
      </c>
      <c r="F499" s="84">
        <f>'JUL-26'!E56</f>
        <v>0</v>
      </c>
      <c r="G499" s="85">
        <f>'JUL-26'!F56</f>
        <v>0</v>
      </c>
      <c r="H499" s="85">
        <f t="shared" si="0"/>
        <v>0</v>
      </c>
      <c r="I499" s="83" t="s">
        <v>101</v>
      </c>
      <c r="J499" s="83" t="str">
        <f t="shared" si="1"/>
        <v/>
      </c>
      <c r="K499" s="85">
        <f t="shared" si="2"/>
        <v>0</v>
      </c>
      <c r="L499" s="83" t="str">
        <f t="shared" si="3"/>
        <v/>
      </c>
      <c r="M499" s="83">
        <f>'JUL-26'!H56</f>
        <v>0</v>
      </c>
      <c r="N499" s="92" t="str">
        <f ca="1">IF(BD!$C499="","",IF(AND(TODAY()&gt;BD!$C499,OR(BD!$D499="PENDENTE",BD!$D499="")),"VENCIDO",""))</f>
        <v/>
      </c>
      <c r="O499" s="82" t="str">
        <f ca="1">IF(N499 = "VENCIDO",BD!$B499,"")</f>
        <v/>
      </c>
      <c r="P499" s="82" t="str">
        <f ca="1">IF(N499 = "VENCIDO",BD!$C499,"")</f>
        <v/>
      </c>
      <c r="Q499" s="83" t="str">
        <f ca="1">IF(N499 = "VENCIDO",BD!$E499,"")</f>
        <v/>
      </c>
      <c r="R499" s="83" t="str">
        <f ca="1">IF(N499 = "VENCIDO",BD!$F499,"")</f>
        <v/>
      </c>
      <c r="S499" s="85" t="str">
        <f ca="1">IF(N499 = "VENCIDO",BD!$G499,"")</f>
        <v/>
      </c>
      <c r="T499" s="83" t="str">
        <f ca="1">IF(AND(TODAY()&gt;BD!$C499, OR(BD!$D499="PENDENTE", BD!$D499="")), TODAY()-BD!$C499, "")</f>
        <v/>
      </c>
    </row>
    <row r="500" spans="1:20" ht="14.25" customHeight="1" x14ac:dyDescent="0.35">
      <c r="A500" s="32"/>
      <c r="B500" s="82">
        <f>'JUL-26'!A57</f>
        <v>0</v>
      </c>
      <c r="C500" s="82">
        <f>'JUL-26'!B57</f>
        <v>0</v>
      </c>
      <c r="D500" s="82">
        <f>'JUL-26'!C57</f>
        <v>0</v>
      </c>
      <c r="E500" s="83">
        <f>'JUL-26'!D57</f>
        <v>0</v>
      </c>
      <c r="F500" s="84">
        <f>'JUL-26'!E57</f>
        <v>0</v>
      </c>
      <c r="G500" s="85">
        <f>'JUL-26'!F57</f>
        <v>0</v>
      </c>
      <c r="H500" s="85">
        <f t="shared" si="0"/>
        <v>0</v>
      </c>
      <c r="I500" s="83" t="s">
        <v>101</v>
      </c>
      <c r="J500" s="83" t="str">
        <f t="shared" si="1"/>
        <v/>
      </c>
      <c r="K500" s="85">
        <f t="shared" si="2"/>
        <v>0</v>
      </c>
      <c r="L500" s="83" t="str">
        <f t="shared" si="3"/>
        <v/>
      </c>
      <c r="M500" s="83">
        <f>'JUL-26'!H57</f>
        <v>0</v>
      </c>
      <c r="N500" s="92" t="str">
        <f ca="1">IF(BD!$C500="","",IF(AND(TODAY()&gt;BD!$C500,OR(BD!$D500="PENDENTE",BD!$D500="")),"VENCIDO",""))</f>
        <v/>
      </c>
      <c r="O500" s="82" t="str">
        <f ca="1">IF(N500 = "VENCIDO",BD!$B500,"")</f>
        <v/>
      </c>
      <c r="P500" s="82" t="str">
        <f ca="1">IF(N500 = "VENCIDO",BD!$C500,"")</f>
        <v/>
      </c>
      <c r="Q500" s="83" t="str">
        <f ca="1">IF(N500 = "VENCIDO",BD!$E500,"")</f>
        <v/>
      </c>
      <c r="R500" s="83" t="str">
        <f ca="1">IF(N500 = "VENCIDO",BD!$F500,"")</f>
        <v/>
      </c>
      <c r="S500" s="85" t="str">
        <f ca="1">IF(N500 = "VENCIDO",BD!$G500,"")</f>
        <v/>
      </c>
      <c r="T500" s="83" t="str">
        <f ca="1">IF(AND(TODAY()&gt;BD!$C500, OR(BD!$D500="PENDENTE", BD!$D500="")), TODAY()-BD!$C500, "")</f>
        <v/>
      </c>
    </row>
    <row r="501" spans="1:20" ht="14.25" customHeight="1" x14ac:dyDescent="0.35">
      <c r="A501" s="32"/>
      <c r="B501" s="82">
        <f>'JUL-26'!A58</f>
        <v>0</v>
      </c>
      <c r="C501" s="82">
        <f>'JUL-26'!B58</f>
        <v>0</v>
      </c>
      <c r="D501" s="82">
        <f>'JUL-26'!C58</f>
        <v>0</v>
      </c>
      <c r="E501" s="83">
        <f>'JUL-26'!D58</f>
        <v>0</v>
      </c>
      <c r="F501" s="84">
        <f>'JUL-26'!E58</f>
        <v>0</v>
      </c>
      <c r="G501" s="85">
        <f>'JUL-26'!F58</f>
        <v>0</v>
      </c>
      <c r="H501" s="85">
        <f t="shared" si="0"/>
        <v>0</v>
      </c>
      <c r="I501" s="83" t="s">
        <v>101</v>
      </c>
      <c r="J501" s="83" t="str">
        <f t="shared" si="1"/>
        <v/>
      </c>
      <c r="K501" s="85">
        <f t="shared" si="2"/>
        <v>0</v>
      </c>
      <c r="L501" s="83" t="str">
        <f t="shared" si="3"/>
        <v/>
      </c>
      <c r="M501" s="83">
        <f>'JUL-26'!H58</f>
        <v>0</v>
      </c>
      <c r="N501" s="92" t="str">
        <f ca="1">IF(BD!$C501="","",IF(AND(TODAY()&gt;BD!$C501,OR(BD!$D501="PENDENTE",BD!$D501="")),"VENCIDO",""))</f>
        <v/>
      </c>
      <c r="O501" s="82" t="str">
        <f ca="1">IF(N501 = "VENCIDO",BD!$B501,"")</f>
        <v/>
      </c>
      <c r="P501" s="82" t="str">
        <f ca="1">IF(N501 = "VENCIDO",BD!$C501,"")</f>
        <v/>
      </c>
      <c r="Q501" s="83" t="str">
        <f ca="1">IF(N501 = "VENCIDO",BD!$E501,"")</f>
        <v/>
      </c>
      <c r="R501" s="83" t="str">
        <f ca="1">IF(N501 = "VENCIDO",BD!$F501,"")</f>
        <v/>
      </c>
      <c r="S501" s="85" t="str">
        <f ca="1">IF(N501 = "VENCIDO",BD!$G501,"")</f>
        <v/>
      </c>
      <c r="T501" s="83" t="str">
        <f ca="1">IF(AND(TODAY()&gt;BD!$C501, OR(BD!$D501="PENDENTE", BD!$D501="")), TODAY()-BD!$C501, "")</f>
        <v/>
      </c>
    </row>
    <row r="502" spans="1:20" ht="14.25" customHeight="1" x14ac:dyDescent="0.35">
      <c r="A502" s="32"/>
      <c r="B502" s="82">
        <f>'JUL-26'!A59</f>
        <v>0</v>
      </c>
      <c r="C502" s="82">
        <f>'JUL-26'!B59</f>
        <v>0</v>
      </c>
      <c r="D502" s="82">
        <f>'JUL-26'!C59</f>
        <v>0</v>
      </c>
      <c r="E502" s="83">
        <f>'JUL-26'!D59</f>
        <v>0</v>
      </c>
      <c r="F502" s="84">
        <f>'JUL-26'!E59</f>
        <v>0</v>
      </c>
      <c r="G502" s="85">
        <f>'JUL-26'!F59</f>
        <v>0</v>
      </c>
      <c r="H502" s="85">
        <f t="shared" si="0"/>
        <v>0</v>
      </c>
      <c r="I502" s="83" t="s">
        <v>101</v>
      </c>
      <c r="J502" s="83" t="str">
        <f t="shared" si="1"/>
        <v/>
      </c>
      <c r="K502" s="85">
        <f t="shared" si="2"/>
        <v>0</v>
      </c>
      <c r="L502" s="83" t="str">
        <f t="shared" si="3"/>
        <v/>
      </c>
      <c r="M502" s="83">
        <f>'JUL-26'!H59</f>
        <v>0</v>
      </c>
      <c r="N502" s="92" t="str">
        <f ca="1">IF(BD!$C502="","",IF(AND(TODAY()&gt;BD!$C502,OR(BD!$D502="PENDENTE",BD!$D502="")),"VENCIDO",""))</f>
        <v/>
      </c>
      <c r="O502" s="82" t="str">
        <f ca="1">IF(N502 = "VENCIDO",BD!$B502,"")</f>
        <v/>
      </c>
      <c r="P502" s="82" t="str">
        <f ca="1">IF(N502 = "VENCIDO",BD!$C502,"")</f>
        <v/>
      </c>
      <c r="Q502" s="83" t="str">
        <f ca="1">IF(N502 = "VENCIDO",BD!$E502,"")</f>
        <v/>
      </c>
      <c r="R502" s="83" t="str">
        <f ca="1">IF(N502 = "VENCIDO",BD!$F502,"")</f>
        <v/>
      </c>
      <c r="S502" s="85" t="str">
        <f ca="1">IF(N502 = "VENCIDO",BD!$G502,"")</f>
        <v/>
      </c>
      <c r="T502" s="83" t="str">
        <f ca="1">IF(AND(TODAY()&gt;BD!$C502, OR(BD!$D502="PENDENTE", BD!$D502="")), TODAY()-BD!$C502, "")</f>
        <v/>
      </c>
    </row>
    <row r="503" spans="1:20" ht="14.25" customHeight="1" x14ac:dyDescent="0.35">
      <c r="A503" s="32"/>
      <c r="B503" s="82">
        <f>'JUL-26'!A60</f>
        <v>0</v>
      </c>
      <c r="C503" s="82">
        <f>'JUL-26'!B60</f>
        <v>0</v>
      </c>
      <c r="D503" s="82">
        <f>'JUL-26'!C60</f>
        <v>0</v>
      </c>
      <c r="E503" s="83">
        <f>'JUL-26'!D60</f>
        <v>0</v>
      </c>
      <c r="F503" s="84">
        <f>'JUL-26'!E60</f>
        <v>0</v>
      </c>
      <c r="G503" s="85">
        <f>'JUL-26'!F60</f>
        <v>0</v>
      </c>
      <c r="H503" s="85">
        <f t="shared" si="0"/>
        <v>0</v>
      </c>
      <c r="I503" s="83" t="s">
        <v>101</v>
      </c>
      <c r="J503" s="83" t="str">
        <f t="shared" si="1"/>
        <v/>
      </c>
      <c r="K503" s="85">
        <f t="shared" si="2"/>
        <v>0</v>
      </c>
      <c r="L503" s="83" t="str">
        <f t="shared" si="3"/>
        <v/>
      </c>
      <c r="M503" s="83">
        <f>'JUL-26'!H60</f>
        <v>0</v>
      </c>
      <c r="N503" s="92" t="str">
        <f ca="1">IF(BD!$C503="","",IF(AND(TODAY()&gt;BD!$C503,OR(BD!$D503="PENDENTE",BD!$D503="")),"VENCIDO",""))</f>
        <v/>
      </c>
      <c r="O503" s="82" t="str">
        <f ca="1">IF(N503 = "VENCIDO",BD!$B503,"")</f>
        <v/>
      </c>
      <c r="P503" s="82" t="str">
        <f ca="1">IF(N503 = "VENCIDO",BD!$C503,"")</f>
        <v/>
      </c>
      <c r="Q503" s="83" t="str">
        <f ca="1">IF(N503 = "VENCIDO",BD!$E503,"")</f>
        <v/>
      </c>
      <c r="R503" s="83" t="str">
        <f ca="1">IF(N503 = "VENCIDO",BD!$F503,"")</f>
        <v/>
      </c>
      <c r="S503" s="85" t="str">
        <f ca="1">IF(N503 = "VENCIDO",BD!$G503,"")</f>
        <v/>
      </c>
      <c r="T503" s="83" t="str">
        <f ca="1">IF(AND(TODAY()&gt;BD!$C503, OR(BD!$D503="PENDENTE", BD!$D503="")), TODAY()-BD!$C503, "")</f>
        <v/>
      </c>
    </row>
    <row r="504" spans="1:20" ht="14.25" customHeight="1" x14ac:dyDescent="0.35">
      <c r="A504" s="32"/>
      <c r="B504" s="82">
        <f>'JUL-26'!A61</f>
        <v>0</v>
      </c>
      <c r="C504" s="82">
        <f>'JUL-26'!B61</f>
        <v>0</v>
      </c>
      <c r="D504" s="82">
        <f>'JUL-26'!C61</f>
        <v>0</v>
      </c>
      <c r="E504" s="83">
        <f>'JUL-26'!D61</f>
        <v>0</v>
      </c>
      <c r="F504" s="84">
        <f>'JUL-26'!E61</f>
        <v>0</v>
      </c>
      <c r="G504" s="85">
        <f>'JUL-26'!F61</f>
        <v>0</v>
      </c>
      <c r="H504" s="85">
        <f t="shared" si="0"/>
        <v>0</v>
      </c>
      <c r="I504" s="83" t="s">
        <v>101</v>
      </c>
      <c r="J504" s="83" t="str">
        <f t="shared" si="1"/>
        <v/>
      </c>
      <c r="K504" s="85">
        <f t="shared" si="2"/>
        <v>0</v>
      </c>
      <c r="L504" s="83" t="str">
        <f t="shared" si="3"/>
        <v/>
      </c>
      <c r="M504" s="83">
        <f>'JUL-26'!H61</f>
        <v>0</v>
      </c>
      <c r="N504" s="92" t="str">
        <f ca="1">IF(BD!$C504="","",IF(AND(TODAY()&gt;BD!$C504,OR(BD!$D504="PENDENTE",BD!$D504="")),"VENCIDO",""))</f>
        <v/>
      </c>
      <c r="O504" s="82" t="str">
        <f ca="1">IF(N504 = "VENCIDO",BD!$B504,"")</f>
        <v/>
      </c>
      <c r="P504" s="82" t="str">
        <f ca="1">IF(N504 = "VENCIDO",BD!$C504,"")</f>
        <v/>
      </c>
      <c r="Q504" s="83" t="str">
        <f ca="1">IF(N504 = "VENCIDO",BD!$E504,"")</f>
        <v/>
      </c>
      <c r="R504" s="83" t="str">
        <f ca="1">IF(N504 = "VENCIDO",BD!$F504,"")</f>
        <v/>
      </c>
      <c r="S504" s="85" t="str">
        <f ca="1">IF(N504 = "VENCIDO",BD!$G504,"")</f>
        <v/>
      </c>
      <c r="T504" s="83" t="str">
        <f ca="1">IF(AND(TODAY()&gt;BD!$C504, OR(BD!$D504="PENDENTE", BD!$D504="")), TODAY()-BD!$C504, "")</f>
        <v/>
      </c>
    </row>
    <row r="505" spans="1:20" ht="14.25" customHeight="1" x14ac:dyDescent="0.35">
      <c r="A505" s="32"/>
      <c r="B505" s="82">
        <f>'JUL-26'!A62</f>
        <v>0</v>
      </c>
      <c r="C505" s="82">
        <f>'JUL-26'!B62</f>
        <v>0</v>
      </c>
      <c r="D505" s="82">
        <f>'JUL-26'!C62</f>
        <v>0</v>
      </c>
      <c r="E505" s="83">
        <f>'JUL-26'!D62</f>
        <v>0</v>
      </c>
      <c r="F505" s="84">
        <f>'JUL-26'!E62</f>
        <v>0</v>
      </c>
      <c r="G505" s="85">
        <f>'JUL-26'!F62</f>
        <v>0</v>
      </c>
      <c r="H505" s="85">
        <f t="shared" si="0"/>
        <v>0</v>
      </c>
      <c r="I505" s="83" t="s">
        <v>101</v>
      </c>
      <c r="J505" s="83" t="str">
        <f t="shared" si="1"/>
        <v/>
      </c>
      <c r="K505" s="85">
        <f t="shared" si="2"/>
        <v>0</v>
      </c>
      <c r="L505" s="83" t="str">
        <f t="shared" si="3"/>
        <v/>
      </c>
      <c r="M505" s="83">
        <f>'JUL-26'!H62</f>
        <v>0</v>
      </c>
      <c r="N505" s="92" t="str">
        <f ca="1">IF(BD!$C505="","",IF(AND(TODAY()&gt;BD!$C505,OR(BD!$D505="PENDENTE",BD!$D505="")),"VENCIDO",""))</f>
        <v/>
      </c>
      <c r="O505" s="82" t="str">
        <f ca="1">IF(N505 = "VENCIDO",BD!$B505,"")</f>
        <v/>
      </c>
      <c r="P505" s="82" t="str">
        <f ca="1">IF(N505 = "VENCIDO",BD!$C505,"")</f>
        <v/>
      </c>
      <c r="Q505" s="83" t="str">
        <f ca="1">IF(N505 = "VENCIDO",BD!$E505,"")</f>
        <v/>
      </c>
      <c r="R505" s="83" t="str">
        <f ca="1">IF(N505 = "VENCIDO",BD!$F505,"")</f>
        <v/>
      </c>
      <c r="S505" s="85" t="str">
        <f ca="1">IF(N505 = "VENCIDO",BD!$G505,"")</f>
        <v/>
      </c>
      <c r="T505" s="83" t="str">
        <f ca="1">IF(AND(TODAY()&gt;BD!$C505, OR(BD!$D505="PENDENTE", BD!$D505="")), TODAY()-BD!$C505, "")</f>
        <v/>
      </c>
    </row>
    <row r="506" spans="1:20" ht="14.25" customHeight="1" x14ac:dyDescent="0.35">
      <c r="A506" s="32"/>
      <c r="B506" s="82">
        <f>'JUL-26'!A63</f>
        <v>0</v>
      </c>
      <c r="C506" s="82">
        <f>'JUL-26'!B63</f>
        <v>0</v>
      </c>
      <c r="D506" s="82">
        <f>'JUL-26'!C63</f>
        <v>0</v>
      </c>
      <c r="E506" s="83">
        <f>'JUL-26'!D63</f>
        <v>0</v>
      </c>
      <c r="F506" s="84">
        <f>'JUL-26'!E63</f>
        <v>0</v>
      </c>
      <c r="G506" s="85">
        <f>'JUL-26'!F63</f>
        <v>0</v>
      </c>
      <c r="H506" s="85">
        <f t="shared" si="0"/>
        <v>0</v>
      </c>
      <c r="I506" s="83" t="s">
        <v>101</v>
      </c>
      <c r="J506" s="83" t="str">
        <f t="shared" si="1"/>
        <v/>
      </c>
      <c r="K506" s="85">
        <f t="shared" si="2"/>
        <v>0</v>
      </c>
      <c r="L506" s="83" t="str">
        <f t="shared" si="3"/>
        <v/>
      </c>
      <c r="M506" s="83">
        <f>'JUL-26'!H63</f>
        <v>0</v>
      </c>
      <c r="N506" s="92" t="str">
        <f ca="1">IF(BD!$C506="","",IF(AND(TODAY()&gt;BD!$C506,OR(BD!$D506="PENDENTE",BD!$D506="")),"VENCIDO",""))</f>
        <v/>
      </c>
      <c r="O506" s="82" t="str">
        <f ca="1">IF(N506 = "VENCIDO",BD!$B506,"")</f>
        <v/>
      </c>
      <c r="P506" s="82" t="str">
        <f ca="1">IF(N506 = "VENCIDO",BD!$C506,"")</f>
        <v/>
      </c>
      <c r="Q506" s="83" t="str">
        <f ca="1">IF(N506 = "VENCIDO",BD!$E506,"")</f>
        <v/>
      </c>
      <c r="R506" s="83" t="str">
        <f ca="1">IF(N506 = "VENCIDO",BD!$F506,"")</f>
        <v/>
      </c>
      <c r="S506" s="85" t="str">
        <f ca="1">IF(N506 = "VENCIDO",BD!$G506,"")</f>
        <v/>
      </c>
      <c r="T506" s="83" t="str">
        <f ca="1">IF(AND(TODAY()&gt;BD!$C506, OR(BD!$D506="PENDENTE", BD!$D506="")), TODAY()-BD!$C506, "")</f>
        <v/>
      </c>
    </row>
    <row r="507" spans="1:20" ht="14.25" customHeight="1" x14ac:dyDescent="0.35">
      <c r="A507" s="32"/>
      <c r="B507" s="82">
        <f>'JUL-26'!A64</f>
        <v>0</v>
      </c>
      <c r="C507" s="82">
        <f>'JUL-26'!B64</f>
        <v>0</v>
      </c>
      <c r="D507" s="82">
        <f>'JUL-26'!C64</f>
        <v>0</v>
      </c>
      <c r="E507" s="83">
        <f>'JUL-26'!D64</f>
        <v>0</v>
      </c>
      <c r="F507" s="84">
        <f>'JUL-26'!E64</f>
        <v>0</v>
      </c>
      <c r="G507" s="85">
        <f>'JUL-26'!F64</f>
        <v>0</v>
      </c>
      <c r="H507" s="85">
        <f t="shared" si="0"/>
        <v>0</v>
      </c>
      <c r="I507" s="83" t="s">
        <v>101</v>
      </c>
      <c r="J507" s="83" t="str">
        <f t="shared" si="1"/>
        <v/>
      </c>
      <c r="K507" s="85">
        <f t="shared" si="2"/>
        <v>0</v>
      </c>
      <c r="L507" s="83" t="str">
        <f t="shared" si="3"/>
        <v/>
      </c>
      <c r="M507" s="83">
        <f>'JUL-26'!H64</f>
        <v>0</v>
      </c>
      <c r="N507" s="92" t="str">
        <f ca="1">IF(BD!$C507="","",IF(AND(TODAY()&gt;BD!$C507,OR(BD!$D507="PENDENTE",BD!$D507="")),"VENCIDO",""))</f>
        <v/>
      </c>
      <c r="O507" s="82" t="str">
        <f ca="1">IF(N507 = "VENCIDO",BD!$B507,"")</f>
        <v/>
      </c>
      <c r="P507" s="82" t="str">
        <f ca="1">IF(N507 = "VENCIDO",BD!$C507,"")</f>
        <v/>
      </c>
      <c r="Q507" s="83" t="str">
        <f ca="1">IF(N507 = "VENCIDO",BD!$E507,"")</f>
        <v/>
      </c>
      <c r="R507" s="83" t="str">
        <f ca="1">IF(N507 = "VENCIDO",BD!$F507,"")</f>
        <v/>
      </c>
      <c r="S507" s="85" t="str">
        <f ca="1">IF(N507 = "VENCIDO",BD!$G507,"")</f>
        <v/>
      </c>
      <c r="T507" s="83" t="str">
        <f ca="1">IF(AND(TODAY()&gt;BD!$C507, OR(BD!$D507="PENDENTE", BD!$D507="")), TODAY()-BD!$C507, "")</f>
        <v/>
      </c>
    </row>
    <row r="508" spans="1:20" ht="14.25" customHeight="1" x14ac:dyDescent="0.35">
      <c r="A508" s="32"/>
      <c r="B508" s="82">
        <f>'JUL-26'!A65</f>
        <v>0</v>
      </c>
      <c r="C508" s="82">
        <f>'JUL-26'!B65</f>
        <v>0</v>
      </c>
      <c r="D508" s="82">
        <f>'JUL-26'!C65</f>
        <v>0</v>
      </c>
      <c r="E508" s="83">
        <f>'JUL-26'!D65</f>
        <v>0</v>
      </c>
      <c r="F508" s="84">
        <f>'JUL-26'!E65</f>
        <v>0</v>
      </c>
      <c r="G508" s="85">
        <f>'JUL-26'!F65</f>
        <v>0</v>
      </c>
      <c r="H508" s="85">
        <f t="shared" si="0"/>
        <v>0</v>
      </c>
      <c r="I508" s="83" t="s">
        <v>101</v>
      </c>
      <c r="J508" s="83" t="str">
        <f t="shared" si="1"/>
        <v/>
      </c>
      <c r="K508" s="85">
        <f t="shared" si="2"/>
        <v>0</v>
      </c>
      <c r="L508" s="83" t="str">
        <f t="shared" si="3"/>
        <v/>
      </c>
      <c r="M508" s="83">
        <f>'JUL-26'!H65</f>
        <v>0</v>
      </c>
      <c r="N508" s="92" t="str">
        <f ca="1">IF(BD!$C508="","",IF(AND(TODAY()&gt;BD!$C508,OR(BD!$D508="PENDENTE",BD!$D508="")),"VENCIDO",""))</f>
        <v/>
      </c>
      <c r="O508" s="82" t="str">
        <f ca="1">IF(N508 = "VENCIDO",BD!$B508,"")</f>
        <v/>
      </c>
      <c r="P508" s="82" t="str">
        <f ca="1">IF(N508 = "VENCIDO",BD!$C508,"")</f>
        <v/>
      </c>
      <c r="Q508" s="83" t="str">
        <f ca="1">IF(N508 = "VENCIDO",BD!$E508,"")</f>
        <v/>
      </c>
      <c r="R508" s="83" t="str">
        <f ca="1">IF(N508 = "VENCIDO",BD!$F508,"")</f>
        <v/>
      </c>
      <c r="S508" s="85" t="str">
        <f ca="1">IF(N508 = "VENCIDO",BD!$G508,"")</f>
        <v/>
      </c>
      <c r="T508" s="83" t="str">
        <f ca="1">IF(AND(TODAY()&gt;BD!$C508, OR(BD!$D508="PENDENTE", BD!$D508="")), TODAY()-BD!$C508, "")</f>
        <v/>
      </c>
    </row>
    <row r="509" spans="1:20" ht="14.25" customHeight="1" x14ac:dyDescent="0.35">
      <c r="A509" s="32"/>
      <c r="B509" s="82">
        <f>'JUL-26'!A66</f>
        <v>0</v>
      </c>
      <c r="C509" s="82">
        <f>'JUL-26'!B66</f>
        <v>0</v>
      </c>
      <c r="D509" s="82">
        <f>'JUL-26'!C66</f>
        <v>0</v>
      </c>
      <c r="E509" s="83">
        <f>'JUL-26'!D66</f>
        <v>0</v>
      </c>
      <c r="F509" s="84">
        <f>'JUL-26'!E66</f>
        <v>0</v>
      </c>
      <c r="G509" s="85">
        <f>'JUL-26'!F66</f>
        <v>0</v>
      </c>
      <c r="H509" s="85">
        <f t="shared" si="0"/>
        <v>0</v>
      </c>
      <c r="I509" s="83" t="s">
        <v>101</v>
      </c>
      <c r="J509" s="83" t="str">
        <f t="shared" si="1"/>
        <v/>
      </c>
      <c r="K509" s="85">
        <f t="shared" si="2"/>
        <v>0</v>
      </c>
      <c r="L509" s="83" t="str">
        <f t="shared" si="3"/>
        <v/>
      </c>
      <c r="M509" s="83">
        <f>'JUL-26'!H66</f>
        <v>0</v>
      </c>
      <c r="N509" s="92" t="str">
        <f ca="1">IF(BD!$C509="","",IF(AND(TODAY()&gt;BD!$C509,OR(BD!$D509="PENDENTE",BD!$D509="")),"VENCIDO",""))</f>
        <v/>
      </c>
      <c r="O509" s="82" t="str">
        <f ca="1">IF(N509 = "VENCIDO",BD!$B509,"")</f>
        <v/>
      </c>
      <c r="P509" s="82" t="str">
        <f ca="1">IF(N509 = "VENCIDO",BD!$C509,"")</f>
        <v/>
      </c>
      <c r="Q509" s="83" t="str">
        <f ca="1">IF(N509 = "VENCIDO",BD!$E509,"")</f>
        <v/>
      </c>
      <c r="R509" s="83" t="str">
        <f ca="1">IF(N509 = "VENCIDO",BD!$F509,"")</f>
        <v/>
      </c>
      <c r="S509" s="85" t="str">
        <f ca="1">IF(N509 = "VENCIDO",BD!$G509,"")</f>
        <v/>
      </c>
      <c r="T509" s="83" t="str">
        <f ca="1">IF(AND(TODAY()&gt;BD!$C509, OR(BD!$D509="PENDENTE", BD!$D509="")), TODAY()-BD!$C509, "")</f>
        <v/>
      </c>
    </row>
    <row r="510" spans="1:20" ht="14.25" customHeight="1" x14ac:dyDescent="0.35">
      <c r="A510" s="32"/>
      <c r="B510" s="82">
        <f>'JUL-26'!A67</f>
        <v>0</v>
      </c>
      <c r="C510" s="82">
        <f>'JUL-26'!B67</f>
        <v>0</v>
      </c>
      <c r="D510" s="82">
        <f>'JUL-26'!C67</f>
        <v>0</v>
      </c>
      <c r="E510" s="83">
        <f>'JUL-26'!D67</f>
        <v>0</v>
      </c>
      <c r="F510" s="84">
        <f>'JUL-26'!E67</f>
        <v>0</v>
      </c>
      <c r="G510" s="85">
        <f>'JUL-26'!F67</f>
        <v>0</v>
      </c>
      <c r="H510" s="85">
        <f t="shared" si="0"/>
        <v>0</v>
      </c>
      <c r="I510" s="83" t="s">
        <v>101</v>
      </c>
      <c r="J510" s="83" t="str">
        <f t="shared" si="1"/>
        <v/>
      </c>
      <c r="K510" s="85">
        <f t="shared" si="2"/>
        <v>0</v>
      </c>
      <c r="L510" s="83" t="str">
        <f t="shared" si="3"/>
        <v/>
      </c>
      <c r="M510" s="83">
        <f>'JUL-26'!H67</f>
        <v>0</v>
      </c>
      <c r="N510" s="92" t="str">
        <f ca="1">IF(BD!$C510="","",IF(AND(TODAY()&gt;BD!$C510,OR(BD!$D510="PENDENTE",BD!$D510="")),"VENCIDO",""))</f>
        <v/>
      </c>
      <c r="O510" s="82" t="str">
        <f ca="1">IF(N510 = "VENCIDO",BD!$B510,"")</f>
        <v/>
      </c>
      <c r="P510" s="82" t="str">
        <f ca="1">IF(N510 = "VENCIDO",BD!$C510,"")</f>
        <v/>
      </c>
      <c r="Q510" s="83" t="str">
        <f ca="1">IF(N510 = "VENCIDO",BD!$E510,"")</f>
        <v/>
      </c>
      <c r="R510" s="83" t="str">
        <f ca="1">IF(N510 = "VENCIDO",BD!$F510,"")</f>
        <v/>
      </c>
      <c r="S510" s="85" t="str">
        <f ca="1">IF(N510 = "VENCIDO",BD!$G510,"")</f>
        <v/>
      </c>
      <c r="T510" s="83" t="str">
        <f ca="1">IF(AND(TODAY()&gt;BD!$C510, OR(BD!$D510="PENDENTE", BD!$D510="")), TODAY()-BD!$C510, "")</f>
        <v/>
      </c>
    </row>
    <row r="511" spans="1:20" ht="14.25" customHeight="1" x14ac:dyDescent="0.35">
      <c r="A511" s="32"/>
      <c r="B511" s="82">
        <f>'JUL-26'!A68</f>
        <v>0</v>
      </c>
      <c r="C511" s="82">
        <f>'JUL-26'!B68</f>
        <v>0</v>
      </c>
      <c r="D511" s="82">
        <f>'JUL-26'!C68</f>
        <v>0</v>
      </c>
      <c r="E511" s="83">
        <f>'JUL-26'!D68</f>
        <v>0</v>
      </c>
      <c r="F511" s="84">
        <f>'JUL-26'!E68</f>
        <v>0</v>
      </c>
      <c r="G511" s="85">
        <f>'JUL-26'!F68</f>
        <v>0</v>
      </c>
      <c r="H511" s="85">
        <f t="shared" si="0"/>
        <v>0</v>
      </c>
      <c r="I511" s="83" t="s">
        <v>101</v>
      </c>
      <c r="J511" s="83" t="str">
        <f t="shared" si="1"/>
        <v/>
      </c>
      <c r="K511" s="85">
        <f t="shared" si="2"/>
        <v>0</v>
      </c>
      <c r="L511" s="83" t="str">
        <f t="shared" si="3"/>
        <v/>
      </c>
      <c r="M511" s="83">
        <f>'JUL-26'!H68</f>
        <v>0</v>
      </c>
      <c r="N511" s="92" t="str">
        <f ca="1">IF(BD!$C511="","",IF(AND(TODAY()&gt;BD!$C511,OR(BD!$D511="PENDENTE",BD!$D511="")),"VENCIDO",""))</f>
        <v/>
      </c>
      <c r="O511" s="82" t="str">
        <f ca="1">IF(N511 = "VENCIDO",BD!$B511,"")</f>
        <v/>
      </c>
      <c r="P511" s="82" t="str">
        <f ca="1">IF(N511 = "VENCIDO",BD!$C511,"")</f>
        <v/>
      </c>
      <c r="Q511" s="83" t="str">
        <f ca="1">IF(N511 = "VENCIDO",BD!$E511,"")</f>
        <v/>
      </c>
      <c r="R511" s="83" t="str">
        <f ca="1">IF(N511 = "VENCIDO",BD!$F511,"")</f>
        <v/>
      </c>
      <c r="S511" s="85" t="str">
        <f ca="1">IF(N511 = "VENCIDO",BD!$G511,"")</f>
        <v/>
      </c>
      <c r="T511" s="83" t="str">
        <f ca="1">IF(AND(TODAY()&gt;BD!$C511, OR(BD!$D511="PENDENTE", BD!$D511="")), TODAY()-BD!$C511, "")</f>
        <v/>
      </c>
    </row>
    <row r="512" spans="1:20" ht="14.25" customHeight="1" x14ac:dyDescent="0.35">
      <c r="A512" s="32"/>
      <c r="B512" s="82">
        <f>'JUL-26'!A69</f>
        <v>0</v>
      </c>
      <c r="C512" s="82">
        <f>'JUL-26'!B69</f>
        <v>0</v>
      </c>
      <c r="D512" s="82">
        <f>'JUL-26'!C69</f>
        <v>0</v>
      </c>
      <c r="E512" s="83">
        <f>'JUL-26'!D69</f>
        <v>0</v>
      </c>
      <c r="F512" s="84">
        <f>'JUL-26'!E69</f>
        <v>0</v>
      </c>
      <c r="G512" s="85">
        <f>'JUL-26'!F69</f>
        <v>0</v>
      </c>
      <c r="H512" s="85">
        <f t="shared" si="0"/>
        <v>0</v>
      </c>
      <c r="I512" s="83" t="s">
        <v>101</v>
      </c>
      <c r="J512" s="83" t="str">
        <f t="shared" si="1"/>
        <v/>
      </c>
      <c r="K512" s="85">
        <f t="shared" si="2"/>
        <v>0</v>
      </c>
      <c r="L512" s="83" t="str">
        <f t="shared" si="3"/>
        <v/>
      </c>
      <c r="M512" s="83">
        <f>'JUL-26'!H69</f>
        <v>0</v>
      </c>
      <c r="N512" s="92" t="str">
        <f ca="1">IF(BD!$C512="","",IF(AND(TODAY()&gt;BD!$C512,OR(BD!$D512="PENDENTE",BD!$D512="")),"VENCIDO",""))</f>
        <v/>
      </c>
      <c r="O512" s="82" t="str">
        <f ca="1">IF(N512 = "VENCIDO",BD!$B512,"")</f>
        <v/>
      </c>
      <c r="P512" s="82" t="str">
        <f ca="1">IF(N512 = "VENCIDO",BD!$C512,"")</f>
        <v/>
      </c>
      <c r="Q512" s="83" t="str">
        <f ca="1">IF(N512 = "VENCIDO",BD!$E512,"")</f>
        <v/>
      </c>
      <c r="R512" s="83" t="str">
        <f ca="1">IF(N512 = "VENCIDO",BD!$F512,"")</f>
        <v/>
      </c>
      <c r="S512" s="85" t="str">
        <f ca="1">IF(N512 = "VENCIDO",BD!$G512,"")</f>
        <v/>
      </c>
      <c r="T512" s="83" t="str">
        <f ca="1">IF(AND(TODAY()&gt;BD!$C512, OR(BD!$D512="PENDENTE", BD!$D512="")), TODAY()-BD!$C512, "")</f>
        <v/>
      </c>
    </row>
    <row r="513" spans="1:20" ht="14.25" customHeight="1" x14ac:dyDescent="0.35">
      <c r="A513" s="32"/>
      <c r="B513" s="82">
        <f>'JUL-26'!A70</f>
        <v>0</v>
      </c>
      <c r="C513" s="82">
        <f>'JUL-26'!B70</f>
        <v>0</v>
      </c>
      <c r="D513" s="82">
        <f>'JUL-26'!C70</f>
        <v>0</v>
      </c>
      <c r="E513" s="83">
        <f>'JUL-26'!D70</f>
        <v>0</v>
      </c>
      <c r="F513" s="84">
        <f>'JUL-26'!E70</f>
        <v>0</v>
      </c>
      <c r="G513" s="85">
        <f>'JUL-26'!F70</f>
        <v>0</v>
      </c>
      <c r="H513" s="85">
        <f t="shared" si="0"/>
        <v>0</v>
      </c>
      <c r="I513" s="83" t="s">
        <v>101</v>
      </c>
      <c r="J513" s="83" t="str">
        <f t="shared" si="1"/>
        <v/>
      </c>
      <c r="K513" s="85">
        <f t="shared" si="2"/>
        <v>0</v>
      </c>
      <c r="L513" s="83" t="str">
        <f t="shared" si="3"/>
        <v/>
      </c>
      <c r="M513" s="83">
        <f>'JUL-26'!H70</f>
        <v>0</v>
      </c>
      <c r="N513" s="92" t="str">
        <f ca="1">IF(BD!$C513="","",IF(AND(TODAY()&gt;BD!$C513,OR(BD!$D513="PENDENTE",BD!$D513="")),"VENCIDO",""))</f>
        <v/>
      </c>
      <c r="O513" s="82" t="str">
        <f ca="1">IF(N513 = "VENCIDO",BD!$B513,"")</f>
        <v/>
      </c>
      <c r="P513" s="82" t="str">
        <f ca="1">IF(N513 = "VENCIDO",BD!$C513,"")</f>
        <v/>
      </c>
      <c r="Q513" s="83" t="str">
        <f ca="1">IF(N513 = "VENCIDO",BD!$E513,"")</f>
        <v/>
      </c>
      <c r="R513" s="83" t="str">
        <f ca="1">IF(N513 = "VENCIDO",BD!$F513,"")</f>
        <v/>
      </c>
      <c r="S513" s="85" t="str">
        <f ca="1">IF(N513 = "VENCIDO",BD!$G513,"")</f>
        <v/>
      </c>
      <c r="T513" s="83" t="str">
        <f ca="1">IF(AND(TODAY()&gt;BD!$C513, OR(BD!$D513="PENDENTE", BD!$D513="")), TODAY()-BD!$C513, "")</f>
        <v/>
      </c>
    </row>
    <row r="514" spans="1:20" ht="14.25" customHeight="1" x14ac:dyDescent="0.35">
      <c r="A514" s="32"/>
      <c r="B514" s="82">
        <f>'JUL-26'!A71</f>
        <v>0</v>
      </c>
      <c r="C514" s="82">
        <f>'JUL-26'!B71</f>
        <v>0</v>
      </c>
      <c r="D514" s="82">
        <f>'JUL-26'!C71</f>
        <v>0</v>
      </c>
      <c r="E514" s="83">
        <f>'JUL-26'!D71</f>
        <v>0</v>
      </c>
      <c r="F514" s="84">
        <f>'JUL-26'!E71</f>
        <v>0</v>
      </c>
      <c r="G514" s="85">
        <f>'JUL-26'!F71</f>
        <v>0</v>
      </c>
      <c r="H514" s="85">
        <f t="shared" si="0"/>
        <v>0</v>
      </c>
      <c r="I514" s="83" t="s">
        <v>101</v>
      </c>
      <c r="J514" s="83" t="str">
        <f t="shared" si="1"/>
        <v/>
      </c>
      <c r="K514" s="85">
        <f t="shared" si="2"/>
        <v>0</v>
      </c>
      <c r="L514" s="83" t="str">
        <f t="shared" si="3"/>
        <v/>
      </c>
      <c r="M514" s="83">
        <f>'JUL-26'!H71</f>
        <v>0</v>
      </c>
      <c r="N514" s="92" t="str">
        <f ca="1">IF(BD!$C514="","",IF(AND(TODAY()&gt;BD!$C514,OR(BD!$D514="PENDENTE",BD!$D514="")),"VENCIDO",""))</f>
        <v/>
      </c>
      <c r="O514" s="82" t="str">
        <f ca="1">IF(N514 = "VENCIDO",BD!$B514,"")</f>
        <v/>
      </c>
      <c r="P514" s="82" t="str">
        <f ca="1">IF(N514 = "VENCIDO",BD!$C514,"")</f>
        <v/>
      </c>
      <c r="Q514" s="83" t="str">
        <f ca="1">IF(N514 = "VENCIDO",BD!$E514,"")</f>
        <v/>
      </c>
      <c r="R514" s="83" t="str">
        <f ca="1">IF(N514 = "VENCIDO",BD!$F514,"")</f>
        <v/>
      </c>
      <c r="S514" s="85" t="str">
        <f ca="1">IF(N514 = "VENCIDO",BD!$G514,"")</f>
        <v/>
      </c>
      <c r="T514" s="83" t="str">
        <f ca="1">IF(AND(TODAY()&gt;BD!$C514, OR(BD!$D514="PENDENTE", BD!$D514="")), TODAY()-BD!$C514, "")</f>
        <v/>
      </c>
    </row>
    <row r="515" spans="1:20" ht="14.25" customHeight="1" x14ac:dyDescent="0.35">
      <c r="A515" s="32"/>
      <c r="B515" s="82">
        <f>'JUL-26'!A72</f>
        <v>0</v>
      </c>
      <c r="C515" s="82">
        <f>'JUL-26'!B72</f>
        <v>0</v>
      </c>
      <c r="D515" s="82">
        <f>'JUL-26'!C72</f>
        <v>0</v>
      </c>
      <c r="E515" s="83">
        <f>'JUL-26'!D72</f>
        <v>0</v>
      </c>
      <c r="F515" s="84">
        <f>'JUL-26'!E72</f>
        <v>0</v>
      </c>
      <c r="G515" s="85">
        <f>'JUL-26'!F72</f>
        <v>0</v>
      </c>
      <c r="H515" s="85">
        <f t="shared" si="0"/>
        <v>0</v>
      </c>
      <c r="I515" s="83" t="s">
        <v>101</v>
      </c>
      <c r="J515" s="83" t="str">
        <f t="shared" si="1"/>
        <v/>
      </c>
      <c r="K515" s="85">
        <f t="shared" si="2"/>
        <v>0</v>
      </c>
      <c r="L515" s="83" t="str">
        <f t="shared" si="3"/>
        <v/>
      </c>
      <c r="M515" s="83">
        <f>'JUL-26'!H72</f>
        <v>0</v>
      </c>
      <c r="N515" s="92" t="str">
        <f ca="1">IF(BD!$C515="","",IF(AND(TODAY()&gt;BD!$C515,OR(BD!$D515="PENDENTE",BD!$D515="")),"VENCIDO",""))</f>
        <v/>
      </c>
      <c r="O515" s="82" t="str">
        <f ca="1">IF(N515 = "VENCIDO",BD!$B515,"")</f>
        <v/>
      </c>
      <c r="P515" s="82" t="str">
        <f ca="1">IF(N515 = "VENCIDO",BD!$C515,"")</f>
        <v/>
      </c>
      <c r="Q515" s="83" t="str">
        <f ca="1">IF(N515 = "VENCIDO",BD!$E515,"")</f>
        <v/>
      </c>
      <c r="R515" s="83" t="str">
        <f ca="1">IF(N515 = "VENCIDO",BD!$F515,"")</f>
        <v/>
      </c>
      <c r="S515" s="85" t="str">
        <f ca="1">IF(N515 = "VENCIDO",BD!$G515,"")</f>
        <v/>
      </c>
      <c r="T515" s="83" t="str">
        <f ca="1">IF(AND(TODAY()&gt;BD!$C515, OR(BD!$D515="PENDENTE", BD!$D515="")), TODAY()-BD!$C515, "")</f>
        <v/>
      </c>
    </row>
    <row r="516" spans="1:20" ht="14.25" customHeight="1" x14ac:dyDescent="0.35">
      <c r="A516" s="32"/>
      <c r="B516" s="82">
        <f>'JUL-26'!A73</f>
        <v>0</v>
      </c>
      <c r="C516" s="82">
        <f>'JUL-26'!B73</f>
        <v>0</v>
      </c>
      <c r="D516" s="82">
        <f>'JUL-26'!C73</f>
        <v>0</v>
      </c>
      <c r="E516" s="83">
        <f>'JUL-26'!D73</f>
        <v>0</v>
      </c>
      <c r="F516" s="84">
        <f>'JUL-26'!E73</f>
        <v>0</v>
      </c>
      <c r="G516" s="85">
        <f>'JUL-26'!F73</f>
        <v>0</v>
      </c>
      <c r="H516" s="85">
        <f t="shared" si="0"/>
        <v>0</v>
      </c>
      <c r="I516" s="83" t="s">
        <v>101</v>
      </c>
      <c r="J516" s="83" t="str">
        <f t="shared" si="1"/>
        <v/>
      </c>
      <c r="K516" s="85">
        <f t="shared" si="2"/>
        <v>0</v>
      </c>
      <c r="L516" s="83" t="str">
        <f t="shared" si="3"/>
        <v/>
      </c>
      <c r="M516" s="83">
        <f>'JUL-26'!H73</f>
        <v>0</v>
      </c>
      <c r="N516" s="92" t="str">
        <f ca="1">IF(BD!$C516="","",IF(AND(TODAY()&gt;BD!$C516,OR(BD!$D516="PENDENTE",BD!$D516="")),"VENCIDO",""))</f>
        <v/>
      </c>
      <c r="O516" s="82" t="str">
        <f ca="1">IF(N516 = "VENCIDO",BD!$B516,"")</f>
        <v/>
      </c>
      <c r="P516" s="82" t="str">
        <f ca="1">IF(N516 = "VENCIDO",BD!$C516,"")</f>
        <v/>
      </c>
      <c r="Q516" s="83" t="str">
        <f ca="1">IF(N516 = "VENCIDO",BD!$E516,"")</f>
        <v/>
      </c>
      <c r="R516" s="83" t="str">
        <f ca="1">IF(N516 = "VENCIDO",BD!$F516,"")</f>
        <v/>
      </c>
      <c r="S516" s="85" t="str">
        <f ca="1">IF(N516 = "VENCIDO",BD!$G516,"")</f>
        <v/>
      </c>
      <c r="T516" s="83" t="str">
        <f ca="1">IF(AND(TODAY()&gt;BD!$C516, OR(BD!$D516="PENDENTE", BD!$D516="")), TODAY()-BD!$C516, "")</f>
        <v/>
      </c>
    </row>
    <row r="517" spans="1:20" ht="14.25" customHeight="1" x14ac:dyDescent="0.35">
      <c r="A517" s="32"/>
      <c r="B517" s="82">
        <f>'JUL-26'!A74</f>
        <v>0</v>
      </c>
      <c r="C517" s="82">
        <f>'JUL-26'!B74</f>
        <v>0</v>
      </c>
      <c r="D517" s="82">
        <f>'JUL-26'!C74</f>
        <v>0</v>
      </c>
      <c r="E517" s="83">
        <f>'JUL-26'!D74</f>
        <v>0</v>
      </c>
      <c r="F517" s="84">
        <f>'JUL-26'!E74</f>
        <v>0</v>
      </c>
      <c r="G517" s="85">
        <f>'JUL-26'!F74</f>
        <v>0</v>
      </c>
      <c r="H517" s="85">
        <f t="shared" si="0"/>
        <v>0</v>
      </c>
      <c r="I517" s="83" t="s">
        <v>101</v>
      </c>
      <c r="J517" s="83" t="str">
        <f t="shared" si="1"/>
        <v/>
      </c>
      <c r="K517" s="85">
        <f t="shared" si="2"/>
        <v>0</v>
      </c>
      <c r="L517" s="83" t="str">
        <f t="shared" si="3"/>
        <v/>
      </c>
      <c r="M517" s="83">
        <f>'JUL-26'!H74</f>
        <v>0</v>
      </c>
      <c r="N517" s="92" t="str">
        <f ca="1">IF(BD!$C517="","",IF(AND(TODAY()&gt;BD!$C517,OR(BD!$D517="PENDENTE",BD!$D517="")),"VENCIDO",""))</f>
        <v/>
      </c>
      <c r="O517" s="82" t="str">
        <f ca="1">IF(N517 = "VENCIDO",BD!$B517,"")</f>
        <v/>
      </c>
      <c r="P517" s="82" t="str">
        <f ca="1">IF(N517 = "VENCIDO",BD!$C517,"")</f>
        <v/>
      </c>
      <c r="Q517" s="83" t="str">
        <f ca="1">IF(N517 = "VENCIDO",BD!$E517,"")</f>
        <v/>
      </c>
      <c r="R517" s="83" t="str">
        <f ca="1">IF(N517 = "VENCIDO",BD!$F517,"")</f>
        <v/>
      </c>
      <c r="S517" s="85" t="str">
        <f ca="1">IF(N517 = "VENCIDO",BD!$G517,"")</f>
        <v/>
      </c>
      <c r="T517" s="83" t="str">
        <f ca="1">IF(AND(TODAY()&gt;BD!$C517, OR(BD!$D517="PENDENTE", BD!$D517="")), TODAY()-BD!$C517, "")</f>
        <v/>
      </c>
    </row>
    <row r="518" spans="1:20" ht="14.25" customHeight="1" x14ac:dyDescent="0.35">
      <c r="A518" s="32"/>
      <c r="B518" s="82">
        <f>'JUL-26'!A75</f>
        <v>0</v>
      </c>
      <c r="C518" s="82">
        <f>'JUL-26'!B75</f>
        <v>0</v>
      </c>
      <c r="D518" s="82">
        <f>'JUL-26'!C75</f>
        <v>0</v>
      </c>
      <c r="E518" s="83">
        <f>'JUL-26'!D75</f>
        <v>0</v>
      </c>
      <c r="F518" s="84">
        <f>'JUL-26'!E75</f>
        <v>0</v>
      </c>
      <c r="G518" s="85">
        <f>'JUL-26'!F75</f>
        <v>0</v>
      </c>
      <c r="H518" s="85">
        <f t="shared" si="0"/>
        <v>0</v>
      </c>
      <c r="I518" s="83" t="s">
        <v>101</v>
      </c>
      <c r="J518" s="83" t="str">
        <f t="shared" si="1"/>
        <v/>
      </c>
      <c r="K518" s="85">
        <f t="shared" si="2"/>
        <v>0</v>
      </c>
      <c r="L518" s="83" t="str">
        <f t="shared" si="3"/>
        <v/>
      </c>
      <c r="M518" s="83">
        <f>'JUL-26'!H75</f>
        <v>0</v>
      </c>
      <c r="N518" s="92" t="str">
        <f ca="1">IF(BD!$C518="","",IF(AND(TODAY()&gt;BD!$C518,OR(BD!$D518="PENDENTE",BD!$D518="")),"VENCIDO",""))</f>
        <v/>
      </c>
      <c r="O518" s="82" t="str">
        <f ca="1">IF(N518 = "VENCIDO",BD!$B518,"")</f>
        <v/>
      </c>
      <c r="P518" s="82" t="str">
        <f ca="1">IF(N518 = "VENCIDO",BD!$C518,"")</f>
        <v/>
      </c>
      <c r="Q518" s="83" t="str">
        <f ca="1">IF(N518 = "VENCIDO",BD!$E518,"")</f>
        <v/>
      </c>
      <c r="R518" s="83" t="str">
        <f ca="1">IF(N518 = "VENCIDO",BD!$F518,"")</f>
        <v/>
      </c>
      <c r="S518" s="85" t="str">
        <f ca="1">IF(N518 = "VENCIDO",BD!$G518,"")</f>
        <v/>
      </c>
      <c r="T518" s="83" t="str">
        <f ca="1">IF(AND(TODAY()&gt;BD!$C518, OR(BD!$D518="PENDENTE", BD!$D518="")), TODAY()-BD!$C518, "")</f>
        <v/>
      </c>
    </row>
    <row r="519" spans="1:20" ht="14.25" customHeight="1" x14ac:dyDescent="0.35">
      <c r="A519" s="32"/>
      <c r="B519" s="82">
        <f>'JUL-26'!A76</f>
        <v>0</v>
      </c>
      <c r="C519" s="82">
        <f>'JUL-26'!B76</f>
        <v>0</v>
      </c>
      <c r="D519" s="82">
        <f>'JUL-26'!C76</f>
        <v>0</v>
      </c>
      <c r="E519" s="83">
        <f>'JUL-26'!D76</f>
        <v>0</v>
      </c>
      <c r="F519" s="84">
        <f>'JUL-26'!E76</f>
        <v>0</v>
      </c>
      <c r="G519" s="85">
        <f>'JUL-26'!F76</f>
        <v>0</v>
      </c>
      <c r="H519" s="85">
        <f t="shared" si="0"/>
        <v>0</v>
      </c>
      <c r="I519" s="83" t="s">
        <v>101</v>
      </c>
      <c r="J519" s="83" t="str">
        <f t="shared" si="1"/>
        <v/>
      </c>
      <c r="K519" s="85">
        <f t="shared" si="2"/>
        <v>0</v>
      </c>
      <c r="L519" s="83" t="str">
        <f t="shared" si="3"/>
        <v/>
      </c>
      <c r="M519" s="83">
        <f>'JUL-26'!H76</f>
        <v>0</v>
      </c>
      <c r="N519" s="92" t="str">
        <f ca="1">IF(BD!$C519="","",IF(AND(TODAY()&gt;BD!$C519,OR(BD!$D519="PENDENTE",BD!$D519="")),"VENCIDO",""))</f>
        <v/>
      </c>
      <c r="O519" s="82" t="str">
        <f ca="1">IF(N519 = "VENCIDO",BD!$B519,"")</f>
        <v/>
      </c>
      <c r="P519" s="82" t="str">
        <f ca="1">IF(N519 = "VENCIDO",BD!$C519,"")</f>
        <v/>
      </c>
      <c r="Q519" s="83" t="str">
        <f ca="1">IF(N519 = "VENCIDO",BD!$E519,"")</f>
        <v/>
      </c>
      <c r="R519" s="83" t="str">
        <f ca="1">IF(N519 = "VENCIDO",BD!$F519,"")</f>
        <v/>
      </c>
      <c r="S519" s="85" t="str">
        <f ca="1">IF(N519 = "VENCIDO",BD!$G519,"")</f>
        <v/>
      </c>
      <c r="T519" s="83" t="str">
        <f ca="1">IF(AND(TODAY()&gt;BD!$C519, OR(BD!$D519="PENDENTE", BD!$D519="")), TODAY()-BD!$C519, "")</f>
        <v/>
      </c>
    </row>
    <row r="520" spans="1:20" ht="14.25" customHeight="1" x14ac:dyDescent="0.35">
      <c r="A520" s="32"/>
      <c r="B520" s="82">
        <f>'AGO-26'!A3</f>
        <v>0</v>
      </c>
      <c r="C520" s="82">
        <f>'AGO-26'!B3</f>
        <v>0</v>
      </c>
      <c r="D520" s="82">
        <f>'AGO-26'!C3</f>
        <v>0</v>
      </c>
      <c r="E520" s="83">
        <f>'AGO-26'!D3</f>
        <v>0</v>
      </c>
      <c r="F520" s="84">
        <f>'AGO-26'!E3</f>
        <v>0</v>
      </c>
      <c r="G520" s="85">
        <f>'AGO-26'!F3</f>
        <v>0</v>
      </c>
      <c r="H520" s="85">
        <f t="shared" si="0"/>
        <v>0</v>
      </c>
      <c r="I520" s="83" t="s">
        <v>102</v>
      </c>
      <c r="J520" s="83" t="str">
        <f t="shared" si="1"/>
        <v/>
      </c>
      <c r="K520" s="85">
        <f t="shared" si="2"/>
        <v>0</v>
      </c>
      <c r="L520" s="83" t="str">
        <f t="shared" si="3"/>
        <v/>
      </c>
      <c r="M520" s="83">
        <f>'AGO-26'!H3</f>
        <v>0</v>
      </c>
      <c r="N520" s="92" t="str">
        <f ca="1">IF(BD!$C520="","",IF(AND(TODAY()&gt;BD!$C520,OR(BD!$D520="PENDENTE",BD!$D520="")),"VENCIDO",""))</f>
        <v/>
      </c>
      <c r="O520" s="82" t="str">
        <f ca="1">IF(N520 = "VENCIDO",BD!$B520,"")</f>
        <v/>
      </c>
      <c r="P520" s="82" t="str">
        <f ca="1">IF(N520 = "VENCIDO",BD!$C520,"")</f>
        <v/>
      </c>
      <c r="Q520" s="83" t="str">
        <f ca="1">IF(N520 = "VENCIDO",BD!$E520,"")</f>
        <v/>
      </c>
      <c r="R520" s="83" t="str">
        <f ca="1">IF(N520 = "VENCIDO",BD!$F520,"")</f>
        <v/>
      </c>
      <c r="S520" s="85" t="str">
        <f ca="1">IF(N520 = "VENCIDO",BD!$G520,"")</f>
        <v/>
      </c>
      <c r="T520" s="83" t="str">
        <f ca="1">IF(AND(TODAY()&gt;BD!$C520, OR(BD!$D520="PENDENTE", BD!$D520="")), TODAY()-BD!$C520, "")</f>
        <v/>
      </c>
    </row>
    <row r="521" spans="1:20" ht="14.25" customHeight="1" x14ac:dyDescent="0.35">
      <c r="A521" s="32"/>
      <c r="B521" s="82">
        <f>'AGO-26'!A4</f>
        <v>0</v>
      </c>
      <c r="C521" s="82">
        <f>'AGO-26'!B4</f>
        <v>0</v>
      </c>
      <c r="D521" s="82">
        <f>'AGO-26'!C4</f>
        <v>0</v>
      </c>
      <c r="E521" s="83">
        <f>'AGO-26'!D4</f>
        <v>0</v>
      </c>
      <c r="F521" s="84">
        <f>'AGO-26'!E4</f>
        <v>0</v>
      </c>
      <c r="G521" s="85">
        <f>'AGO-26'!F4</f>
        <v>0</v>
      </c>
      <c r="H521" s="85">
        <f t="shared" si="0"/>
        <v>0</v>
      </c>
      <c r="I521" s="83" t="s">
        <v>102</v>
      </c>
      <c r="J521" s="83" t="str">
        <f t="shared" si="1"/>
        <v/>
      </c>
      <c r="K521" s="85">
        <f t="shared" si="2"/>
        <v>0</v>
      </c>
      <c r="L521" s="83" t="str">
        <f t="shared" si="3"/>
        <v/>
      </c>
      <c r="M521" s="83">
        <f>'AGO-26'!H4</f>
        <v>0</v>
      </c>
      <c r="N521" s="92" t="str">
        <f ca="1">IF(BD!$C521="","",IF(AND(TODAY()&gt;BD!$C521,OR(BD!$D521="PENDENTE",BD!$D521="")),"VENCIDO",""))</f>
        <v/>
      </c>
      <c r="O521" s="82" t="str">
        <f ca="1">IF(N521 = "VENCIDO",BD!$B521,"")</f>
        <v/>
      </c>
      <c r="P521" s="82" t="str">
        <f ca="1">IF(N521 = "VENCIDO",BD!$C521,"")</f>
        <v/>
      </c>
      <c r="Q521" s="83" t="str">
        <f ca="1">IF(N521 = "VENCIDO",BD!$E521,"")</f>
        <v/>
      </c>
      <c r="R521" s="83" t="str">
        <f ca="1">IF(N521 = "VENCIDO",BD!$F521,"")</f>
        <v/>
      </c>
      <c r="S521" s="85" t="str">
        <f ca="1">IF(N521 = "VENCIDO",BD!$G521,"")</f>
        <v/>
      </c>
      <c r="T521" s="83" t="str">
        <f ca="1">IF(AND(TODAY()&gt;BD!$C521, OR(BD!$D521="PENDENTE", BD!$D521="")), TODAY()-BD!$C521, "")</f>
        <v/>
      </c>
    </row>
    <row r="522" spans="1:20" ht="14.25" customHeight="1" x14ac:dyDescent="0.35">
      <c r="A522" s="32"/>
      <c r="B522" s="82">
        <f>'AGO-26'!A5</f>
        <v>0</v>
      </c>
      <c r="C522" s="82">
        <f>'AGO-26'!B5</f>
        <v>0</v>
      </c>
      <c r="D522" s="82">
        <f>'AGO-26'!C5</f>
        <v>0</v>
      </c>
      <c r="E522" s="83">
        <f>'AGO-26'!D5</f>
        <v>0</v>
      </c>
      <c r="F522" s="84">
        <f>'AGO-26'!E5</f>
        <v>0</v>
      </c>
      <c r="G522" s="85">
        <f>'AGO-26'!F5</f>
        <v>0</v>
      </c>
      <c r="H522" s="85">
        <f t="shared" si="0"/>
        <v>0</v>
      </c>
      <c r="I522" s="83" t="s">
        <v>102</v>
      </c>
      <c r="J522" s="83" t="str">
        <f t="shared" si="1"/>
        <v/>
      </c>
      <c r="K522" s="85">
        <f t="shared" si="2"/>
        <v>0</v>
      </c>
      <c r="L522" s="83" t="str">
        <f t="shared" si="3"/>
        <v/>
      </c>
      <c r="M522" s="83">
        <f>'AGO-26'!H5</f>
        <v>0</v>
      </c>
      <c r="N522" s="92" t="str">
        <f ca="1">IF(BD!$C522="","",IF(AND(TODAY()&gt;BD!$C522,OR(BD!$D522="PENDENTE",BD!$D522="")),"VENCIDO",""))</f>
        <v/>
      </c>
      <c r="O522" s="82" t="str">
        <f ca="1">IF(N522 = "VENCIDO",BD!$B522,"")</f>
        <v/>
      </c>
      <c r="P522" s="82" t="str">
        <f ca="1">IF(N522 = "VENCIDO",BD!$C522,"")</f>
        <v/>
      </c>
      <c r="Q522" s="83" t="str">
        <f ca="1">IF(N522 = "VENCIDO",BD!$E522,"")</f>
        <v/>
      </c>
      <c r="R522" s="83" t="str">
        <f ca="1">IF(N522 = "VENCIDO",BD!$F522,"")</f>
        <v/>
      </c>
      <c r="S522" s="85" t="str">
        <f ca="1">IF(N522 = "VENCIDO",BD!$G522,"")</f>
        <v/>
      </c>
      <c r="T522" s="83" t="str">
        <f ca="1">IF(AND(TODAY()&gt;BD!$C522, OR(BD!$D522="PENDENTE", BD!$D522="")), TODAY()-BD!$C522, "")</f>
        <v/>
      </c>
    </row>
    <row r="523" spans="1:20" ht="14.25" customHeight="1" x14ac:dyDescent="0.35">
      <c r="A523" s="32"/>
      <c r="B523" s="82">
        <f>'AGO-26'!A6</f>
        <v>0</v>
      </c>
      <c r="C523" s="82">
        <f>'AGO-26'!B6</f>
        <v>0</v>
      </c>
      <c r="D523" s="82">
        <f>'AGO-26'!C6</f>
        <v>0</v>
      </c>
      <c r="E523" s="83">
        <f>'AGO-26'!D6</f>
        <v>0</v>
      </c>
      <c r="F523" s="84">
        <f>'AGO-26'!E6</f>
        <v>0</v>
      </c>
      <c r="G523" s="85">
        <f>'AGO-26'!F6</f>
        <v>0</v>
      </c>
      <c r="H523" s="85">
        <f t="shared" si="0"/>
        <v>0</v>
      </c>
      <c r="I523" s="83" t="s">
        <v>102</v>
      </c>
      <c r="J523" s="83" t="str">
        <f t="shared" si="1"/>
        <v/>
      </c>
      <c r="K523" s="85">
        <f t="shared" si="2"/>
        <v>0</v>
      </c>
      <c r="L523" s="83" t="str">
        <f t="shared" si="3"/>
        <v/>
      </c>
      <c r="M523" s="83">
        <f>'AGO-26'!H6</f>
        <v>0</v>
      </c>
      <c r="N523" s="92" t="str">
        <f ca="1">IF(BD!$C523="","",IF(AND(TODAY()&gt;BD!$C523,OR(BD!$D523="PENDENTE",BD!$D523="")),"VENCIDO",""))</f>
        <v/>
      </c>
      <c r="O523" s="82" t="str">
        <f ca="1">IF(N523 = "VENCIDO",BD!$B523,"")</f>
        <v/>
      </c>
      <c r="P523" s="82" t="str">
        <f ca="1">IF(N523 = "VENCIDO",BD!$C523,"")</f>
        <v/>
      </c>
      <c r="Q523" s="83" t="str">
        <f ca="1">IF(N523 = "VENCIDO",BD!$E523,"")</f>
        <v/>
      </c>
      <c r="R523" s="83" t="str">
        <f ca="1">IF(N523 = "VENCIDO",BD!$F523,"")</f>
        <v/>
      </c>
      <c r="S523" s="85" t="str">
        <f ca="1">IF(N523 = "VENCIDO",BD!$G523,"")</f>
        <v/>
      </c>
      <c r="T523" s="83" t="str">
        <f ca="1">IF(AND(TODAY()&gt;BD!$C523, OR(BD!$D523="PENDENTE", BD!$D523="")), TODAY()-BD!$C523, "")</f>
        <v/>
      </c>
    </row>
    <row r="524" spans="1:20" ht="14.25" customHeight="1" x14ac:dyDescent="0.35">
      <c r="A524" s="32"/>
      <c r="B524" s="82">
        <f>'AGO-26'!A7</f>
        <v>0</v>
      </c>
      <c r="C524" s="82">
        <f>'AGO-26'!B7</f>
        <v>0</v>
      </c>
      <c r="D524" s="82">
        <f>'AGO-26'!C7</f>
        <v>0</v>
      </c>
      <c r="E524" s="83">
        <f>'AGO-26'!D7</f>
        <v>0</v>
      </c>
      <c r="F524" s="84">
        <f>'AGO-26'!E7</f>
        <v>0</v>
      </c>
      <c r="G524" s="85">
        <f>'AGO-26'!F7</f>
        <v>0</v>
      </c>
      <c r="H524" s="85">
        <f t="shared" si="0"/>
        <v>0</v>
      </c>
      <c r="I524" s="83" t="s">
        <v>102</v>
      </c>
      <c r="J524" s="83" t="str">
        <f t="shared" si="1"/>
        <v/>
      </c>
      <c r="K524" s="85">
        <f t="shared" si="2"/>
        <v>0</v>
      </c>
      <c r="L524" s="83" t="str">
        <f t="shared" si="3"/>
        <v/>
      </c>
      <c r="M524" s="83">
        <f>'AGO-26'!H7</f>
        <v>0</v>
      </c>
      <c r="N524" s="92" t="str">
        <f ca="1">IF(BD!$C524="","",IF(AND(TODAY()&gt;BD!$C524,OR(BD!$D524="PENDENTE",BD!$D524="")),"VENCIDO",""))</f>
        <v/>
      </c>
      <c r="O524" s="82" t="str">
        <f ca="1">IF(N524 = "VENCIDO",BD!$B524,"")</f>
        <v/>
      </c>
      <c r="P524" s="82" t="str">
        <f ca="1">IF(N524 = "VENCIDO",BD!$C524,"")</f>
        <v/>
      </c>
      <c r="Q524" s="83" t="str">
        <f ca="1">IF(N524 = "VENCIDO",BD!$E524,"")</f>
        <v/>
      </c>
      <c r="R524" s="83" t="str">
        <f ca="1">IF(N524 = "VENCIDO",BD!$F524,"")</f>
        <v/>
      </c>
      <c r="S524" s="85" t="str">
        <f ca="1">IF(N524 = "VENCIDO",BD!$G524,"")</f>
        <v/>
      </c>
      <c r="T524" s="83" t="str">
        <f ca="1">IF(AND(TODAY()&gt;BD!$C524, OR(BD!$D524="PENDENTE", BD!$D524="")), TODAY()-BD!$C524, "")</f>
        <v/>
      </c>
    </row>
    <row r="525" spans="1:20" ht="14.25" customHeight="1" x14ac:dyDescent="0.35">
      <c r="A525" s="32"/>
      <c r="B525" s="82">
        <f>'AGO-26'!A8</f>
        <v>0</v>
      </c>
      <c r="C525" s="82">
        <f>'AGO-26'!B8</f>
        <v>0</v>
      </c>
      <c r="D525" s="82">
        <f>'AGO-26'!C8</f>
        <v>0</v>
      </c>
      <c r="E525" s="83">
        <f>'AGO-26'!D8</f>
        <v>0</v>
      </c>
      <c r="F525" s="84">
        <f>'AGO-26'!E8</f>
        <v>0</v>
      </c>
      <c r="G525" s="85">
        <f>'AGO-26'!F8</f>
        <v>0</v>
      </c>
      <c r="H525" s="85">
        <f t="shared" si="0"/>
        <v>0</v>
      </c>
      <c r="I525" s="83" t="s">
        <v>102</v>
      </c>
      <c r="J525" s="83" t="str">
        <f t="shared" si="1"/>
        <v/>
      </c>
      <c r="K525" s="85">
        <f t="shared" si="2"/>
        <v>0</v>
      </c>
      <c r="L525" s="83" t="str">
        <f t="shared" si="3"/>
        <v/>
      </c>
      <c r="M525" s="83">
        <f>'AGO-26'!H8</f>
        <v>0</v>
      </c>
      <c r="N525" s="92" t="str">
        <f ca="1">IF(BD!$C525="","",IF(AND(TODAY()&gt;BD!$C525,OR(BD!$D525="PENDENTE",BD!$D525="")),"VENCIDO",""))</f>
        <v/>
      </c>
      <c r="O525" s="82" t="str">
        <f ca="1">IF(N525 = "VENCIDO",BD!$B525,"")</f>
        <v/>
      </c>
      <c r="P525" s="82" t="str">
        <f ca="1">IF(N525 = "VENCIDO",BD!$C525,"")</f>
        <v/>
      </c>
      <c r="Q525" s="83" t="str">
        <f ca="1">IF(N525 = "VENCIDO",BD!$E525,"")</f>
        <v/>
      </c>
      <c r="R525" s="83" t="str">
        <f ca="1">IF(N525 = "VENCIDO",BD!$F525,"")</f>
        <v/>
      </c>
      <c r="S525" s="85" t="str">
        <f ca="1">IF(N525 = "VENCIDO",BD!$G525,"")</f>
        <v/>
      </c>
      <c r="T525" s="83" t="str">
        <f ca="1">IF(AND(TODAY()&gt;BD!$C525, OR(BD!$D525="PENDENTE", BD!$D525="")), TODAY()-BD!$C525, "")</f>
        <v/>
      </c>
    </row>
    <row r="526" spans="1:20" ht="14.25" customHeight="1" x14ac:dyDescent="0.35">
      <c r="A526" s="32"/>
      <c r="B526" s="82">
        <f>'AGO-26'!A9</f>
        <v>0</v>
      </c>
      <c r="C526" s="82">
        <f>'AGO-26'!B9</f>
        <v>0</v>
      </c>
      <c r="D526" s="82">
        <f>'AGO-26'!C9</f>
        <v>0</v>
      </c>
      <c r="E526" s="83">
        <f>'AGO-26'!D9</f>
        <v>0</v>
      </c>
      <c r="F526" s="84">
        <f>'AGO-26'!E9</f>
        <v>0</v>
      </c>
      <c r="G526" s="85">
        <f>'AGO-26'!F9</f>
        <v>0</v>
      </c>
      <c r="H526" s="85">
        <f t="shared" si="0"/>
        <v>0</v>
      </c>
      <c r="I526" s="83" t="s">
        <v>102</v>
      </c>
      <c r="J526" s="83" t="str">
        <f t="shared" si="1"/>
        <v/>
      </c>
      <c r="K526" s="85">
        <f t="shared" si="2"/>
        <v>0</v>
      </c>
      <c r="L526" s="83" t="str">
        <f t="shared" si="3"/>
        <v/>
      </c>
      <c r="M526" s="83">
        <f>'AGO-26'!H9</f>
        <v>0</v>
      </c>
      <c r="N526" s="92" t="str">
        <f ca="1">IF(BD!$C526="","",IF(AND(TODAY()&gt;BD!$C526,OR(BD!$D526="PENDENTE",BD!$D526="")),"VENCIDO",""))</f>
        <v/>
      </c>
      <c r="O526" s="82" t="str">
        <f ca="1">IF(N526 = "VENCIDO",BD!$B526,"")</f>
        <v/>
      </c>
      <c r="P526" s="82" t="str">
        <f ca="1">IF(N526 = "VENCIDO",BD!$C526,"")</f>
        <v/>
      </c>
      <c r="Q526" s="83" t="str">
        <f ca="1">IF(N526 = "VENCIDO",BD!$E526,"")</f>
        <v/>
      </c>
      <c r="R526" s="83" t="str">
        <f ca="1">IF(N526 = "VENCIDO",BD!$F526,"")</f>
        <v/>
      </c>
      <c r="S526" s="85" t="str">
        <f ca="1">IF(N526 = "VENCIDO",BD!$G526,"")</f>
        <v/>
      </c>
      <c r="T526" s="83" t="str">
        <f ca="1">IF(AND(TODAY()&gt;BD!$C526, OR(BD!$D526="PENDENTE", BD!$D526="")), TODAY()-BD!$C526, "")</f>
        <v/>
      </c>
    </row>
    <row r="527" spans="1:20" ht="14.25" customHeight="1" x14ac:dyDescent="0.35">
      <c r="A527" s="32"/>
      <c r="B527" s="82">
        <f>'AGO-26'!A10</f>
        <v>0</v>
      </c>
      <c r="C527" s="82">
        <f>'AGO-26'!B10</f>
        <v>0</v>
      </c>
      <c r="D527" s="82">
        <f>'AGO-26'!C10</f>
        <v>0</v>
      </c>
      <c r="E527" s="83">
        <f>'AGO-26'!D10</f>
        <v>0</v>
      </c>
      <c r="F527" s="84">
        <f>'AGO-26'!E10</f>
        <v>0</v>
      </c>
      <c r="G527" s="85">
        <f>'AGO-26'!F10</f>
        <v>0</v>
      </c>
      <c r="H527" s="85">
        <f t="shared" si="0"/>
        <v>0</v>
      </c>
      <c r="I527" s="83" t="s">
        <v>102</v>
      </c>
      <c r="J527" s="83" t="str">
        <f t="shared" si="1"/>
        <v/>
      </c>
      <c r="K527" s="85">
        <f t="shared" si="2"/>
        <v>0</v>
      </c>
      <c r="L527" s="83" t="str">
        <f t="shared" si="3"/>
        <v/>
      </c>
      <c r="M527" s="83">
        <f>'AGO-26'!H10</f>
        <v>0</v>
      </c>
      <c r="N527" s="92" t="str">
        <f ca="1">IF(BD!$C527="","",IF(AND(TODAY()&gt;BD!$C527,OR(BD!$D527="PENDENTE",BD!$D527="")),"VENCIDO",""))</f>
        <v/>
      </c>
      <c r="O527" s="82" t="str">
        <f ca="1">IF(N527 = "VENCIDO",BD!$B527,"")</f>
        <v/>
      </c>
      <c r="P527" s="82" t="str">
        <f ca="1">IF(N527 = "VENCIDO",BD!$C527,"")</f>
        <v/>
      </c>
      <c r="Q527" s="83" t="str">
        <f ca="1">IF(N527 = "VENCIDO",BD!$E527,"")</f>
        <v/>
      </c>
      <c r="R527" s="83" t="str">
        <f ca="1">IF(N527 = "VENCIDO",BD!$F527,"")</f>
        <v/>
      </c>
      <c r="S527" s="85" t="str">
        <f ca="1">IF(N527 = "VENCIDO",BD!$G527,"")</f>
        <v/>
      </c>
      <c r="T527" s="83" t="str">
        <f ca="1">IF(AND(TODAY()&gt;BD!$C527, OR(BD!$D527="PENDENTE", BD!$D527="")), TODAY()-BD!$C527, "")</f>
        <v/>
      </c>
    </row>
    <row r="528" spans="1:20" ht="14.25" customHeight="1" x14ac:dyDescent="0.35">
      <c r="A528" s="32"/>
      <c r="B528" s="82">
        <f>'AGO-26'!A11</f>
        <v>0</v>
      </c>
      <c r="C528" s="82">
        <f>'AGO-26'!B11</f>
        <v>0</v>
      </c>
      <c r="D528" s="82">
        <f>'AGO-26'!C11</f>
        <v>0</v>
      </c>
      <c r="E528" s="83">
        <f>'AGO-26'!D11</f>
        <v>0</v>
      </c>
      <c r="F528" s="84">
        <f>'AGO-26'!E11</f>
        <v>0</v>
      </c>
      <c r="G528" s="85">
        <f>'AGO-26'!F11</f>
        <v>0</v>
      </c>
      <c r="H528" s="85">
        <f t="shared" si="0"/>
        <v>0</v>
      </c>
      <c r="I528" s="83" t="s">
        <v>102</v>
      </c>
      <c r="J528" s="83" t="str">
        <f t="shared" si="1"/>
        <v/>
      </c>
      <c r="K528" s="85">
        <f t="shared" si="2"/>
        <v>0</v>
      </c>
      <c r="L528" s="83" t="str">
        <f t="shared" si="3"/>
        <v/>
      </c>
      <c r="M528" s="83">
        <f>'AGO-26'!H11</f>
        <v>0</v>
      </c>
      <c r="N528" s="92" t="str">
        <f ca="1">IF(BD!$C528="","",IF(AND(TODAY()&gt;BD!$C528,OR(BD!$D528="PENDENTE",BD!$D528="")),"VENCIDO",""))</f>
        <v/>
      </c>
      <c r="O528" s="82" t="str">
        <f ca="1">IF(N528 = "VENCIDO",BD!$B528,"")</f>
        <v/>
      </c>
      <c r="P528" s="82" t="str">
        <f ca="1">IF(N528 = "VENCIDO",BD!$C528,"")</f>
        <v/>
      </c>
      <c r="Q528" s="83" t="str">
        <f ca="1">IF(N528 = "VENCIDO",BD!$E528,"")</f>
        <v/>
      </c>
      <c r="R528" s="83" t="str">
        <f ca="1">IF(N528 = "VENCIDO",BD!$F528,"")</f>
        <v/>
      </c>
      <c r="S528" s="85" t="str">
        <f ca="1">IF(N528 = "VENCIDO",BD!$G528,"")</f>
        <v/>
      </c>
      <c r="T528" s="83" t="str">
        <f ca="1">IF(AND(TODAY()&gt;BD!$C528, OR(BD!$D528="PENDENTE", BD!$D528="")), TODAY()-BD!$C528, "")</f>
        <v/>
      </c>
    </row>
    <row r="529" spans="1:20" ht="14.25" customHeight="1" x14ac:dyDescent="0.35">
      <c r="A529" s="32"/>
      <c r="B529" s="82">
        <f>'AGO-26'!A12</f>
        <v>0</v>
      </c>
      <c r="C529" s="82">
        <f>'AGO-26'!B12</f>
        <v>0</v>
      </c>
      <c r="D529" s="82">
        <f>'AGO-26'!C12</f>
        <v>0</v>
      </c>
      <c r="E529" s="83">
        <f>'AGO-26'!D12</f>
        <v>0</v>
      </c>
      <c r="F529" s="84">
        <f>'AGO-26'!E12</f>
        <v>0</v>
      </c>
      <c r="G529" s="85">
        <f>'AGO-26'!F12</f>
        <v>0</v>
      </c>
      <c r="H529" s="85">
        <f t="shared" si="0"/>
        <v>0</v>
      </c>
      <c r="I529" s="83" t="s">
        <v>102</v>
      </c>
      <c r="J529" s="83" t="str">
        <f t="shared" si="1"/>
        <v/>
      </c>
      <c r="K529" s="85">
        <f t="shared" si="2"/>
        <v>0</v>
      </c>
      <c r="L529" s="83" t="str">
        <f t="shared" si="3"/>
        <v/>
      </c>
      <c r="M529" s="83">
        <f>'AGO-26'!H12</f>
        <v>0</v>
      </c>
      <c r="N529" s="92" t="str">
        <f ca="1">IF(BD!$C529="","",IF(AND(TODAY()&gt;BD!$C529,OR(BD!$D529="PENDENTE",BD!$D529="")),"VENCIDO",""))</f>
        <v/>
      </c>
      <c r="O529" s="82" t="str">
        <f ca="1">IF(N529 = "VENCIDO",BD!$B529,"")</f>
        <v/>
      </c>
      <c r="P529" s="82" t="str">
        <f ca="1">IF(N529 = "VENCIDO",BD!$C529,"")</f>
        <v/>
      </c>
      <c r="Q529" s="83" t="str">
        <f ca="1">IF(N529 = "VENCIDO",BD!$E529,"")</f>
        <v/>
      </c>
      <c r="R529" s="83" t="str">
        <f ca="1">IF(N529 = "VENCIDO",BD!$F529,"")</f>
        <v/>
      </c>
      <c r="S529" s="85" t="str">
        <f ca="1">IF(N529 = "VENCIDO",BD!$G529,"")</f>
        <v/>
      </c>
      <c r="T529" s="83" t="str">
        <f ca="1">IF(AND(TODAY()&gt;BD!$C529, OR(BD!$D529="PENDENTE", BD!$D529="")), TODAY()-BD!$C529, "")</f>
        <v/>
      </c>
    </row>
    <row r="530" spans="1:20" ht="14.25" customHeight="1" x14ac:dyDescent="0.35">
      <c r="A530" s="32"/>
      <c r="B530" s="82">
        <f>'AGO-26'!A13</f>
        <v>0</v>
      </c>
      <c r="C530" s="82">
        <f>'AGO-26'!B13</f>
        <v>0</v>
      </c>
      <c r="D530" s="82">
        <f>'AGO-26'!C13</f>
        <v>0</v>
      </c>
      <c r="E530" s="83">
        <f>'AGO-26'!D13</f>
        <v>0</v>
      </c>
      <c r="F530" s="84">
        <f>'AGO-26'!E13</f>
        <v>0</v>
      </c>
      <c r="G530" s="85">
        <f>'AGO-26'!F13</f>
        <v>0</v>
      </c>
      <c r="H530" s="85">
        <f t="shared" si="0"/>
        <v>0</v>
      </c>
      <c r="I530" s="83" t="s">
        <v>102</v>
      </c>
      <c r="J530" s="83" t="str">
        <f t="shared" si="1"/>
        <v/>
      </c>
      <c r="K530" s="85">
        <f t="shared" si="2"/>
        <v>0</v>
      </c>
      <c r="L530" s="83" t="str">
        <f t="shared" si="3"/>
        <v/>
      </c>
      <c r="M530" s="83">
        <f>'AGO-26'!H13</f>
        <v>0</v>
      </c>
      <c r="N530" s="92" t="str">
        <f ca="1">IF(BD!$C530="","",IF(AND(TODAY()&gt;BD!$C530,OR(BD!$D530="PENDENTE",BD!$D530="")),"VENCIDO",""))</f>
        <v/>
      </c>
      <c r="O530" s="82" t="str">
        <f ca="1">IF(N530 = "VENCIDO",BD!$B530,"")</f>
        <v/>
      </c>
      <c r="P530" s="82" t="str">
        <f ca="1">IF(N530 = "VENCIDO",BD!$C530,"")</f>
        <v/>
      </c>
      <c r="Q530" s="83" t="str">
        <f ca="1">IF(N530 = "VENCIDO",BD!$E530,"")</f>
        <v/>
      </c>
      <c r="R530" s="83" t="str">
        <f ca="1">IF(N530 = "VENCIDO",BD!$F530,"")</f>
        <v/>
      </c>
      <c r="S530" s="85" t="str">
        <f ca="1">IF(N530 = "VENCIDO",BD!$G530,"")</f>
        <v/>
      </c>
      <c r="T530" s="83" t="str">
        <f ca="1">IF(AND(TODAY()&gt;BD!$C530, OR(BD!$D530="PENDENTE", BD!$D530="")), TODAY()-BD!$C530, "")</f>
        <v/>
      </c>
    </row>
    <row r="531" spans="1:20" ht="14.25" customHeight="1" x14ac:dyDescent="0.35">
      <c r="A531" s="32"/>
      <c r="B531" s="82">
        <f>'AGO-26'!A14</f>
        <v>0</v>
      </c>
      <c r="C531" s="82">
        <f>'AGO-26'!B14</f>
        <v>0</v>
      </c>
      <c r="D531" s="82">
        <f>'AGO-26'!C14</f>
        <v>0</v>
      </c>
      <c r="E531" s="83">
        <f>'AGO-26'!D14</f>
        <v>0</v>
      </c>
      <c r="F531" s="84">
        <f>'AGO-26'!E14</f>
        <v>0</v>
      </c>
      <c r="G531" s="85">
        <f>'AGO-26'!F14</f>
        <v>0</v>
      </c>
      <c r="H531" s="85">
        <f t="shared" si="0"/>
        <v>0</v>
      </c>
      <c r="I531" s="83" t="s">
        <v>102</v>
      </c>
      <c r="J531" s="83" t="str">
        <f t="shared" si="1"/>
        <v/>
      </c>
      <c r="K531" s="85">
        <f t="shared" si="2"/>
        <v>0</v>
      </c>
      <c r="L531" s="83" t="str">
        <f t="shared" si="3"/>
        <v/>
      </c>
      <c r="M531" s="83">
        <f>'AGO-26'!H14</f>
        <v>0</v>
      </c>
      <c r="N531" s="92" t="str">
        <f ca="1">IF(BD!$C531="","",IF(AND(TODAY()&gt;BD!$C531,OR(BD!$D531="PENDENTE",BD!$D531="")),"VENCIDO",""))</f>
        <v/>
      </c>
      <c r="O531" s="82" t="str">
        <f ca="1">IF(N531 = "VENCIDO",BD!$B531,"")</f>
        <v/>
      </c>
      <c r="P531" s="82" t="str">
        <f ca="1">IF(N531 = "VENCIDO",BD!$C531,"")</f>
        <v/>
      </c>
      <c r="Q531" s="83" t="str">
        <f ca="1">IF(N531 = "VENCIDO",BD!$E531,"")</f>
        <v/>
      </c>
      <c r="R531" s="83" t="str">
        <f ca="1">IF(N531 = "VENCIDO",BD!$F531,"")</f>
        <v/>
      </c>
      <c r="S531" s="85" t="str">
        <f ca="1">IF(N531 = "VENCIDO",BD!$G531,"")</f>
        <v/>
      </c>
      <c r="T531" s="83" t="str">
        <f ca="1">IF(AND(TODAY()&gt;BD!$C531, OR(BD!$D531="PENDENTE", BD!$D531="")), TODAY()-BD!$C531, "")</f>
        <v/>
      </c>
    </row>
    <row r="532" spans="1:20" ht="14.25" customHeight="1" x14ac:dyDescent="0.35">
      <c r="A532" s="32"/>
      <c r="B532" s="82">
        <f>'AGO-26'!A15</f>
        <v>0</v>
      </c>
      <c r="C532" s="82">
        <f>'AGO-26'!B15</f>
        <v>0</v>
      </c>
      <c r="D532" s="82">
        <f>'AGO-26'!C15</f>
        <v>0</v>
      </c>
      <c r="E532" s="83">
        <f>'AGO-26'!D15</f>
        <v>0</v>
      </c>
      <c r="F532" s="84">
        <f>'AGO-26'!E15</f>
        <v>0</v>
      </c>
      <c r="G532" s="85">
        <f>'AGO-26'!F15</f>
        <v>0</v>
      </c>
      <c r="H532" s="85">
        <f t="shared" si="0"/>
        <v>0</v>
      </c>
      <c r="I532" s="83" t="s">
        <v>102</v>
      </c>
      <c r="J532" s="83" t="str">
        <f t="shared" si="1"/>
        <v/>
      </c>
      <c r="K532" s="85">
        <f t="shared" si="2"/>
        <v>0</v>
      </c>
      <c r="L532" s="83" t="str">
        <f t="shared" si="3"/>
        <v/>
      </c>
      <c r="M532" s="83">
        <f>'AGO-26'!H15</f>
        <v>0</v>
      </c>
      <c r="N532" s="92" t="str">
        <f ca="1">IF(BD!$C532="","",IF(AND(TODAY()&gt;BD!$C532,OR(BD!$D532="PENDENTE",BD!$D532="")),"VENCIDO",""))</f>
        <v/>
      </c>
      <c r="O532" s="82" t="str">
        <f ca="1">IF(N532 = "VENCIDO",BD!$B532,"")</f>
        <v/>
      </c>
      <c r="P532" s="82" t="str">
        <f ca="1">IF(N532 = "VENCIDO",BD!$C532,"")</f>
        <v/>
      </c>
      <c r="Q532" s="83" t="str">
        <f ca="1">IF(N532 = "VENCIDO",BD!$E532,"")</f>
        <v/>
      </c>
      <c r="R532" s="83" t="str">
        <f ca="1">IF(N532 = "VENCIDO",BD!$F532,"")</f>
        <v/>
      </c>
      <c r="S532" s="85" t="str">
        <f ca="1">IF(N532 = "VENCIDO",BD!$G532,"")</f>
        <v/>
      </c>
      <c r="T532" s="83" t="str">
        <f ca="1">IF(AND(TODAY()&gt;BD!$C532, OR(BD!$D532="PENDENTE", BD!$D532="")), TODAY()-BD!$C532, "")</f>
        <v/>
      </c>
    </row>
    <row r="533" spans="1:20" ht="14.25" customHeight="1" x14ac:dyDescent="0.35">
      <c r="A533" s="32"/>
      <c r="B533" s="82">
        <f>'AGO-26'!A16</f>
        <v>0</v>
      </c>
      <c r="C533" s="82">
        <f>'AGO-26'!B16</f>
        <v>0</v>
      </c>
      <c r="D533" s="82">
        <f>'AGO-26'!C16</f>
        <v>0</v>
      </c>
      <c r="E533" s="83">
        <f>'AGO-26'!D16</f>
        <v>0</v>
      </c>
      <c r="F533" s="84">
        <f>'AGO-26'!E16</f>
        <v>0</v>
      </c>
      <c r="G533" s="85">
        <f>'AGO-26'!F16</f>
        <v>0</v>
      </c>
      <c r="H533" s="85">
        <f t="shared" si="0"/>
        <v>0</v>
      </c>
      <c r="I533" s="83" t="s">
        <v>102</v>
      </c>
      <c r="J533" s="83" t="str">
        <f t="shared" si="1"/>
        <v/>
      </c>
      <c r="K533" s="85">
        <f t="shared" si="2"/>
        <v>0</v>
      </c>
      <c r="L533" s="83" t="str">
        <f t="shared" si="3"/>
        <v/>
      </c>
      <c r="M533" s="83">
        <f>'AGO-26'!H16</f>
        <v>0</v>
      </c>
      <c r="N533" s="92" t="str">
        <f ca="1">IF(BD!$C533="","",IF(AND(TODAY()&gt;BD!$C533,OR(BD!$D533="PENDENTE",BD!$D533="")),"VENCIDO",""))</f>
        <v/>
      </c>
      <c r="O533" s="82" t="str">
        <f ca="1">IF(N533 = "VENCIDO",BD!$B533,"")</f>
        <v/>
      </c>
      <c r="P533" s="82" t="str">
        <f ca="1">IF(N533 = "VENCIDO",BD!$C533,"")</f>
        <v/>
      </c>
      <c r="Q533" s="83" t="str">
        <f ca="1">IF(N533 = "VENCIDO",BD!$E533,"")</f>
        <v/>
      </c>
      <c r="R533" s="83" t="str">
        <f ca="1">IF(N533 = "VENCIDO",BD!$F533,"")</f>
        <v/>
      </c>
      <c r="S533" s="85" t="str">
        <f ca="1">IF(N533 = "VENCIDO",BD!$G533,"")</f>
        <v/>
      </c>
      <c r="T533" s="83" t="str">
        <f ca="1">IF(AND(TODAY()&gt;BD!$C533, OR(BD!$D533="PENDENTE", BD!$D533="")), TODAY()-BD!$C533, "")</f>
        <v/>
      </c>
    </row>
    <row r="534" spans="1:20" ht="14.25" customHeight="1" x14ac:dyDescent="0.35">
      <c r="A534" s="32"/>
      <c r="B534" s="82">
        <f>'AGO-26'!A17</f>
        <v>0</v>
      </c>
      <c r="C534" s="82">
        <f>'AGO-26'!B17</f>
        <v>0</v>
      </c>
      <c r="D534" s="82">
        <f>'AGO-26'!C17</f>
        <v>0</v>
      </c>
      <c r="E534" s="83">
        <f>'AGO-26'!D17</f>
        <v>0</v>
      </c>
      <c r="F534" s="84">
        <f>'AGO-26'!E17</f>
        <v>0</v>
      </c>
      <c r="G534" s="85">
        <f>'AGO-26'!F17</f>
        <v>0</v>
      </c>
      <c r="H534" s="85">
        <f t="shared" si="0"/>
        <v>0</v>
      </c>
      <c r="I534" s="83" t="s">
        <v>102</v>
      </c>
      <c r="J534" s="83" t="str">
        <f t="shared" si="1"/>
        <v/>
      </c>
      <c r="K534" s="85">
        <f t="shared" si="2"/>
        <v>0</v>
      </c>
      <c r="L534" s="83" t="str">
        <f t="shared" si="3"/>
        <v/>
      </c>
      <c r="M534" s="83">
        <f>'AGO-26'!H17</f>
        <v>0</v>
      </c>
      <c r="N534" s="92" t="str">
        <f ca="1">IF(BD!$C534="","",IF(AND(TODAY()&gt;BD!$C534,OR(BD!$D534="PENDENTE",BD!$D534="")),"VENCIDO",""))</f>
        <v/>
      </c>
      <c r="O534" s="82" t="str">
        <f ca="1">IF(N534 = "VENCIDO",BD!$B534,"")</f>
        <v/>
      </c>
      <c r="P534" s="82" t="str">
        <f ca="1">IF(N534 = "VENCIDO",BD!$C534,"")</f>
        <v/>
      </c>
      <c r="Q534" s="83" t="str">
        <f ca="1">IF(N534 = "VENCIDO",BD!$E534,"")</f>
        <v/>
      </c>
      <c r="R534" s="83" t="str">
        <f ca="1">IF(N534 = "VENCIDO",BD!$F534,"")</f>
        <v/>
      </c>
      <c r="S534" s="85" t="str">
        <f ca="1">IF(N534 = "VENCIDO",BD!$G534,"")</f>
        <v/>
      </c>
      <c r="T534" s="83" t="str">
        <f ca="1">IF(AND(TODAY()&gt;BD!$C534, OR(BD!$D534="PENDENTE", BD!$D534="")), TODAY()-BD!$C534, "")</f>
        <v/>
      </c>
    </row>
    <row r="535" spans="1:20" ht="14.25" customHeight="1" x14ac:dyDescent="0.35">
      <c r="A535" s="32"/>
      <c r="B535" s="82">
        <f>'AGO-26'!A18</f>
        <v>0</v>
      </c>
      <c r="C535" s="82">
        <f>'AGO-26'!B18</f>
        <v>0</v>
      </c>
      <c r="D535" s="82">
        <f>'AGO-26'!C18</f>
        <v>0</v>
      </c>
      <c r="E535" s="83">
        <f>'AGO-26'!D18</f>
        <v>0</v>
      </c>
      <c r="F535" s="84">
        <f>'AGO-26'!E18</f>
        <v>0</v>
      </c>
      <c r="G535" s="85">
        <f>'AGO-26'!F18</f>
        <v>0</v>
      </c>
      <c r="H535" s="85">
        <f t="shared" si="0"/>
        <v>0</v>
      </c>
      <c r="I535" s="83" t="s">
        <v>102</v>
      </c>
      <c r="J535" s="83" t="str">
        <f t="shared" si="1"/>
        <v/>
      </c>
      <c r="K535" s="85">
        <f t="shared" si="2"/>
        <v>0</v>
      </c>
      <c r="L535" s="83" t="str">
        <f t="shared" si="3"/>
        <v/>
      </c>
      <c r="M535" s="83">
        <f>'AGO-26'!H18</f>
        <v>0</v>
      </c>
      <c r="N535" s="92" t="str">
        <f ca="1">IF(BD!$C535="","",IF(AND(TODAY()&gt;BD!$C535,OR(BD!$D535="PENDENTE",BD!$D535="")),"VENCIDO",""))</f>
        <v/>
      </c>
      <c r="O535" s="82" t="str">
        <f ca="1">IF(N535 = "VENCIDO",BD!$B535,"")</f>
        <v/>
      </c>
      <c r="P535" s="82" t="str">
        <f ca="1">IF(N535 = "VENCIDO",BD!$C535,"")</f>
        <v/>
      </c>
      <c r="Q535" s="83" t="str">
        <f ca="1">IF(N535 = "VENCIDO",BD!$E535,"")</f>
        <v/>
      </c>
      <c r="R535" s="83" t="str">
        <f ca="1">IF(N535 = "VENCIDO",BD!$F535,"")</f>
        <v/>
      </c>
      <c r="S535" s="85" t="str">
        <f ca="1">IF(N535 = "VENCIDO",BD!$G535,"")</f>
        <v/>
      </c>
      <c r="T535" s="83" t="str">
        <f ca="1">IF(AND(TODAY()&gt;BD!$C535, OR(BD!$D535="PENDENTE", BD!$D535="")), TODAY()-BD!$C535, "")</f>
        <v/>
      </c>
    </row>
    <row r="536" spans="1:20" ht="14.25" customHeight="1" x14ac:dyDescent="0.35">
      <c r="A536" s="32"/>
      <c r="B536" s="82">
        <f>'AGO-26'!A19</f>
        <v>0</v>
      </c>
      <c r="C536" s="82">
        <f>'AGO-26'!B19</f>
        <v>0</v>
      </c>
      <c r="D536" s="82">
        <f>'AGO-26'!C19</f>
        <v>0</v>
      </c>
      <c r="E536" s="83">
        <f>'AGO-26'!D19</f>
        <v>0</v>
      </c>
      <c r="F536" s="84">
        <f>'AGO-26'!E19</f>
        <v>0</v>
      </c>
      <c r="G536" s="85">
        <f>'AGO-26'!F19</f>
        <v>0</v>
      </c>
      <c r="H536" s="85">
        <f t="shared" si="0"/>
        <v>0</v>
      </c>
      <c r="I536" s="83" t="s">
        <v>102</v>
      </c>
      <c r="J536" s="83" t="str">
        <f t="shared" si="1"/>
        <v/>
      </c>
      <c r="K536" s="85">
        <f t="shared" si="2"/>
        <v>0</v>
      </c>
      <c r="L536" s="83" t="str">
        <f t="shared" si="3"/>
        <v/>
      </c>
      <c r="M536" s="83">
        <f>'AGO-26'!H19</f>
        <v>0</v>
      </c>
      <c r="N536" s="92" t="str">
        <f ca="1">IF(BD!$C536="","",IF(AND(TODAY()&gt;BD!$C536,OR(BD!$D536="PENDENTE",BD!$D536="")),"VENCIDO",""))</f>
        <v/>
      </c>
      <c r="O536" s="82" t="str">
        <f ca="1">IF(N536 = "VENCIDO",BD!$B536,"")</f>
        <v/>
      </c>
      <c r="P536" s="82" t="str">
        <f ca="1">IF(N536 = "VENCIDO",BD!$C536,"")</f>
        <v/>
      </c>
      <c r="Q536" s="83" t="str">
        <f ca="1">IF(N536 = "VENCIDO",BD!$E536,"")</f>
        <v/>
      </c>
      <c r="R536" s="83" t="str">
        <f ca="1">IF(N536 = "VENCIDO",BD!$F536,"")</f>
        <v/>
      </c>
      <c r="S536" s="85" t="str">
        <f ca="1">IF(N536 = "VENCIDO",BD!$G536,"")</f>
        <v/>
      </c>
      <c r="T536" s="83" t="str">
        <f ca="1">IF(AND(TODAY()&gt;BD!$C536, OR(BD!$D536="PENDENTE", BD!$D536="")), TODAY()-BD!$C536, "")</f>
        <v/>
      </c>
    </row>
    <row r="537" spans="1:20" ht="14.25" customHeight="1" x14ac:dyDescent="0.35">
      <c r="A537" s="32"/>
      <c r="B537" s="82">
        <f>'AGO-26'!A20</f>
        <v>0</v>
      </c>
      <c r="C537" s="82">
        <f>'AGO-26'!B20</f>
        <v>0</v>
      </c>
      <c r="D537" s="82">
        <f>'AGO-26'!C20</f>
        <v>0</v>
      </c>
      <c r="E537" s="83">
        <f>'AGO-26'!D20</f>
        <v>0</v>
      </c>
      <c r="F537" s="84">
        <f>'AGO-26'!E20</f>
        <v>0</v>
      </c>
      <c r="G537" s="85">
        <f>'AGO-26'!F20</f>
        <v>0</v>
      </c>
      <c r="H537" s="85">
        <f t="shared" si="0"/>
        <v>0</v>
      </c>
      <c r="I537" s="83" t="s">
        <v>102</v>
      </c>
      <c r="J537" s="83" t="str">
        <f t="shared" si="1"/>
        <v/>
      </c>
      <c r="K537" s="85">
        <f t="shared" si="2"/>
        <v>0</v>
      </c>
      <c r="L537" s="83" t="str">
        <f t="shared" si="3"/>
        <v/>
      </c>
      <c r="M537" s="83">
        <f>'AGO-26'!H20</f>
        <v>0</v>
      </c>
      <c r="N537" s="92" t="str">
        <f ca="1">IF(BD!$C537="","",IF(AND(TODAY()&gt;BD!$C537,OR(BD!$D537="PENDENTE",BD!$D537="")),"VENCIDO",""))</f>
        <v/>
      </c>
      <c r="O537" s="82" t="str">
        <f ca="1">IF(N537 = "VENCIDO",BD!$B537,"")</f>
        <v/>
      </c>
      <c r="P537" s="82" t="str">
        <f ca="1">IF(N537 = "VENCIDO",BD!$C537,"")</f>
        <v/>
      </c>
      <c r="Q537" s="83" t="str">
        <f ca="1">IF(N537 = "VENCIDO",BD!$E537,"")</f>
        <v/>
      </c>
      <c r="R537" s="83" t="str">
        <f ca="1">IF(N537 = "VENCIDO",BD!$F537,"")</f>
        <v/>
      </c>
      <c r="S537" s="85" t="str">
        <f ca="1">IF(N537 = "VENCIDO",BD!$G537,"")</f>
        <v/>
      </c>
      <c r="T537" s="83" t="str">
        <f ca="1">IF(AND(TODAY()&gt;BD!$C537, OR(BD!$D537="PENDENTE", BD!$D537="")), TODAY()-BD!$C537, "")</f>
        <v/>
      </c>
    </row>
    <row r="538" spans="1:20" ht="14.25" customHeight="1" x14ac:dyDescent="0.35">
      <c r="A538" s="32"/>
      <c r="B538" s="82">
        <f>'AGO-26'!A21</f>
        <v>0</v>
      </c>
      <c r="C538" s="82">
        <f>'AGO-26'!B21</f>
        <v>0</v>
      </c>
      <c r="D538" s="82">
        <f>'AGO-26'!C21</f>
        <v>0</v>
      </c>
      <c r="E538" s="83">
        <f>'AGO-26'!D21</f>
        <v>0</v>
      </c>
      <c r="F538" s="84">
        <f>'AGO-26'!E21</f>
        <v>0</v>
      </c>
      <c r="G538" s="85">
        <f>'AGO-26'!F21</f>
        <v>0</v>
      </c>
      <c r="H538" s="85">
        <f t="shared" si="0"/>
        <v>0</v>
      </c>
      <c r="I538" s="83" t="s">
        <v>102</v>
      </c>
      <c r="J538" s="83" t="str">
        <f t="shared" si="1"/>
        <v/>
      </c>
      <c r="K538" s="85">
        <f t="shared" si="2"/>
        <v>0</v>
      </c>
      <c r="L538" s="83" t="str">
        <f t="shared" si="3"/>
        <v/>
      </c>
      <c r="M538" s="83">
        <f>'AGO-26'!H21</f>
        <v>0</v>
      </c>
      <c r="N538" s="92" t="str">
        <f ca="1">IF(BD!$C538="","",IF(AND(TODAY()&gt;BD!$C538,OR(BD!$D538="PENDENTE",BD!$D538="")),"VENCIDO",""))</f>
        <v/>
      </c>
      <c r="O538" s="82" t="str">
        <f ca="1">IF(N538 = "VENCIDO",BD!$B538,"")</f>
        <v/>
      </c>
      <c r="P538" s="82" t="str">
        <f ca="1">IF(N538 = "VENCIDO",BD!$C538,"")</f>
        <v/>
      </c>
      <c r="Q538" s="83" t="str">
        <f ca="1">IF(N538 = "VENCIDO",BD!$E538,"")</f>
        <v/>
      </c>
      <c r="R538" s="83" t="str">
        <f ca="1">IF(N538 = "VENCIDO",BD!$F538,"")</f>
        <v/>
      </c>
      <c r="S538" s="85" t="str">
        <f ca="1">IF(N538 = "VENCIDO",BD!$G538,"")</f>
        <v/>
      </c>
      <c r="T538" s="83" t="str">
        <f ca="1">IF(AND(TODAY()&gt;BD!$C538, OR(BD!$D538="PENDENTE", BD!$D538="")), TODAY()-BD!$C538, "")</f>
        <v/>
      </c>
    </row>
    <row r="539" spans="1:20" ht="14.25" customHeight="1" x14ac:dyDescent="0.35">
      <c r="A539" s="32"/>
      <c r="B539" s="82">
        <f>'AGO-26'!A22</f>
        <v>0</v>
      </c>
      <c r="C539" s="82">
        <f>'AGO-26'!B22</f>
        <v>0</v>
      </c>
      <c r="D539" s="82">
        <f>'AGO-26'!C22</f>
        <v>0</v>
      </c>
      <c r="E539" s="83">
        <f>'AGO-26'!D22</f>
        <v>0</v>
      </c>
      <c r="F539" s="84">
        <f>'AGO-26'!E22</f>
        <v>0</v>
      </c>
      <c r="G539" s="85">
        <f>'AGO-26'!F22</f>
        <v>0</v>
      </c>
      <c r="H539" s="85">
        <f t="shared" si="0"/>
        <v>0</v>
      </c>
      <c r="I539" s="83" t="s">
        <v>102</v>
      </c>
      <c r="J539" s="83" t="str">
        <f t="shared" si="1"/>
        <v/>
      </c>
      <c r="K539" s="85">
        <f t="shared" si="2"/>
        <v>0</v>
      </c>
      <c r="L539" s="83" t="str">
        <f t="shared" si="3"/>
        <v/>
      </c>
      <c r="M539" s="83">
        <f>'AGO-26'!H22</f>
        <v>0</v>
      </c>
      <c r="N539" s="92" t="str">
        <f ca="1">IF(BD!$C539="","",IF(AND(TODAY()&gt;BD!$C539,OR(BD!$D539="PENDENTE",BD!$D539="")),"VENCIDO",""))</f>
        <v/>
      </c>
      <c r="O539" s="82" t="str">
        <f ca="1">IF(N539 = "VENCIDO",BD!$B539,"")</f>
        <v/>
      </c>
      <c r="P539" s="82" t="str">
        <f ca="1">IF(N539 = "VENCIDO",BD!$C539,"")</f>
        <v/>
      </c>
      <c r="Q539" s="83" t="str">
        <f ca="1">IF(N539 = "VENCIDO",BD!$E539,"")</f>
        <v/>
      </c>
      <c r="R539" s="83" t="str">
        <f ca="1">IF(N539 = "VENCIDO",BD!$F539,"")</f>
        <v/>
      </c>
      <c r="S539" s="85" t="str">
        <f ca="1">IF(N539 = "VENCIDO",BD!$G539,"")</f>
        <v/>
      </c>
      <c r="T539" s="83" t="str">
        <f ca="1">IF(AND(TODAY()&gt;BD!$C539, OR(BD!$D539="PENDENTE", BD!$D539="")), TODAY()-BD!$C539, "")</f>
        <v/>
      </c>
    </row>
    <row r="540" spans="1:20" ht="14.25" customHeight="1" x14ac:dyDescent="0.35">
      <c r="A540" s="32"/>
      <c r="B540" s="82">
        <f>'AGO-26'!A23</f>
        <v>0</v>
      </c>
      <c r="C540" s="82">
        <f>'AGO-26'!B23</f>
        <v>0</v>
      </c>
      <c r="D540" s="82">
        <f>'AGO-26'!C23</f>
        <v>0</v>
      </c>
      <c r="E540" s="83">
        <f>'AGO-26'!D23</f>
        <v>0</v>
      </c>
      <c r="F540" s="84">
        <f>'AGO-26'!E23</f>
        <v>0</v>
      </c>
      <c r="G540" s="85">
        <f>'AGO-26'!F23</f>
        <v>0</v>
      </c>
      <c r="H540" s="85">
        <f t="shared" si="0"/>
        <v>0</v>
      </c>
      <c r="I540" s="83" t="s">
        <v>102</v>
      </c>
      <c r="J540" s="83" t="str">
        <f t="shared" si="1"/>
        <v/>
      </c>
      <c r="K540" s="85">
        <f t="shared" si="2"/>
        <v>0</v>
      </c>
      <c r="L540" s="83" t="str">
        <f t="shared" si="3"/>
        <v/>
      </c>
      <c r="M540" s="83">
        <f>'AGO-26'!H23</f>
        <v>0</v>
      </c>
      <c r="N540" s="92" t="str">
        <f ca="1">IF(BD!$C540="","",IF(AND(TODAY()&gt;BD!$C540,OR(BD!$D540="PENDENTE",BD!$D540="")),"VENCIDO",""))</f>
        <v/>
      </c>
      <c r="O540" s="82" t="str">
        <f ca="1">IF(N540 = "VENCIDO",BD!$B540,"")</f>
        <v/>
      </c>
      <c r="P540" s="82" t="str">
        <f ca="1">IF(N540 = "VENCIDO",BD!$C540,"")</f>
        <v/>
      </c>
      <c r="Q540" s="83" t="str">
        <f ca="1">IF(N540 = "VENCIDO",BD!$E540,"")</f>
        <v/>
      </c>
      <c r="R540" s="83" t="str">
        <f ca="1">IF(N540 = "VENCIDO",BD!$F540,"")</f>
        <v/>
      </c>
      <c r="S540" s="85" t="str">
        <f ca="1">IF(N540 = "VENCIDO",BD!$G540,"")</f>
        <v/>
      </c>
      <c r="T540" s="83" t="str">
        <f ca="1">IF(AND(TODAY()&gt;BD!$C540, OR(BD!$D540="PENDENTE", BD!$D540="")), TODAY()-BD!$C540, "")</f>
        <v/>
      </c>
    </row>
    <row r="541" spans="1:20" ht="14.25" customHeight="1" x14ac:dyDescent="0.35">
      <c r="A541" s="32"/>
      <c r="B541" s="82">
        <f>'AGO-26'!A24</f>
        <v>0</v>
      </c>
      <c r="C541" s="82">
        <f>'AGO-26'!B24</f>
        <v>0</v>
      </c>
      <c r="D541" s="82">
        <f>'AGO-26'!C24</f>
        <v>0</v>
      </c>
      <c r="E541" s="83">
        <f>'AGO-26'!D24</f>
        <v>0</v>
      </c>
      <c r="F541" s="84">
        <f>'AGO-26'!E24</f>
        <v>0</v>
      </c>
      <c r="G541" s="85">
        <f>'AGO-26'!F24</f>
        <v>0</v>
      </c>
      <c r="H541" s="85">
        <f t="shared" si="0"/>
        <v>0</v>
      </c>
      <c r="I541" s="83" t="s">
        <v>102</v>
      </c>
      <c r="J541" s="83" t="str">
        <f t="shared" si="1"/>
        <v/>
      </c>
      <c r="K541" s="85">
        <f t="shared" si="2"/>
        <v>0</v>
      </c>
      <c r="L541" s="83" t="str">
        <f t="shared" si="3"/>
        <v/>
      </c>
      <c r="M541" s="83">
        <f>'AGO-26'!H24</f>
        <v>0</v>
      </c>
      <c r="N541" s="92" t="str">
        <f ca="1">IF(BD!$C541="","",IF(AND(TODAY()&gt;BD!$C541,OR(BD!$D541="PENDENTE",BD!$D541="")),"VENCIDO",""))</f>
        <v/>
      </c>
      <c r="O541" s="82" t="str">
        <f ca="1">IF(N541 = "VENCIDO",BD!$B541,"")</f>
        <v/>
      </c>
      <c r="P541" s="82" t="str">
        <f ca="1">IF(N541 = "VENCIDO",BD!$C541,"")</f>
        <v/>
      </c>
      <c r="Q541" s="83" t="str">
        <f ca="1">IF(N541 = "VENCIDO",BD!$E541,"")</f>
        <v/>
      </c>
      <c r="R541" s="83" t="str">
        <f ca="1">IF(N541 = "VENCIDO",BD!$F541,"")</f>
        <v/>
      </c>
      <c r="S541" s="85" t="str">
        <f ca="1">IF(N541 = "VENCIDO",BD!$G541,"")</f>
        <v/>
      </c>
      <c r="T541" s="83" t="str">
        <f ca="1">IF(AND(TODAY()&gt;BD!$C541, OR(BD!$D541="PENDENTE", BD!$D541="")), TODAY()-BD!$C541, "")</f>
        <v/>
      </c>
    </row>
    <row r="542" spans="1:20" ht="14.25" customHeight="1" x14ac:dyDescent="0.35">
      <c r="A542" s="32"/>
      <c r="B542" s="82">
        <f>'AGO-26'!A25</f>
        <v>0</v>
      </c>
      <c r="C542" s="82">
        <f>'AGO-26'!B25</f>
        <v>0</v>
      </c>
      <c r="D542" s="82">
        <f>'AGO-26'!C25</f>
        <v>0</v>
      </c>
      <c r="E542" s="93">
        <f>'AGO-26'!D25</f>
        <v>0</v>
      </c>
      <c r="F542" s="84">
        <f>'AGO-26'!E25</f>
        <v>0</v>
      </c>
      <c r="G542" s="85">
        <f>'AGO-26'!F25</f>
        <v>0</v>
      </c>
      <c r="H542" s="85">
        <f t="shared" si="0"/>
        <v>0</v>
      </c>
      <c r="I542" s="83" t="s">
        <v>102</v>
      </c>
      <c r="J542" s="83" t="str">
        <f t="shared" si="1"/>
        <v/>
      </c>
      <c r="K542" s="85">
        <f t="shared" si="2"/>
        <v>0</v>
      </c>
      <c r="L542" s="83" t="str">
        <f t="shared" si="3"/>
        <v/>
      </c>
      <c r="M542" s="83">
        <f>'AGO-26'!H25</f>
        <v>0</v>
      </c>
      <c r="N542" s="92" t="str">
        <f ca="1">IF(BD!$C542="","",IF(AND(TODAY()&gt;BD!$C542,OR(BD!$D542="PENDENTE",BD!$D542="")),"VENCIDO",""))</f>
        <v/>
      </c>
      <c r="O542" s="82" t="str">
        <f ca="1">IF(N542 = "VENCIDO",BD!$B542,"")</f>
        <v/>
      </c>
      <c r="P542" s="82" t="str">
        <f ca="1">IF(N542 = "VENCIDO",BD!$C542,"")</f>
        <v/>
      </c>
      <c r="Q542" s="83" t="str">
        <f ca="1">IF(N542 = "VENCIDO",BD!$E542,"")</f>
        <v/>
      </c>
      <c r="R542" s="83" t="str">
        <f ca="1">IF(N542 = "VENCIDO",BD!$F542,"")</f>
        <v/>
      </c>
      <c r="S542" s="85" t="str">
        <f ca="1">IF(N542 = "VENCIDO",BD!$G542,"")</f>
        <v/>
      </c>
      <c r="T542" s="83" t="str">
        <f ca="1">IF(AND(TODAY()&gt;BD!$C542, OR(BD!$D542="PENDENTE", BD!$D542="")), TODAY()-BD!$C542, "")</f>
        <v/>
      </c>
    </row>
    <row r="543" spans="1:20" ht="14.25" customHeight="1" x14ac:dyDescent="0.35">
      <c r="A543" s="32"/>
      <c r="B543" s="82">
        <f>'AGO-26'!A26</f>
        <v>0</v>
      </c>
      <c r="C543" s="82">
        <f>'AGO-26'!B26</f>
        <v>0</v>
      </c>
      <c r="D543" s="82">
        <f>'AGO-26'!C26</f>
        <v>0</v>
      </c>
      <c r="E543" s="83">
        <f>'AGO-26'!D26</f>
        <v>0</v>
      </c>
      <c r="F543" s="84">
        <f>'AGO-26'!E26</f>
        <v>0</v>
      </c>
      <c r="G543" s="85">
        <f>'AGO-26'!F26</f>
        <v>0</v>
      </c>
      <c r="H543" s="85">
        <f t="shared" si="0"/>
        <v>0</v>
      </c>
      <c r="I543" s="83" t="s">
        <v>102</v>
      </c>
      <c r="J543" s="83" t="str">
        <f t="shared" si="1"/>
        <v/>
      </c>
      <c r="K543" s="85">
        <f t="shared" si="2"/>
        <v>0</v>
      </c>
      <c r="L543" s="83" t="str">
        <f t="shared" si="3"/>
        <v/>
      </c>
      <c r="M543" s="83">
        <f>'AGO-26'!H26</f>
        <v>0</v>
      </c>
      <c r="N543" s="92" t="str">
        <f ca="1">IF(BD!$C543="","",IF(AND(TODAY()&gt;BD!$C543,OR(BD!$D543="PENDENTE",BD!$D543="")),"VENCIDO",""))</f>
        <v/>
      </c>
      <c r="O543" s="82" t="str">
        <f ca="1">IF(N543 = "VENCIDO",BD!$B543,"")</f>
        <v/>
      </c>
      <c r="P543" s="82" t="str">
        <f ca="1">IF(N543 = "VENCIDO",BD!$C543,"")</f>
        <v/>
      </c>
      <c r="Q543" s="83" t="str">
        <f ca="1">IF(N543 = "VENCIDO",BD!$E543,"")</f>
        <v/>
      </c>
      <c r="R543" s="83" t="str">
        <f ca="1">IF(N543 = "VENCIDO",BD!$F543,"")</f>
        <v/>
      </c>
      <c r="S543" s="85" t="str">
        <f ca="1">IF(N543 = "VENCIDO",BD!$G543,"")</f>
        <v/>
      </c>
      <c r="T543" s="83" t="str">
        <f ca="1">IF(AND(TODAY()&gt;BD!$C543, OR(BD!$D543="PENDENTE", BD!$D543="")), TODAY()-BD!$C543, "")</f>
        <v/>
      </c>
    </row>
    <row r="544" spans="1:20" ht="14.25" customHeight="1" x14ac:dyDescent="0.35">
      <c r="A544" s="32"/>
      <c r="B544" s="82">
        <f>'AGO-26'!A27</f>
        <v>0</v>
      </c>
      <c r="C544" s="82">
        <f>'AGO-26'!B27</f>
        <v>0</v>
      </c>
      <c r="D544" s="82">
        <f>'AGO-26'!C27</f>
        <v>0</v>
      </c>
      <c r="E544" s="83">
        <f>'AGO-26'!D27</f>
        <v>0</v>
      </c>
      <c r="F544" s="84">
        <f>'AGO-26'!E27</f>
        <v>0</v>
      </c>
      <c r="G544" s="85">
        <f>'AGO-26'!F27</f>
        <v>0</v>
      </c>
      <c r="H544" s="85">
        <f t="shared" si="0"/>
        <v>0</v>
      </c>
      <c r="I544" s="83" t="s">
        <v>102</v>
      </c>
      <c r="J544" s="83" t="str">
        <f t="shared" si="1"/>
        <v/>
      </c>
      <c r="K544" s="85">
        <f t="shared" si="2"/>
        <v>0</v>
      </c>
      <c r="L544" s="83" t="str">
        <f t="shared" si="3"/>
        <v/>
      </c>
      <c r="M544" s="83">
        <f>'AGO-26'!H27</f>
        <v>0</v>
      </c>
      <c r="N544" s="92" t="str">
        <f ca="1">IF(BD!$C544="","",IF(AND(TODAY()&gt;BD!$C544,OR(BD!$D544="PENDENTE",BD!$D544="")),"VENCIDO",""))</f>
        <v/>
      </c>
      <c r="O544" s="82" t="str">
        <f ca="1">IF(N544 = "VENCIDO",BD!$B544,"")</f>
        <v/>
      </c>
      <c r="P544" s="82" t="str">
        <f ca="1">IF(N544 = "VENCIDO",BD!$C544,"")</f>
        <v/>
      </c>
      <c r="Q544" s="83" t="str">
        <f ca="1">IF(N544 = "VENCIDO",BD!$E544,"")</f>
        <v/>
      </c>
      <c r="R544" s="83" t="str">
        <f ca="1">IF(N544 = "VENCIDO",BD!$F544,"")</f>
        <v/>
      </c>
      <c r="S544" s="85" t="str">
        <f ca="1">IF(N544 = "VENCIDO",BD!$G544,"")</f>
        <v/>
      </c>
      <c r="T544" s="83" t="str">
        <f ca="1">IF(AND(TODAY()&gt;BD!$C544, OR(BD!$D544="PENDENTE", BD!$D544="")), TODAY()-BD!$C544, "")</f>
        <v/>
      </c>
    </row>
    <row r="545" spans="1:20" ht="14.25" customHeight="1" x14ac:dyDescent="0.35">
      <c r="A545" s="32"/>
      <c r="B545" s="82">
        <f>'AGO-26'!A28</f>
        <v>0</v>
      </c>
      <c r="C545" s="82">
        <f>'AGO-26'!B28</f>
        <v>0</v>
      </c>
      <c r="D545" s="82">
        <f>'AGO-26'!C28</f>
        <v>0</v>
      </c>
      <c r="E545" s="83">
        <f>'AGO-26'!D28</f>
        <v>0</v>
      </c>
      <c r="F545" s="84">
        <f>'AGO-26'!E28</f>
        <v>0</v>
      </c>
      <c r="G545" s="85">
        <f>'AGO-26'!F28</f>
        <v>0</v>
      </c>
      <c r="H545" s="85">
        <f t="shared" si="0"/>
        <v>0</v>
      </c>
      <c r="I545" s="83" t="s">
        <v>102</v>
      </c>
      <c r="J545" s="83" t="str">
        <f t="shared" si="1"/>
        <v/>
      </c>
      <c r="K545" s="85">
        <f t="shared" si="2"/>
        <v>0</v>
      </c>
      <c r="L545" s="83" t="str">
        <f t="shared" si="3"/>
        <v/>
      </c>
      <c r="M545" s="83">
        <f>'AGO-26'!H28</f>
        <v>0</v>
      </c>
      <c r="N545" s="92" t="str">
        <f ca="1">IF(BD!$C545="","",IF(AND(TODAY()&gt;BD!$C545,OR(BD!$D545="PENDENTE",BD!$D545="")),"VENCIDO",""))</f>
        <v/>
      </c>
      <c r="O545" s="82" t="str">
        <f ca="1">IF(N545 = "VENCIDO",BD!$B545,"")</f>
        <v/>
      </c>
      <c r="P545" s="82" t="str">
        <f ca="1">IF(N545 = "VENCIDO",BD!$C545,"")</f>
        <v/>
      </c>
      <c r="Q545" s="83" t="str">
        <f ca="1">IF(N545 = "VENCIDO",BD!$E545,"")</f>
        <v/>
      </c>
      <c r="R545" s="83" t="str">
        <f ca="1">IF(N545 = "VENCIDO",BD!$F545,"")</f>
        <v/>
      </c>
      <c r="S545" s="85" t="str">
        <f ca="1">IF(N545 = "VENCIDO",BD!$G545,"")</f>
        <v/>
      </c>
      <c r="T545" s="83" t="str">
        <f ca="1">IF(AND(TODAY()&gt;BD!$C545, OR(BD!$D545="PENDENTE", BD!$D545="")), TODAY()-BD!$C545, "")</f>
        <v/>
      </c>
    </row>
    <row r="546" spans="1:20" ht="14.25" customHeight="1" x14ac:dyDescent="0.35">
      <c r="A546" s="32"/>
      <c r="B546" s="82">
        <f>'AGO-26'!A29</f>
        <v>0</v>
      </c>
      <c r="C546" s="82">
        <f>'AGO-26'!B29</f>
        <v>0</v>
      </c>
      <c r="D546" s="82">
        <f>'AGO-26'!C29</f>
        <v>0</v>
      </c>
      <c r="E546" s="83">
        <f>'AGO-26'!D29</f>
        <v>0</v>
      </c>
      <c r="F546" s="84">
        <f>'AGO-26'!E29</f>
        <v>0</v>
      </c>
      <c r="G546" s="85">
        <f>'AGO-26'!F29</f>
        <v>0</v>
      </c>
      <c r="H546" s="85">
        <f t="shared" si="0"/>
        <v>0</v>
      </c>
      <c r="I546" s="83" t="s">
        <v>102</v>
      </c>
      <c r="J546" s="83" t="str">
        <f t="shared" si="1"/>
        <v/>
      </c>
      <c r="K546" s="85">
        <f t="shared" si="2"/>
        <v>0</v>
      </c>
      <c r="L546" s="83" t="str">
        <f t="shared" si="3"/>
        <v/>
      </c>
      <c r="M546" s="83">
        <f>'AGO-26'!H29</f>
        <v>0</v>
      </c>
      <c r="N546" s="92" t="str">
        <f ca="1">IF(BD!$C546="","",IF(AND(TODAY()&gt;BD!$C546,OR(BD!$D546="PENDENTE",BD!$D546="")),"VENCIDO",""))</f>
        <v/>
      </c>
      <c r="O546" s="82" t="str">
        <f ca="1">IF(N546 = "VENCIDO",BD!$B546,"")</f>
        <v/>
      </c>
      <c r="P546" s="82" t="str">
        <f ca="1">IF(N546 = "VENCIDO",BD!$C546,"")</f>
        <v/>
      </c>
      <c r="Q546" s="83" t="str">
        <f ca="1">IF(N546 = "VENCIDO",BD!$E546,"")</f>
        <v/>
      </c>
      <c r="R546" s="83" t="str">
        <f ca="1">IF(N546 = "VENCIDO",BD!$F546,"")</f>
        <v/>
      </c>
      <c r="S546" s="85" t="str">
        <f ca="1">IF(N546 = "VENCIDO",BD!$G546,"")</f>
        <v/>
      </c>
      <c r="T546" s="83" t="str">
        <f ca="1">IF(AND(TODAY()&gt;BD!$C546, OR(BD!$D546="PENDENTE", BD!$D546="")), TODAY()-BD!$C546, "")</f>
        <v/>
      </c>
    </row>
    <row r="547" spans="1:20" ht="14.25" customHeight="1" x14ac:dyDescent="0.35">
      <c r="A547" s="32"/>
      <c r="B547" s="82">
        <f>'AGO-26'!A30</f>
        <v>0</v>
      </c>
      <c r="C547" s="82">
        <f>'AGO-26'!B30</f>
        <v>0</v>
      </c>
      <c r="D547" s="82">
        <f>'AGO-26'!C30</f>
        <v>0</v>
      </c>
      <c r="E547" s="83">
        <f>'AGO-26'!D30</f>
        <v>0</v>
      </c>
      <c r="F547" s="84">
        <f>'AGO-26'!E30</f>
        <v>0</v>
      </c>
      <c r="G547" s="85">
        <f>'AGO-26'!F30</f>
        <v>0</v>
      </c>
      <c r="H547" s="85">
        <f t="shared" si="0"/>
        <v>0</v>
      </c>
      <c r="I547" s="83" t="s">
        <v>102</v>
      </c>
      <c r="J547" s="83" t="str">
        <f t="shared" si="1"/>
        <v/>
      </c>
      <c r="K547" s="85">
        <f t="shared" si="2"/>
        <v>0</v>
      </c>
      <c r="L547" s="83" t="str">
        <f t="shared" si="3"/>
        <v/>
      </c>
      <c r="M547" s="83">
        <f>'AGO-26'!H30</f>
        <v>0</v>
      </c>
      <c r="N547" s="92" t="str">
        <f ca="1">IF(BD!$C547="","",IF(AND(TODAY()&gt;BD!$C547,OR(BD!$D547="PENDENTE",BD!$D547="")),"VENCIDO",""))</f>
        <v/>
      </c>
      <c r="O547" s="82" t="str">
        <f ca="1">IF(N547 = "VENCIDO",BD!$B547,"")</f>
        <v/>
      </c>
      <c r="P547" s="82" t="str">
        <f ca="1">IF(N547 = "VENCIDO",BD!$C547,"")</f>
        <v/>
      </c>
      <c r="Q547" s="83" t="str">
        <f ca="1">IF(N547 = "VENCIDO",BD!$E547,"")</f>
        <v/>
      </c>
      <c r="R547" s="83" t="str">
        <f ca="1">IF(N547 = "VENCIDO",BD!$F547,"")</f>
        <v/>
      </c>
      <c r="S547" s="85" t="str">
        <f ca="1">IF(N547 = "VENCIDO",BD!$G547,"")</f>
        <v/>
      </c>
      <c r="T547" s="83" t="str">
        <f ca="1">IF(AND(TODAY()&gt;BD!$C547, OR(BD!$D547="PENDENTE", BD!$D547="")), TODAY()-BD!$C547, "")</f>
        <v/>
      </c>
    </row>
    <row r="548" spans="1:20" ht="14.25" customHeight="1" x14ac:dyDescent="0.35">
      <c r="A548" s="32"/>
      <c r="B548" s="82">
        <f>'AGO-26'!A31</f>
        <v>0</v>
      </c>
      <c r="C548" s="82">
        <f>'AGO-26'!B31</f>
        <v>0</v>
      </c>
      <c r="D548" s="82">
        <f>'AGO-26'!C31</f>
        <v>0</v>
      </c>
      <c r="E548" s="83">
        <f>'AGO-26'!D31</f>
        <v>0</v>
      </c>
      <c r="F548" s="84">
        <f>'AGO-26'!E31</f>
        <v>0</v>
      </c>
      <c r="G548" s="85">
        <f>'AGO-26'!F31</f>
        <v>0</v>
      </c>
      <c r="H548" s="85">
        <f t="shared" si="0"/>
        <v>0</v>
      </c>
      <c r="I548" s="83" t="s">
        <v>102</v>
      </c>
      <c r="J548" s="83" t="str">
        <f t="shared" si="1"/>
        <v/>
      </c>
      <c r="K548" s="85">
        <f t="shared" si="2"/>
        <v>0</v>
      </c>
      <c r="L548" s="83" t="str">
        <f t="shared" si="3"/>
        <v/>
      </c>
      <c r="M548" s="83">
        <f>'AGO-26'!H31</f>
        <v>0</v>
      </c>
      <c r="N548" s="92" t="str">
        <f ca="1">IF(BD!$C548="","",IF(AND(TODAY()&gt;BD!$C548,OR(BD!$D548="PENDENTE",BD!$D548="")),"VENCIDO",""))</f>
        <v/>
      </c>
      <c r="O548" s="82" t="str">
        <f ca="1">IF(N548 = "VENCIDO",BD!$B548,"")</f>
        <v/>
      </c>
      <c r="P548" s="82" t="str">
        <f ca="1">IF(N548 = "VENCIDO",BD!$C548,"")</f>
        <v/>
      </c>
      <c r="Q548" s="83" t="str">
        <f ca="1">IF(N548 = "VENCIDO",BD!$E548,"")</f>
        <v/>
      </c>
      <c r="R548" s="83" t="str">
        <f ca="1">IF(N548 = "VENCIDO",BD!$F548,"")</f>
        <v/>
      </c>
      <c r="S548" s="85" t="str">
        <f ca="1">IF(N548 = "VENCIDO",BD!$G548,"")</f>
        <v/>
      </c>
      <c r="T548" s="83" t="str">
        <f ca="1">IF(AND(TODAY()&gt;BD!$C548, OR(BD!$D548="PENDENTE", BD!$D548="")), TODAY()-BD!$C548, "")</f>
        <v/>
      </c>
    </row>
    <row r="549" spans="1:20" ht="14.25" customHeight="1" x14ac:dyDescent="0.35">
      <c r="A549" s="32"/>
      <c r="B549" s="82">
        <f>'AGO-26'!A32</f>
        <v>0</v>
      </c>
      <c r="C549" s="82">
        <f>'AGO-26'!B32</f>
        <v>0</v>
      </c>
      <c r="D549" s="82">
        <f>'AGO-26'!C32</f>
        <v>0</v>
      </c>
      <c r="E549" s="83">
        <f>'AGO-26'!D32</f>
        <v>0</v>
      </c>
      <c r="F549" s="84">
        <f>'AGO-26'!E32</f>
        <v>0</v>
      </c>
      <c r="G549" s="85">
        <f>'AGO-26'!F32</f>
        <v>0</v>
      </c>
      <c r="H549" s="85">
        <f t="shared" si="0"/>
        <v>0</v>
      </c>
      <c r="I549" s="83" t="s">
        <v>102</v>
      </c>
      <c r="J549" s="83" t="str">
        <f t="shared" si="1"/>
        <v/>
      </c>
      <c r="K549" s="85">
        <f t="shared" si="2"/>
        <v>0</v>
      </c>
      <c r="L549" s="83" t="str">
        <f t="shared" si="3"/>
        <v/>
      </c>
      <c r="M549" s="83">
        <f>'AGO-26'!H32</f>
        <v>0</v>
      </c>
      <c r="N549" s="92" t="str">
        <f ca="1">IF(BD!$C549="","",IF(AND(TODAY()&gt;BD!$C549,OR(BD!$D549="PENDENTE",BD!$D549="")),"VENCIDO",""))</f>
        <v/>
      </c>
      <c r="O549" s="82" t="str">
        <f ca="1">IF(N549 = "VENCIDO",BD!$B549,"")</f>
        <v/>
      </c>
      <c r="P549" s="82" t="str">
        <f ca="1">IF(N549 = "VENCIDO",BD!$C549,"")</f>
        <v/>
      </c>
      <c r="Q549" s="83" t="str">
        <f ca="1">IF(N549 = "VENCIDO",BD!$E549,"")</f>
        <v/>
      </c>
      <c r="R549" s="83" t="str">
        <f ca="1">IF(N549 = "VENCIDO",BD!$F549,"")</f>
        <v/>
      </c>
      <c r="S549" s="85" t="str">
        <f ca="1">IF(N549 = "VENCIDO",BD!$G549,"")</f>
        <v/>
      </c>
      <c r="T549" s="83" t="str">
        <f ca="1">IF(AND(TODAY()&gt;BD!$C549, OR(BD!$D549="PENDENTE", BD!$D549="")), TODAY()-BD!$C549, "")</f>
        <v/>
      </c>
    </row>
    <row r="550" spans="1:20" ht="14.25" customHeight="1" x14ac:dyDescent="0.35">
      <c r="A550" s="32"/>
      <c r="B550" s="82">
        <f>'AGO-26'!A33</f>
        <v>0</v>
      </c>
      <c r="C550" s="82">
        <f>'AGO-26'!B33</f>
        <v>0</v>
      </c>
      <c r="D550" s="82">
        <f>'AGO-26'!C33</f>
        <v>0</v>
      </c>
      <c r="E550" s="83">
        <f>'AGO-26'!D33</f>
        <v>0</v>
      </c>
      <c r="F550" s="84">
        <f>'AGO-26'!E33</f>
        <v>0</v>
      </c>
      <c r="G550" s="85">
        <f>'AGO-26'!F33</f>
        <v>0</v>
      </c>
      <c r="H550" s="85">
        <f t="shared" si="0"/>
        <v>0</v>
      </c>
      <c r="I550" s="83" t="s">
        <v>102</v>
      </c>
      <c r="J550" s="83" t="str">
        <f t="shared" si="1"/>
        <v/>
      </c>
      <c r="K550" s="85">
        <f t="shared" si="2"/>
        <v>0</v>
      </c>
      <c r="L550" s="83" t="str">
        <f t="shared" si="3"/>
        <v/>
      </c>
      <c r="M550" s="83">
        <f>'AGO-26'!H33</f>
        <v>0</v>
      </c>
      <c r="N550" s="92" t="str">
        <f ca="1">IF(BD!$C550="","",IF(AND(TODAY()&gt;BD!$C550,OR(BD!$D550="PENDENTE",BD!$D550="")),"VENCIDO",""))</f>
        <v/>
      </c>
      <c r="O550" s="82" t="str">
        <f ca="1">IF(N550 = "VENCIDO",BD!$B550,"")</f>
        <v/>
      </c>
      <c r="P550" s="82" t="str">
        <f ca="1">IF(N550 = "VENCIDO",BD!$C550,"")</f>
        <v/>
      </c>
      <c r="Q550" s="83" t="str">
        <f ca="1">IF(N550 = "VENCIDO",BD!$E550,"")</f>
        <v/>
      </c>
      <c r="R550" s="83" t="str">
        <f ca="1">IF(N550 = "VENCIDO",BD!$F550,"")</f>
        <v/>
      </c>
      <c r="S550" s="85" t="str">
        <f ca="1">IF(N550 = "VENCIDO",BD!$G550,"")</f>
        <v/>
      </c>
      <c r="T550" s="83" t="str">
        <f ca="1">IF(AND(TODAY()&gt;BD!$C550, OR(BD!$D550="PENDENTE", BD!$D550="")), TODAY()-BD!$C550, "")</f>
        <v/>
      </c>
    </row>
    <row r="551" spans="1:20" ht="14.25" customHeight="1" x14ac:dyDescent="0.35">
      <c r="A551" s="32"/>
      <c r="B551" s="82">
        <f>'AGO-26'!A34</f>
        <v>0</v>
      </c>
      <c r="C551" s="82">
        <f>'AGO-26'!B34</f>
        <v>0</v>
      </c>
      <c r="D551" s="82">
        <f>'AGO-26'!C34</f>
        <v>0</v>
      </c>
      <c r="E551" s="83">
        <f>'AGO-26'!D34</f>
        <v>0</v>
      </c>
      <c r="F551" s="84">
        <f>'AGO-26'!E34</f>
        <v>0</v>
      </c>
      <c r="G551" s="85">
        <f>'AGO-26'!F34</f>
        <v>0</v>
      </c>
      <c r="H551" s="85">
        <f t="shared" si="0"/>
        <v>0</v>
      </c>
      <c r="I551" s="83" t="s">
        <v>102</v>
      </c>
      <c r="J551" s="83" t="str">
        <f t="shared" si="1"/>
        <v/>
      </c>
      <c r="K551" s="85">
        <f t="shared" si="2"/>
        <v>0</v>
      </c>
      <c r="L551" s="83" t="str">
        <f t="shared" si="3"/>
        <v/>
      </c>
      <c r="M551" s="83">
        <f>'AGO-26'!H34</f>
        <v>0</v>
      </c>
      <c r="N551" s="92" t="str">
        <f ca="1">IF(BD!$C551="","",IF(AND(TODAY()&gt;BD!$C551,OR(BD!$D551="PENDENTE",BD!$D551="")),"VENCIDO",""))</f>
        <v/>
      </c>
      <c r="O551" s="82" t="str">
        <f ca="1">IF(N551 = "VENCIDO",BD!$B551,"")</f>
        <v/>
      </c>
      <c r="P551" s="82" t="str">
        <f ca="1">IF(N551 = "VENCIDO",BD!$C551,"")</f>
        <v/>
      </c>
      <c r="Q551" s="83" t="str">
        <f ca="1">IF(N551 = "VENCIDO",BD!$E551,"")</f>
        <v/>
      </c>
      <c r="R551" s="83" t="str">
        <f ca="1">IF(N551 = "VENCIDO",BD!$F551,"")</f>
        <v/>
      </c>
      <c r="S551" s="85" t="str">
        <f ca="1">IF(N551 = "VENCIDO",BD!$G551,"")</f>
        <v/>
      </c>
      <c r="T551" s="83" t="str">
        <f ca="1">IF(AND(TODAY()&gt;BD!$C551, OR(BD!$D551="PENDENTE", BD!$D551="")), TODAY()-BD!$C551, "")</f>
        <v/>
      </c>
    </row>
    <row r="552" spans="1:20" ht="14.25" customHeight="1" x14ac:dyDescent="0.35">
      <c r="A552" s="32"/>
      <c r="B552" s="82">
        <f>'AGO-26'!A35</f>
        <v>0</v>
      </c>
      <c r="C552" s="82">
        <f>'AGO-26'!B35</f>
        <v>0</v>
      </c>
      <c r="D552" s="82">
        <f>'AGO-26'!C35</f>
        <v>0</v>
      </c>
      <c r="E552" s="93">
        <f>'AGO-26'!D35</f>
        <v>0</v>
      </c>
      <c r="F552" s="84">
        <f>'AGO-26'!E35</f>
        <v>0</v>
      </c>
      <c r="G552" s="85">
        <f>'AGO-26'!F35</f>
        <v>0</v>
      </c>
      <c r="H552" s="85">
        <f t="shared" si="0"/>
        <v>0</v>
      </c>
      <c r="I552" s="83" t="s">
        <v>102</v>
      </c>
      <c r="J552" s="83" t="str">
        <f t="shared" si="1"/>
        <v/>
      </c>
      <c r="K552" s="85">
        <f t="shared" si="2"/>
        <v>0</v>
      </c>
      <c r="L552" s="83" t="str">
        <f t="shared" si="3"/>
        <v/>
      </c>
      <c r="M552" s="83">
        <f>'AGO-26'!H35</f>
        <v>0</v>
      </c>
      <c r="N552" s="92" t="str">
        <f ca="1">IF(BD!$C552="","",IF(AND(TODAY()&gt;BD!$C552,OR(BD!$D552="PENDENTE",BD!$D552="")),"VENCIDO",""))</f>
        <v/>
      </c>
      <c r="O552" s="82" t="str">
        <f ca="1">IF(N552 = "VENCIDO",BD!$B552,"")</f>
        <v/>
      </c>
      <c r="P552" s="82" t="str">
        <f ca="1">IF(N552 = "VENCIDO",BD!$C552,"")</f>
        <v/>
      </c>
      <c r="Q552" s="83" t="str">
        <f ca="1">IF(N552 = "VENCIDO",BD!$E552,"")</f>
        <v/>
      </c>
      <c r="R552" s="83" t="str">
        <f ca="1">IF(N552 = "VENCIDO",BD!$F552,"")</f>
        <v/>
      </c>
      <c r="S552" s="85" t="str">
        <f ca="1">IF(N552 = "VENCIDO",BD!$G552,"")</f>
        <v/>
      </c>
      <c r="T552" s="83" t="str">
        <f ca="1">IF(AND(TODAY()&gt;BD!$C552, OR(BD!$D552="PENDENTE", BD!$D552="")), TODAY()-BD!$C552, "")</f>
        <v/>
      </c>
    </row>
    <row r="553" spans="1:20" ht="14.25" customHeight="1" x14ac:dyDescent="0.35">
      <c r="A553" s="32"/>
      <c r="B553" s="82">
        <f>'AGO-26'!A36</f>
        <v>0</v>
      </c>
      <c r="C553" s="82">
        <f>'AGO-26'!B36</f>
        <v>0</v>
      </c>
      <c r="D553" s="82">
        <f>'AGO-26'!C36</f>
        <v>0</v>
      </c>
      <c r="E553" s="93">
        <f>'AGO-26'!D36</f>
        <v>0</v>
      </c>
      <c r="F553" s="84">
        <f>'AGO-26'!E36</f>
        <v>0</v>
      </c>
      <c r="G553" s="85">
        <f>'AGO-26'!F36</f>
        <v>0</v>
      </c>
      <c r="H553" s="85">
        <f t="shared" si="0"/>
        <v>0</v>
      </c>
      <c r="I553" s="83" t="s">
        <v>102</v>
      </c>
      <c r="J553" s="83" t="str">
        <f t="shared" si="1"/>
        <v/>
      </c>
      <c r="K553" s="85">
        <f t="shared" si="2"/>
        <v>0</v>
      </c>
      <c r="L553" s="83" t="str">
        <f t="shared" si="3"/>
        <v/>
      </c>
      <c r="M553" s="83">
        <f>'AGO-26'!H36</f>
        <v>0</v>
      </c>
      <c r="N553" s="92" t="str">
        <f ca="1">IF(BD!$C553="","",IF(AND(TODAY()&gt;BD!$C553,OR(BD!$D553="PENDENTE",BD!$D553="")),"VENCIDO",""))</f>
        <v/>
      </c>
      <c r="O553" s="82" t="str">
        <f ca="1">IF(N553 = "VENCIDO",BD!$B553,"")</f>
        <v/>
      </c>
      <c r="P553" s="82" t="str">
        <f ca="1">IF(N553 = "VENCIDO",BD!$C553,"")</f>
        <v/>
      </c>
      <c r="Q553" s="83" t="str">
        <f ca="1">IF(N553 = "VENCIDO",BD!$E553,"")</f>
        <v/>
      </c>
      <c r="R553" s="83" t="str">
        <f ca="1">IF(N553 = "VENCIDO",BD!$F553,"")</f>
        <v/>
      </c>
      <c r="S553" s="85" t="str">
        <f ca="1">IF(N553 = "VENCIDO",BD!$G553,"")</f>
        <v/>
      </c>
      <c r="T553" s="83" t="str">
        <f ca="1">IF(AND(TODAY()&gt;BD!$C553, OR(BD!$D553="PENDENTE", BD!$D553="")), TODAY()-BD!$C553, "")</f>
        <v/>
      </c>
    </row>
    <row r="554" spans="1:20" ht="14.25" customHeight="1" x14ac:dyDescent="0.35">
      <c r="A554" s="32"/>
      <c r="B554" s="82">
        <f>'AGO-26'!A37</f>
        <v>0</v>
      </c>
      <c r="C554" s="82">
        <f>'AGO-26'!B37</f>
        <v>0</v>
      </c>
      <c r="D554" s="82">
        <f>'AGO-26'!C37</f>
        <v>0</v>
      </c>
      <c r="E554" s="83">
        <f>'AGO-26'!D37</f>
        <v>0</v>
      </c>
      <c r="F554" s="84">
        <f>'AGO-26'!E37</f>
        <v>0</v>
      </c>
      <c r="G554" s="85">
        <f>'AGO-26'!F37</f>
        <v>0</v>
      </c>
      <c r="H554" s="85">
        <f t="shared" si="0"/>
        <v>0</v>
      </c>
      <c r="I554" s="83" t="s">
        <v>102</v>
      </c>
      <c r="J554" s="83" t="str">
        <f t="shared" si="1"/>
        <v/>
      </c>
      <c r="K554" s="85">
        <f t="shared" si="2"/>
        <v>0</v>
      </c>
      <c r="L554" s="83" t="str">
        <f t="shared" si="3"/>
        <v/>
      </c>
      <c r="M554" s="83">
        <f>'AGO-26'!H37</f>
        <v>0</v>
      </c>
      <c r="N554" s="92" t="str">
        <f ca="1">IF(BD!$C554="","",IF(AND(TODAY()&gt;BD!$C554,OR(BD!$D554="PENDENTE",BD!$D554="")),"VENCIDO",""))</f>
        <v/>
      </c>
      <c r="O554" s="82" t="str">
        <f ca="1">IF(N554 = "VENCIDO",BD!$B554,"")</f>
        <v/>
      </c>
      <c r="P554" s="82" t="str">
        <f ca="1">IF(N554 = "VENCIDO",BD!$C554,"")</f>
        <v/>
      </c>
      <c r="Q554" s="83" t="str">
        <f ca="1">IF(N554 = "VENCIDO",BD!$E554,"")</f>
        <v/>
      </c>
      <c r="R554" s="83" t="str">
        <f ca="1">IF(N554 = "VENCIDO",BD!$F554,"")</f>
        <v/>
      </c>
      <c r="S554" s="85" t="str">
        <f ca="1">IF(N554 = "VENCIDO",BD!$G554,"")</f>
        <v/>
      </c>
      <c r="T554" s="83" t="str">
        <f ca="1">IF(AND(TODAY()&gt;BD!$C554, OR(BD!$D554="PENDENTE", BD!$D554="")), TODAY()-BD!$C554, "")</f>
        <v/>
      </c>
    </row>
    <row r="555" spans="1:20" ht="14.25" customHeight="1" x14ac:dyDescent="0.35">
      <c r="A555" s="32"/>
      <c r="B555" s="82">
        <f>'AGO-26'!A38</f>
        <v>0</v>
      </c>
      <c r="C555" s="82">
        <f>'AGO-26'!B38</f>
        <v>0</v>
      </c>
      <c r="D555" s="82">
        <f>'AGO-26'!C38</f>
        <v>0</v>
      </c>
      <c r="E555" s="83">
        <f>'AGO-26'!D38</f>
        <v>0</v>
      </c>
      <c r="F555" s="84">
        <f>'AGO-26'!E38</f>
        <v>0</v>
      </c>
      <c r="G555" s="85">
        <f>'AGO-26'!F38</f>
        <v>0</v>
      </c>
      <c r="H555" s="85">
        <f t="shared" si="0"/>
        <v>0</v>
      </c>
      <c r="I555" s="83" t="s">
        <v>102</v>
      </c>
      <c r="J555" s="83" t="str">
        <f t="shared" si="1"/>
        <v/>
      </c>
      <c r="K555" s="85">
        <f t="shared" si="2"/>
        <v>0</v>
      </c>
      <c r="L555" s="83" t="str">
        <f t="shared" si="3"/>
        <v/>
      </c>
      <c r="M555" s="83">
        <f>'AGO-26'!H38</f>
        <v>0</v>
      </c>
      <c r="N555" s="92" t="str">
        <f ca="1">IF(BD!$C555="","",IF(AND(TODAY()&gt;BD!$C555,OR(BD!$D555="PENDENTE",BD!$D555="")),"VENCIDO",""))</f>
        <v/>
      </c>
      <c r="O555" s="82" t="str">
        <f ca="1">IF(N555 = "VENCIDO",BD!$B555,"")</f>
        <v/>
      </c>
      <c r="P555" s="82" t="str">
        <f ca="1">IF(N555 = "VENCIDO",BD!$C555,"")</f>
        <v/>
      </c>
      <c r="Q555" s="83" t="str">
        <f ca="1">IF(N555 = "VENCIDO",BD!$E555,"")</f>
        <v/>
      </c>
      <c r="R555" s="83" t="str">
        <f ca="1">IF(N555 = "VENCIDO",BD!$F555,"")</f>
        <v/>
      </c>
      <c r="S555" s="85" t="str">
        <f ca="1">IF(N555 = "VENCIDO",BD!$G555,"")</f>
        <v/>
      </c>
      <c r="T555" s="83" t="str">
        <f ca="1">IF(AND(TODAY()&gt;BD!$C555, OR(BD!$D555="PENDENTE", BD!$D555="")), TODAY()-BD!$C555, "")</f>
        <v/>
      </c>
    </row>
    <row r="556" spans="1:20" ht="14.25" customHeight="1" x14ac:dyDescent="0.35">
      <c r="A556" s="32"/>
      <c r="B556" s="82">
        <f>'AGO-26'!A39</f>
        <v>0</v>
      </c>
      <c r="C556" s="82">
        <f>'AGO-26'!B39</f>
        <v>0</v>
      </c>
      <c r="D556" s="82">
        <f>'AGO-26'!C39</f>
        <v>0</v>
      </c>
      <c r="E556" s="83">
        <f>'AGO-26'!D39</f>
        <v>0</v>
      </c>
      <c r="F556" s="84">
        <f>'AGO-26'!E39</f>
        <v>0</v>
      </c>
      <c r="G556" s="85">
        <f>'AGO-26'!F39</f>
        <v>0</v>
      </c>
      <c r="H556" s="85">
        <f t="shared" si="0"/>
        <v>0</v>
      </c>
      <c r="I556" s="83" t="s">
        <v>102</v>
      </c>
      <c r="J556" s="83" t="str">
        <f t="shared" si="1"/>
        <v/>
      </c>
      <c r="K556" s="85">
        <f t="shared" si="2"/>
        <v>0</v>
      </c>
      <c r="L556" s="83" t="str">
        <f t="shared" si="3"/>
        <v/>
      </c>
      <c r="M556" s="83">
        <f>'AGO-26'!H39</f>
        <v>0</v>
      </c>
      <c r="N556" s="92" t="str">
        <f ca="1">IF(BD!$C556="","",IF(AND(TODAY()&gt;BD!$C556,OR(BD!$D556="PENDENTE",BD!$D556="")),"VENCIDO",""))</f>
        <v/>
      </c>
      <c r="O556" s="82" t="str">
        <f ca="1">IF(N556 = "VENCIDO",BD!$B556,"")</f>
        <v/>
      </c>
      <c r="P556" s="82" t="str">
        <f ca="1">IF(N556 = "VENCIDO",BD!$C556,"")</f>
        <v/>
      </c>
      <c r="Q556" s="83" t="str">
        <f ca="1">IF(N556 = "VENCIDO",BD!$E556,"")</f>
        <v/>
      </c>
      <c r="R556" s="83" t="str">
        <f ca="1">IF(N556 = "VENCIDO",BD!$F556,"")</f>
        <v/>
      </c>
      <c r="S556" s="85" t="str">
        <f ca="1">IF(N556 = "VENCIDO",BD!$G556,"")</f>
        <v/>
      </c>
      <c r="T556" s="83" t="str">
        <f ca="1">IF(AND(TODAY()&gt;BD!$C556, OR(BD!$D556="PENDENTE", BD!$D556="")), TODAY()-BD!$C556, "")</f>
        <v/>
      </c>
    </row>
    <row r="557" spans="1:20" ht="14.25" customHeight="1" x14ac:dyDescent="0.35">
      <c r="A557" s="32"/>
      <c r="B557" s="82">
        <f>'AGO-26'!A40</f>
        <v>0</v>
      </c>
      <c r="C557" s="82">
        <f>'AGO-26'!B40</f>
        <v>0</v>
      </c>
      <c r="D557" s="82">
        <f>'AGO-26'!C40</f>
        <v>0</v>
      </c>
      <c r="E557" s="83">
        <f>'AGO-26'!D40</f>
        <v>0</v>
      </c>
      <c r="F557" s="84">
        <f>'AGO-26'!E40</f>
        <v>0</v>
      </c>
      <c r="G557" s="85">
        <f>'AGO-26'!F40</f>
        <v>0</v>
      </c>
      <c r="H557" s="85">
        <f t="shared" si="0"/>
        <v>0</v>
      </c>
      <c r="I557" s="83" t="s">
        <v>102</v>
      </c>
      <c r="J557" s="83" t="str">
        <f t="shared" si="1"/>
        <v/>
      </c>
      <c r="K557" s="85">
        <f t="shared" si="2"/>
        <v>0</v>
      </c>
      <c r="L557" s="83" t="str">
        <f t="shared" si="3"/>
        <v/>
      </c>
      <c r="M557" s="83">
        <f>'AGO-26'!H40</f>
        <v>0</v>
      </c>
      <c r="N557" s="92" t="str">
        <f ca="1">IF(BD!$C557="","",IF(AND(TODAY()&gt;BD!$C557,OR(BD!$D557="PENDENTE",BD!$D557="")),"VENCIDO",""))</f>
        <v/>
      </c>
      <c r="O557" s="82" t="str">
        <f ca="1">IF(N557 = "VENCIDO",BD!$B557,"")</f>
        <v/>
      </c>
      <c r="P557" s="82" t="str">
        <f ca="1">IF(N557 = "VENCIDO",BD!$C557,"")</f>
        <v/>
      </c>
      <c r="Q557" s="83" t="str">
        <f ca="1">IF(N557 = "VENCIDO",BD!$E557,"")</f>
        <v/>
      </c>
      <c r="R557" s="83" t="str">
        <f ca="1">IF(N557 = "VENCIDO",BD!$F557,"")</f>
        <v/>
      </c>
      <c r="S557" s="85" t="str">
        <f ca="1">IF(N557 = "VENCIDO",BD!$G557,"")</f>
        <v/>
      </c>
      <c r="T557" s="83" t="str">
        <f ca="1">IF(AND(TODAY()&gt;BD!$C557, OR(BD!$D557="PENDENTE", BD!$D557="")), TODAY()-BD!$C557, "")</f>
        <v/>
      </c>
    </row>
    <row r="558" spans="1:20" ht="14.25" customHeight="1" x14ac:dyDescent="0.35">
      <c r="A558" s="32"/>
      <c r="B558" s="82">
        <f>'AGO-26'!A41</f>
        <v>0</v>
      </c>
      <c r="C558" s="82">
        <f>'AGO-26'!B41</f>
        <v>0</v>
      </c>
      <c r="D558" s="82">
        <f>'AGO-26'!C41</f>
        <v>0</v>
      </c>
      <c r="E558" s="83">
        <f>'AGO-26'!D41</f>
        <v>0</v>
      </c>
      <c r="F558" s="84">
        <f>'AGO-26'!E41</f>
        <v>0</v>
      </c>
      <c r="G558" s="85">
        <f>'AGO-26'!F41</f>
        <v>0</v>
      </c>
      <c r="H558" s="85">
        <f t="shared" si="0"/>
        <v>0</v>
      </c>
      <c r="I558" s="83" t="s">
        <v>102</v>
      </c>
      <c r="J558" s="83" t="str">
        <f t="shared" si="1"/>
        <v/>
      </c>
      <c r="K558" s="85">
        <f t="shared" si="2"/>
        <v>0</v>
      </c>
      <c r="L558" s="83" t="str">
        <f t="shared" si="3"/>
        <v/>
      </c>
      <c r="M558" s="83">
        <f>'AGO-26'!H41</f>
        <v>0</v>
      </c>
      <c r="N558" s="92" t="str">
        <f ca="1">IF(BD!$C558="","",IF(AND(TODAY()&gt;BD!$C558,OR(BD!$D558="PENDENTE",BD!$D558="")),"VENCIDO",""))</f>
        <v/>
      </c>
      <c r="O558" s="82" t="str">
        <f ca="1">IF(N558 = "VENCIDO",BD!$B558,"")</f>
        <v/>
      </c>
      <c r="P558" s="82" t="str">
        <f ca="1">IF(N558 = "VENCIDO",BD!$C558,"")</f>
        <v/>
      </c>
      <c r="Q558" s="83" t="str">
        <f ca="1">IF(N558 = "VENCIDO",BD!$E558,"")</f>
        <v/>
      </c>
      <c r="R558" s="83" t="str">
        <f ca="1">IF(N558 = "VENCIDO",BD!$F558,"")</f>
        <v/>
      </c>
      <c r="S558" s="85" t="str">
        <f ca="1">IF(N558 = "VENCIDO",BD!$G558,"")</f>
        <v/>
      </c>
      <c r="T558" s="83" t="str">
        <f ca="1">IF(AND(TODAY()&gt;BD!$C558, OR(BD!$D558="PENDENTE", BD!$D558="")), TODAY()-BD!$C558, "")</f>
        <v/>
      </c>
    </row>
    <row r="559" spans="1:20" ht="14.25" customHeight="1" x14ac:dyDescent="0.35">
      <c r="A559" s="32"/>
      <c r="B559" s="82">
        <f>'AGO-26'!A42</f>
        <v>0</v>
      </c>
      <c r="C559" s="82">
        <f>'AGO-26'!B42</f>
        <v>0</v>
      </c>
      <c r="D559" s="82">
        <f>'AGO-26'!C42</f>
        <v>0</v>
      </c>
      <c r="E559" s="83">
        <f>'AGO-26'!D42</f>
        <v>0</v>
      </c>
      <c r="F559" s="84">
        <f>'AGO-26'!E42</f>
        <v>0</v>
      </c>
      <c r="G559" s="85">
        <f>'AGO-26'!F42</f>
        <v>0</v>
      </c>
      <c r="H559" s="85">
        <f t="shared" si="0"/>
        <v>0</v>
      </c>
      <c r="I559" s="83" t="s">
        <v>102</v>
      </c>
      <c r="J559" s="83" t="str">
        <f t="shared" si="1"/>
        <v/>
      </c>
      <c r="K559" s="85">
        <f t="shared" si="2"/>
        <v>0</v>
      </c>
      <c r="L559" s="83" t="str">
        <f t="shared" si="3"/>
        <v/>
      </c>
      <c r="M559" s="83">
        <f>'AGO-26'!H42</f>
        <v>0</v>
      </c>
      <c r="N559" s="92" t="str">
        <f ca="1">IF(BD!$C559="","",IF(AND(TODAY()&gt;BD!$C559,OR(BD!$D559="PENDENTE",BD!$D559="")),"VENCIDO",""))</f>
        <v/>
      </c>
      <c r="O559" s="82" t="str">
        <f ca="1">IF(N559 = "VENCIDO",BD!$B559,"")</f>
        <v/>
      </c>
      <c r="P559" s="82" t="str">
        <f ca="1">IF(N559 = "VENCIDO",BD!$C559,"")</f>
        <v/>
      </c>
      <c r="Q559" s="83" t="str">
        <f ca="1">IF(N559 = "VENCIDO",BD!$E559,"")</f>
        <v/>
      </c>
      <c r="R559" s="83" t="str">
        <f ca="1">IF(N559 = "VENCIDO",BD!$F559,"")</f>
        <v/>
      </c>
      <c r="S559" s="85" t="str">
        <f ca="1">IF(N559 = "VENCIDO",BD!$G559,"")</f>
        <v/>
      </c>
      <c r="T559" s="83" t="str">
        <f ca="1">IF(AND(TODAY()&gt;BD!$C559, OR(BD!$D559="PENDENTE", BD!$D559="")), TODAY()-BD!$C559, "")</f>
        <v/>
      </c>
    </row>
    <row r="560" spans="1:20" ht="14.25" customHeight="1" x14ac:dyDescent="0.35">
      <c r="A560" s="32"/>
      <c r="B560" s="82">
        <f>'AGO-26'!A43</f>
        <v>0</v>
      </c>
      <c r="C560" s="82">
        <f>'AGO-26'!B43</f>
        <v>0</v>
      </c>
      <c r="D560" s="82">
        <f>'AGO-26'!C43</f>
        <v>0</v>
      </c>
      <c r="E560" s="83">
        <f>'AGO-26'!D43</f>
        <v>0</v>
      </c>
      <c r="F560" s="84">
        <f>'AGO-26'!E43</f>
        <v>0</v>
      </c>
      <c r="G560" s="85">
        <f>'AGO-26'!F43</f>
        <v>0</v>
      </c>
      <c r="H560" s="85">
        <f t="shared" si="0"/>
        <v>0</v>
      </c>
      <c r="I560" s="83" t="s">
        <v>102</v>
      </c>
      <c r="J560" s="83" t="str">
        <f t="shared" si="1"/>
        <v/>
      </c>
      <c r="K560" s="85">
        <f t="shared" si="2"/>
        <v>0</v>
      </c>
      <c r="L560" s="83" t="str">
        <f t="shared" si="3"/>
        <v/>
      </c>
      <c r="M560" s="83">
        <f>'AGO-26'!H43</f>
        <v>0</v>
      </c>
      <c r="N560" s="92" t="str">
        <f ca="1">IF(BD!$C560="","",IF(AND(TODAY()&gt;BD!$C560,OR(BD!$D560="PENDENTE",BD!$D560="")),"VENCIDO",""))</f>
        <v/>
      </c>
      <c r="O560" s="82" t="str">
        <f ca="1">IF(N560 = "VENCIDO",BD!$B560,"")</f>
        <v/>
      </c>
      <c r="P560" s="82" t="str">
        <f ca="1">IF(N560 = "VENCIDO",BD!$C560,"")</f>
        <v/>
      </c>
      <c r="Q560" s="83" t="str">
        <f ca="1">IF(N560 = "VENCIDO",BD!$E560,"")</f>
        <v/>
      </c>
      <c r="R560" s="83" t="str">
        <f ca="1">IF(N560 = "VENCIDO",BD!$F560,"")</f>
        <v/>
      </c>
      <c r="S560" s="85" t="str">
        <f ca="1">IF(N560 = "VENCIDO",BD!$G560,"")</f>
        <v/>
      </c>
      <c r="T560" s="83" t="str">
        <f ca="1">IF(AND(TODAY()&gt;BD!$C560, OR(BD!$D560="PENDENTE", BD!$D560="")), TODAY()-BD!$C560, "")</f>
        <v/>
      </c>
    </row>
    <row r="561" spans="1:20" ht="14.25" customHeight="1" x14ac:dyDescent="0.35">
      <c r="A561" s="32"/>
      <c r="B561" s="82">
        <f>'AGO-26'!A44</f>
        <v>0</v>
      </c>
      <c r="C561" s="82">
        <f>'AGO-26'!B44</f>
        <v>0</v>
      </c>
      <c r="D561" s="82">
        <f>'AGO-26'!C44</f>
        <v>0</v>
      </c>
      <c r="E561" s="83">
        <f>'AGO-26'!D44</f>
        <v>0</v>
      </c>
      <c r="F561" s="84">
        <f>'AGO-26'!E44</f>
        <v>0</v>
      </c>
      <c r="G561" s="85">
        <f>'AGO-26'!F44</f>
        <v>0</v>
      </c>
      <c r="H561" s="85">
        <f t="shared" si="0"/>
        <v>0</v>
      </c>
      <c r="I561" s="83" t="s">
        <v>102</v>
      </c>
      <c r="J561" s="83" t="str">
        <f t="shared" si="1"/>
        <v/>
      </c>
      <c r="K561" s="85">
        <f t="shared" si="2"/>
        <v>0</v>
      </c>
      <c r="L561" s="83" t="str">
        <f t="shared" si="3"/>
        <v/>
      </c>
      <c r="M561" s="83">
        <f>'AGO-26'!H44</f>
        <v>0</v>
      </c>
      <c r="N561" s="92" t="str">
        <f ca="1">IF(BD!$C561="","",IF(AND(TODAY()&gt;BD!$C561,OR(BD!$D561="PENDENTE",BD!$D561="")),"VENCIDO",""))</f>
        <v/>
      </c>
      <c r="O561" s="82" t="str">
        <f ca="1">IF(N561 = "VENCIDO",BD!$B561,"")</f>
        <v/>
      </c>
      <c r="P561" s="82" t="str">
        <f ca="1">IF(N561 = "VENCIDO",BD!$C561,"")</f>
        <v/>
      </c>
      <c r="Q561" s="83" t="str">
        <f ca="1">IF(N561 = "VENCIDO",BD!$E561,"")</f>
        <v/>
      </c>
      <c r="R561" s="83" t="str">
        <f ca="1">IF(N561 = "VENCIDO",BD!$F561,"")</f>
        <v/>
      </c>
      <c r="S561" s="85" t="str">
        <f ca="1">IF(N561 = "VENCIDO",BD!$G561,"")</f>
        <v/>
      </c>
      <c r="T561" s="83" t="str">
        <f ca="1">IF(AND(TODAY()&gt;BD!$C561, OR(BD!$D561="PENDENTE", BD!$D561="")), TODAY()-BD!$C561, "")</f>
        <v/>
      </c>
    </row>
    <row r="562" spans="1:20" ht="14.25" customHeight="1" x14ac:dyDescent="0.35">
      <c r="A562" s="32"/>
      <c r="B562" s="82">
        <f>'AGO-26'!A45</f>
        <v>0</v>
      </c>
      <c r="C562" s="82">
        <f>'AGO-26'!B45</f>
        <v>0</v>
      </c>
      <c r="D562" s="82">
        <f>'AGO-26'!C45</f>
        <v>0</v>
      </c>
      <c r="E562" s="83">
        <f>'AGO-26'!D45</f>
        <v>0</v>
      </c>
      <c r="F562" s="84">
        <f>'AGO-26'!E45</f>
        <v>0</v>
      </c>
      <c r="G562" s="85">
        <f>'AGO-26'!F45</f>
        <v>0</v>
      </c>
      <c r="H562" s="85">
        <f t="shared" si="0"/>
        <v>0</v>
      </c>
      <c r="I562" s="83" t="s">
        <v>102</v>
      </c>
      <c r="J562" s="83" t="str">
        <f t="shared" si="1"/>
        <v/>
      </c>
      <c r="K562" s="85">
        <f t="shared" si="2"/>
        <v>0</v>
      </c>
      <c r="L562" s="83" t="str">
        <f t="shared" si="3"/>
        <v/>
      </c>
      <c r="M562" s="83">
        <f>'AGO-26'!H45</f>
        <v>0</v>
      </c>
      <c r="N562" s="92" t="str">
        <f ca="1">IF(BD!$C562="","",IF(AND(TODAY()&gt;BD!$C562,OR(BD!$D562="PENDENTE",BD!$D562="")),"VENCIDO",""))</f>
        <v/>
      </c>
      <c r="O562" s="82" t="str">
        <f ca="1">IF(N562 = "VENCIDO",BD!$B562,"")</f>
        <v/>
      </c>
      <c r="P562" s="82" t="str">
        <f ca="1">IF(N562 = "VENCIDO",BD!$C562,"")</f>
        <v/>
      </c>
      <c r="Q562" s="83" t="str">
        <f ca="1">IF(N562 = "VENCIDO",BD!$E562,"")</f>
        <v/>
      </c>
      <c r="R562" s="83" t="str">
        <f ca="1">IF(N562 = "VENCIDO",BD!$F562,"")</f>
        <v/>
      </c>
      <c r="S562" s="85" t="str">
        <f ca="1">IF(N562 = "VENCIDO",BD!$G562,"")</f>
        <v/>
      </c>
      <c r="T562" s="83" t="str">
        <f ca="1">IF(AND(TODAY()&gt;BD!$C562, OR(BD!$D562="PENDENTE", BD!$D562="")), TODAY()-BD!$C562, "")</f>
        <v/>
      </c>
    </row>
    <row r="563" spans="1:20" ht="14.25" customHeight="1" x14ac:dyDescent="0.35">
      <c r="A563" s="32"/>
      <c r="B563" s="82">
        <f>'AGO-26'!A46</f>
        <v>0</v>
      </c>
      <c r="C563" s="82">
        <f>'AGO-26'!B46</f>
        <v>0</v>
      </c>
      <c r="D563" s="82">
        <f>'AGO-26'!C46</f>
        <v>0</v>
      </c>
      <c r="E563" s="83">
        <f>'AGO-26'!D46</f>
        <v>0</v>
      </c>
      <c r="F563" s="84">
        <f>'AGO-26'!E46</f>
        <v>0</v>
      </c>
      <c r="G563" s="85">
        <f>'AGO-26'!F46</f>
        <v>0</v>
      </c>
      <c r="H563" s="85">
        <f t="shared" si="0"/>
        <v>0</v>
      </c>
      <c r="I563" s="83" t="s">
        <v>102</v>
      </c>
      <c r="J563" s="83" t="str">
        <f t="shared" si="1"/>
        <v/>
      </c>
      <c r="K563" s="85">
        <f t="shared" si="2"/>
        <v>0</v>
      </c>
      <c r="L563" s="83" t="str">
        <f t="shared" si="3"/>
        <v/>
      </c>
      <c r="M563" s="83">
        <f>'AGO-26'!H46</f>
        <v>0</v>
      </c>
      <c r="N563" s="92" t="str">
        <f ca="1">IF(BD!$C563="","",IF(AND(TODAY()&gt;BD!$C563,OR(BD!$D563="PENDENTE",BD!$D563="")),"VENCIDO",""))</f>
        <v/>
      </c>
      <c r="O563" s="82" t="str">
        <f ca="1">IF(N563 = "VENCIDO",BD!$B563,"")</f>
        <v/>
      </c>
      <c r="P563" s="82" t="str">
        <f ca="1">IF(N563 = "VENCIDO",BD!$C563,"")</f>
        <v/>
      </c>
      <c r="Q563" s="83" t="str">
        <f ca="1">IF(N563 = "VENCIDO",BD!$E563,"")</f>
        <v/>
      </c>
      <c r="R563" s="83" t="str">
        <f ca="1">IF(N563 = "VENCIDO",BD!$F563,"")</f>
        <v/>
      </c>
      <c r="S563" s="85" t="str">
        <f ca="1">IF(N563 = "VENCIDO",BD!$G563,"")</f>
        <v/>
      </c>
      <c r="T563" s="83" t="str">
        <f ca="1">IF(AND(TODAY()&gt;BD!$C563, OR(BD!$D563="PENDENTE", BD!$D563="")), TODAY()-BD!$C563, "")</f>
        <v/>
      </c>
    </row>
    <row r="564" spans="1:20" ht="14.25" customHeight="1" x14ac:dyDescent="0.35">
      <c r="A564" s="32"/>
      <c r="B564" s="82">
        <f>'AGO-26'!A47</f>
        <v>0</v>
      </c>
      <c r="C564" s="82">
        <f>'AGO-26'!B47</f>
        <v>0</v>
      </c>
      <c r="D564" s="82">
        <f>'AGO-26'!C47</f>
        <v>0</v>
      </c>
      <c r="E564" s="83">
        <f>'AGO-26'!D47</f>
        <v>0</v>
      </c>
      <c r="F564" s="84">
        <f>'AGO-26'!E47</f>
        <v>0</v>
      </c>
      <c r="G564" s="85">
        <f>'AGO-26'!F47</f>
        <v>0</v>
      </c>
      <c r="H564" s="85">
        <f t="shared" si="0"/>
        <v>0</v>
      </c>
      <c r="I564" s="83" t="s">
        <v>102</v>
      </c>
      <c r="J564" s="83" t="str">
        <f t="shared" si="1"/>
        <v/>
      </c>
      <c r="K564" s="85">
        <f t="shared" si="2"/>
        <v>0</v>
      </c>
      <c r="L564" s="83" t="str">
        <f t="shared" si="3"/>
        <v/>
      </c>
      <c r="M564" s="83">
        <f>'AGO-26'!H47</f>
        <v>0</v>
      </c>
      <c r="N564" s="92" t="str">
        <f ca="1">IF(BD!$C564="","",IF(AND(TODAY()&gt;BD!$C564,OR(BD!$D564="PENDENTE",BD!$D564="")),"VENCIDO",""))</f>
        <v/>
      </c>
      <c r="O564" s="82" t="str">
        <f ca="1">IF(N564 = "VENCIDO",BD!$B564,"")</f>
        <v/>
      </c>
      <c r="P564" s="82" t="str">
        <f ca="1">IF(N564 = "VENCIDO",BD!$C564,"")</f>
        <v/>
      </c>
      <c r="Q564" s="83" t="str">
        <f ca="1">IF(N564 = "VENCIDO",BD!$E564,"")</f>
        <v/>
      </c>
      <c r="R564" s="83" t="str">
        <f ca="1">IF(N564 = "VENCIDO",BD!$F564,"")</f>
        <v/>
      </c>
      <c r="S564" s="85" t="str">
        <f ca="1">IF(N564 = "VENCIDO",BD!$G564,"")</f>
        <v/>
      </c>
      <c r="T564" s="83" t="str">
        <f ca="1">IF(AND(TODAY()&gt;BD!$C564, OR(BD!$D564="PENDENTE", BD!$D564="")), TODAY()-BD!$C564, "")</f>
        <v/>
      </c>
    </row>
    <row r="565" spans="1:20" ht="14.25" customHeight="1" x14ac:dyDescent="0.35">
      <c r="A565" s="32"/>
      <c r="B565" s="82">
        <f>'AGO-26'!A48</f>
        <v>0</v>
      </c>
      <c r="C565" s="82">
        <f>'AGO-26'!B48</f>
        <v>0</v>
      </c>
      <c r="D565" s="82">
        <f>'AGO-26'!C48</f>
        <v>0</v>
      </c>
      <c r="E565" s="83">
        <f>'AGO-26'!D48</f>
        <v>0</v>
      </c>
      <c r="F565" s="84">
        <f>'AGO-26'!E48</f>
        <v>0</v>
      </c>
      <c r="G565" s="85">
        <f>'AGO-26'!F48</f>
        <v>0</v>
      </c>
      <c r="H565" s="85">
        <f t="shared" si="0"/>
        <v>0</v>
      </c>
      <c r="I565" s="83" t="s">
        <v>102</v>
      </c>
      <c r="J565" s="83" t="str">
        <f t="shared" si="1"/>
        <v/>
      </c>
      <c r="K565" s="85">
        <f t="shared" si="2"/>
        <v>0</v>
      </c>
      <c r="L565" s="83" t="str">
        <f t="shared" si="3"/>
        <v/>
      </c>
      <c r="M565" s="83">
        <f>'AGO-26'!H48</f>
        <v>0</v>
      </c>
      <c r="N565" s="92" t="str">
        <f ca="1">IF(BD!$C565="","",IF(AND(TODAY()&gt;BD!$C565,OR(BD!$D565="PENDENTE",BD!$D565="")),"VENCIDO",""))</f>
        <v/>
      </c>
      <c r="O565" s="82" t="str">
        <f ca="1">IF(N565 = "VENCIDO",BD!$B565,"")</f>
        <v/>
      </c>
      <c r="P565" s="82" t="str">
        <f ca="1">IF(N565 = "VENCIDO",BD!$C565,"")</f>
        <v/>
      </c>
      <c r="Q565" s="83" t="str">
        <f ca="1">IF(N565 = "VENCIDO",BD!$E565,"")</f>
        <v/>
      </c>
      <c r="R565" s="83" t="str">
        <f ca="1">IF(N565 = "VENCIDO",BD!$F565,"")</f>
        <v/>
      </c>
      <c r="S565" s="85" t="str">
        <f ca="1">IF(N565 = "VENCIDO",BD!$G565,"")</f>
        <v/>
      </c>
      <c r="T565" s="83" t="str">
        <f ca="1">IF(AND(TODAY()&gt;BD!$C565, OR(BD!$D565="PENDENTE", BD!$D565="")), TODAY()-BD!$C565, "")</f>
        <v/>
      </c>
    </row>
    <row r="566" spans="1:20" ht="14.25" customHeight="1" x14ac:dyDescent="0.35">
      <c r="A566" s="32"/>
      <c r="B566" s="82">
        <f>'AGO-26'!A49</f>
        <v>0</v>
      </c>
      <c r="C566" s="82">
        <f>'AGO-26'!B49</f>
        <v>0</v>
      </c>
      <c r="D566" s="82">
        <f>'AGO-26'!C49</f>
        <v>0</v>
      </c>
      <c r="E566" s="83">
        <f>'AGO-26'!D49</f>
        <v>0</v>
      </c>
      <c r="F566" s="84">
        <f>'AGO-26'!E49</f>
        <v>0</v>
      </c>
      <c r="G566" s="85">
        <f>'AGO-26'!F49</f>
        <v>0</v>
      </c>
      <c r="H566" s="85">
        <f t="shared" si="0"/>
        <v>0</v>
      </c>
      <c r="I566" s="83" t="s">
        <v>102</v>
      </c>
      <c r="J566" s="83" t="str">
        <f t="shared" si="1"/>
        <v/>
      </c>
      <c r="K566" s="85">
        <f t="shared" si="2"/>
        <v>0</v>
      </c>
      <c r="L566" s="83" t="str">
        <f t="shared" si="3"/>
        <v/>
      </c>
      <c r="M566" s="83">
        <f>'AGO-26'!H49</f>
        <v>0</v>
      </c>
      <c r="N566" s="92" t="str">
        <f ca="1">IF(BD!$C566="","",IF(AND(TODAY()&gt;BD!$C566,OR(BD!$D566="PENDENTE",BD!$D566="")),"VENCIDO",""))</f>
        <v/>
      </c>
      <c r="O566" s="82" t="str">
        <f ca="1">IF(N566 = "VENCIDO",BD!$B566,"")</f>
        <v/>
      </c>
      <c r="P566" s="82" t="str">
        <f ca="1">IF(N566 = "VENCIDO",BD!$C566,"")</f>
        <v/>
      </c>
      <c r="Q566" s="83" t="str">
        <f ca="1">IF(N566 = "VENCIDO",BD!$E566,"")</f>
        <v/>
      </c>
      <c r="R566" s="83" t="str">
        <f ca="1">IF(N566 = "VENCIDO",BD!$F566,"")</f>
        <v/>
      </c>
      <c r="S566" s="85" t="str">
        <f ca="1">IF(N566 = "VENCIDO",BD!$G566,"")</f>
        <v/>
      </c>
      <c r="T566" s="83" t="str">
        <f ca="1">IF(AND(TODAY()&gt;BD!$C566, OR(BD!$D566="PENDENTE", BD!$D566="")), TODAY()-BD!$C566, "")</f>
        <v/>
      </c>
    </row>
    <row r="567" spans="1:20" ht="14.25" customHeight="1" x14ac:dyDescent="0.35">
      <c r="A567" s="32"/>
      <c r="B567" s="82">
        <f>'AGO-26'!A50</f>
        <v>0</v>
      </c>
      <c r="C567" s="82">
        <f>'AGO-26'!B50</f>
        <v>0</v>
      </c>
      <c r="D567" s="82">
        <f>'AGO-26'!C50</f>
        <v>0</v>
      </c>
      <c r="E567" s="83">
        <f>'AGO-26'!D50</f>
        <v>0</v>
      </c>
      <c r="F567" s="84">
        <f>'AGO-26'!E50</f>
        <v>0</v>
      </c>
      <c r="G567" s="85">
        <f>'AGO-26'!F50</f>
        <v>0</v>
      </c>
      <c r="H567" s="85">
        <f t="shared" si="0"/>
        <v>0</v>
      </c>
      <c r="I567" s="83" t="s">
        <v>102</v>
      </c>
      <c r="J567" s="83" t="str">
        <f t="shared" si="1"/>
        <v/>
      </c>
      <c r="K567" s="85">
        <f t="shared" si="2"/>
        <v>0</v>
      </c>
      <c r="L567" s="83" t="str">
        <f t="shared" si="3"/>
        <v/>
      </c>
      <c r="M567" s="83">
        <f>'AGO-26'!H50</f>
        <v>0</v>
      </c>
      <c r="N567" s="92" t="str">
        <f ca="1">IF(BD!$C567="","",IF(AND(TODAY()&gt;BD!$C567,OR(BD!$D567="PENDENTE",BD!$D567="")),"VENCIDO",""))</f>
        <v/>
      </c>
      <c r="O567" s="82" t="str">
        <f ca="1">IF(N567 = "VENCIDO",BD!$B567,"")</f>
        <v/>
      </c>
      <c r="P567" s="82" t="str">
        <f ca="1">IF(N567 = "VENCIDO",BD!$C567,"")</f>
        <v/>
      </c>
      <c r="Q567" s="83" t="str">
        <f ca="1">IF(N567 = "VENCIDO",BD!$E567,"")</f>
        <v/>
      </c>
      <c r="R567" s="83" t="str">
        <f ca="1">IF(N567 = "VENCIDO",BD!$F567,"")</f>
        <v/>
      </c>
      <c r="S567" s="85" t="str">
        <f ca="1">IF(N567 = "VENCIDO",BD!$G567,"")</f>
        <v/>
      </c>
      <c r="T567" s="83" t="str">
        <f ca="1">IF(AND(TODAY()&gt;BD!$C567, OR(BD!$D567="PENDENTE", BD!$D567="")), TODAY()-BD!$C567, "")</f>
        <v/>
      </c>
    </row>
    <row r="568" spans="1:20" ht="14.25" customHeight="1" x14ac:dyDescent="0.35">
      <c r="A568" s="32"/>
      <c r="B568" s="82">
        <f>'AGO-26'!A51</f>
        <v>0</v>
      </c>
      <c r="C568" s="82">
        <f>'AGO-26'!B51</f>
        <v>0</v>
      </c>
      <c r="D568" s="82">
        <f>'AGO-26'!C51</f>
        <v>0</v>
      </c>
      <c r="E568" s="83">
        <f>'AGO-26'!D51</f>
        <v>0</v>
      </c>
      <c r="F568" s="84">
        <f>'AGO-26'!E51</f>
        <v>0</v>
      </c>
      <c r="G568" s="85">
        <f>'AGO-26'!F51</f>
        <v>0</v>
      </c>
      <c r="H568" s="85">
        <f t="shared" si="0"/>
        <v>0</v>
      </c>
      <c r="I568" s="83" t="s">
        <v>102</v>
      </c>
      <c r="J568" s="83" t="str">
        <f t="shared" si="1"/>
        <v/>
      </c>
      <c r="K568" s="85">
        <f t="shared" si="2"/>
        <v>0</v>
      </c>
      <c r="L568" s="83" t="str">
        <f t="shared" si="3"/>
        <v/>
      </c>
      <c r="M568" s="83">
        <f>'AGO-26'!H51</f>
        <v>0</v>
      </c>
      <c r="N568" s="92" t="str">
        <f ca="1">IF(BD!$C568="","",IF(AND(TODAY()&gt;BD!$C568,OR(BD!$D568="PENDENTE",BD!$D568="")),"VENCIDO",""))</f>
        <v/>
      </c>
      <c r="O568" s="82" t="str">
        <f ca="1">IF(N568 = "VENCIDO",BD!$B568,"")</f>
        <v/>
      </c>
      <c r="P568" s="82" t="str">
        <f ca="1">IF(N568 = "VENCIDO",BD!$C568,"")</f>
        <v/>
      </c>
      <c r="Q568" s="83" t="str">
        <f ca="1">IF(N568 = "VENCIDO",BD!$E568,"")</f>
        <v/>
      </c>
      <c r="R568" s="83" t="str">
        <f ca="1">IF(N568 = "VENCIDO",BD!$F568,"")</f>
        <v/>
      </c>
      <c r="S568" s="85" t="str">
        <f ca="1">IF(N568 = "VENCIDO",BD!$G568,"")</f>
        <v/>
      </c>
      <c r="T568" s="83" t="str">
        <f ca="1">IF(AND(TODAY()&gt;BD!$C568, OR(BD!$D568="PENDENTE", BD!$D568="")), TODAY()-BD!$C568, "")</f>
        <v/>
      </c>
    </row>
    <row r="569" spans="1:20" ht="14.25" customHeight="1" x14ac:dyDescent="0.35">
      <c r="A569" s="32"/>
      <c r="B569" s="82">
        <f>'AGO-26'!A52</f>
        <v>0</v>
      </c>
      <c r="C569" s="82">
        <f>'AGO-26'!B52</f>
        <v>0</v>
      </c>
      <c r="D569" s="82">
        <f>'AGO-26'!C52</f>
        <v>0</v>
      </c>
      <c r="E569" s="83">
        <f>'AGO-26'!D52</f>
        <v>0</v>
      </c>
      <c r="F569" s="84">
        <f>'AGO-26'!E52</f>
        <v>0</v>
      </c>
      <c r="G569" s="85">
        <f>'AGO-26'!F52</f>
        <v>0</v>
      </c>
      <c r="H569" s="85">
        <f t="shared" si="0"/>
        <v>0</v>
      </c>
      <c r="I569" s="83" t="s">
        <v>102</v>
      </c>
      <c r="J569" s="83" t="str">
        <f t="shared" si="1"/>
        <v/>
      </c>
      <c r="K569" s="85">
        <f t="shared" si="2"/>
        <v>0</v>
      </c>
      <c r="L569" s="83" t="str">
        <f t="shared" si="3"/>
        <v/>
      </c>
      <c r="M569" s="83">
        <f>'AGO-26'!H52</f>
        <v>0</v>
      </c>
      <c r="N569" s="92" t="str">
        <f ca="1">IF(BD!$C569="","",IF(AND(TODAY()&gt;BD!$C569,OR(BD!$D569="PENDENTE",BD!$D569="")),"VENCIDO",""))</f>
        <v/>
      </c>
      <c r="O569" s="82" t="str">
        <f ca="1">IF(N569 = "VENCIDO",BD!$B569,"")</f>
        <v/>
      </c>
      <c r="P569" s="82" t="str">
        <f ca="1">IF(N569 = "VENCIDO",BD!$C569,"")</f>
        <v/>
      </c>
      <c r="Q569" s="83" t="str">
        <f ca="1">IF(N569 = "VENCIDO",BD!$E569,"")</f>
        <v/>
      </c>
      <c r="R569" s="83" t="str">
        <f ca="1">IF(N569 = "VENCIDO",BD!$F569,"")</f>
        <v/>
      </c>
      <c r="S569" s="85" t="str">
        <f ca="1">IF(N569 = "VENCIDO",BD!$G569,"")</f>
        <v/>
      </c>
      <c r="T569" s="83" t="str">
        <f ca="1">IF(AND(TODAY()&gt;BD!$C569, OR(BD!$D569="PENDENTE", BD!$D569="")), TODAY()-BD!$C569, "")</f>
        <v/>
      </c>
    </row>
    <row r="570" spans="1:20" ht="14.25" customHeight="1" x14ac:dyDescent="0.35">
      <c r="A570" s="32"/>
      <c r="B570" s="82">
        <f>'AGO-26'!A53</f>
        <v>0</v>
      </c>
      <c r="C570" s="82">
        <f>'AGO-26'!B53</f>
        <v>0</v>
      </c>
      <c r="D570" s="82">
        <f>'AGO-26'!C53</f>
        <v>0</v>
      </c>
      <c r="E570" s="83">
        <f>'AGO-26'!D53</f>
        <v>0</v>
      </c>
      <c r="F570" s="84">
        <f>'AGO-26'!E53</f>
        <v>0</v>
      </c>
      <c r="G570" s="85">
        <f>'AGO-26'!F53</f>
        <v>0</v>
      </c>
      <c r="H570" s="85">
        <f t="shared" si="0"/>
        <v>0</v>
      </c>
      <c r="I570" s="83" t="s">
        <v>102</v>
      </c>
      <c r="J570" s="83" t="str">
        <f t="shared" si="1"/>
        <v/>
      </c>
      <c r="K570" s="85">
        <f t="shared" si="2"/>
        <v>0</v>
      </c>
      <c r="L570" s="83" t="str">
        <f t="shared" si="3"/>
        <v/>
      </c>
      <c r="M570" s="83">
        <f>'AGO-26'!H53</f>
        <v>0</v>
      </c>
      <c r="N570" s="92" t="str">
        <f ca="1">IF(BD!$C570="","",IF(AND(TODAY()&gt;BD!$C570,OR(BD!$D570="PENDENTE",BD!$D570="")),"VENCIDO",""))</f>
        <v/>
      </c>
      <c r="O570" s="82" t="str">
        <f ca="1">IF(N570 = "VENCIDO",BD!$B570,"")</f>
        <v/>
      </c>
      <c r="P570" s="82" t="str">
        <f ca="1">IF(N570 = "VENCIDO",BD!$C570,"")</f>
        <v/>
      </c>
      <c r="Q570" s="83" t="str">
        <f ca="1">IF(N570 = "VENCIDO",BD!$E570,"")</f>
        <v/>
      </c>
      <c r="R570" s="83" t="str">
        <f ca="1">IF(N570 = "VENCIDO",BD!$F570,"")</f>
        <v/>
      </c>
      <c r="S570" s="85" t="str">
        <f ca="1">IF(N570 = "VENCIDO",BD!$G570,"")</f>
        <v/>
      </c>
      <c r="T570" s="83" t="str">
        <f ca="1">IF(AND(TODAY()&gt;BD!$C570, OR(BD!$D570="PENDENTE", BD!$D570="")), TODAY()-BD!$C570, "")</f>
        <v/>
      </c>
    </row>
    <row r="571" spans="1:20" ht="14.25" customHeight="1" x14ac:dyDescent="0.35">
      <c r="A571" s="32"/>
      <c r="B571" s="82">
        <f>'AGO-26'!A54</f>
        <v>0</v>
      </c>
      <c r="C571" s="82">
        <f>'AGO-26'!B54</f>
        <v>0</v>
      </c>
      <c r="D571" s="82">
        <f>'AGO-26'!C54</f>
        <v>0</v>
      </c>
      <c r="E571" s="83">
        <f>'AGO-26'!D54</f>
        <v>0</v>
      </c>
      <c r="F571" s="84">
        <f>'AGO-26'!E54</f>
        <v>0</v>
      </c>
      <c r="G571" s="85">
        <f>'AGO-26'!F54</f>
        <v>0</v>
      </c>
      <c r="H571" s="85">
        <f t="shared" si="0"/>
        <v>0</v>
      </c>
      <c r="I571" s="83" t="s">
        <v>102</v>
      </c>
      <c r="J571" s="83" t="str">
        <f t="shared" si="1"/>
        <v/>
      </c>
      <c r="K571" s="85">
        <f t="shared" si="2"/>
        <v>0</v>
      </c>
      <c r="L571" s="83" t="str">
        <f t="shared" si="3"/>
        <v/>
      </c>
      <c r="M571" s="83">
        <f>'AGO-26'!H54</f>
        <v>0</v>
      </c>
      <c r="N571" s="92" t="str">
        <f ca="1">IF(BD!$C571="","",IF(AND(TODAY()&gt;BD!$C571,OR(BD!$D571="PENDENTE",BD!$D571="")),"VENCIDO",""))</f>
        <v/>
      </c>
      <c r="O571" s="82" t="str">
        <f ca="1">IF(N571 = "VENCIDO",BD!$B571,"")</f>
        <v/>
      </c>
      <c r="P571" s="82" t="str">
        <f ca="1">IF(N571 = "VENCIDO",BD!$C571,"")</f>
        <v/>
      </c>
      <c r="Q571" s="83" t="str">
        <f ca="1">IF(N571 = "VENCIDO",BD!$E571,"")</f>
        <v/>
      </c>
      <c r="R571" s="83" t="str">
        <f ca="1">IF(N571 = "VENCIDO",BD!$F571,"")</f>
        <v/>
      </c>
      <c r="S571" s="85" t="str">
        <f ca="1">IF(N571 = "VENCIDO",BD!$G571,"")</f>
        <v/>
      </c>
      <c r="T571" s="83" t="str">
        <f ca="1">IF(AND(TODAY()&gt;BD!$C571, OR(BD!$D571="PENDENTE", BD!$D571="")), TODAY()-BD!$C571, "")</f>
        <v/>
      </c>
    </row>
    <row r="572" spans="1:20" ht="14.25" customHeight="1" x14ac:dyDescent="0.35">
      <c r="A572" s="32"/>
      <c r="B572" s="82">
        <f>'AGO-26'!A55</f>
        <v>0</v>
      </c>
      <c r="C572" s="82">
        <f>'AGO-26'!B55</f>
        <v>0</v>
      </c>
      <c r="D572" s="82">
        <f>'AGO-26'!C55</f>
        <v>0</v>
      </c>
      <c r="E572" s="83">
        <f>'AGO-26'!D55</f>
        <v>0</v>
      </c>
      <c r="F572" s="84">
        <f>'AGO-26'!E55</f>
        <v>0</v>
      </c>
      <c r="G572" s="85">
        <f>'AGO-26'!F55</f>
        <v>0</v>
      </c>
      <c r="H572" s="85">
        <f t="shared" si="0"/>
        <v>0</v>
      </c>
      <c r="I572" s="83" t="s">
        <v>102</v>
      </c>
      <c r="J572" s="83" t="str">
        <f t="shared" si="1"/>
        <v/>
      </c>
      <c r="K572" s="85">
        <f t="shared" si="2"/>
        <v>0</v>
      </c>
      <c r="L572" s="83" t="str">
        <f t="shared" si="3"/>
        <v/>
      </c>
      <c r="M572" s="83">
        <f>'AGO-26'!H55</f>
        <v>0</v>
      </c>
      <c r="N572" s="92" t="str">
        <f ca="1">IF(BD!$C572="","",IF(AND(TODAY()&gt;BD!$C572,OR(BD!$D572="PENDENTE",BD!$D572="")),"VENCIDO",""))</f>
        <v/>
      </c>
      <c r="O572" s="82" t="str">
        <f ca="1">IF(N572 = "VENCIDO",BD!$B572,"")</f>
        <v/>
      </c>
      <c r="P572" s="82" t="str">
        <f ca="1">IF(N572 = "VENCIDO",BD!$C572,"")</f>
        <v/>
      </c>
      <c r="Q572" s="83" t="str">
        <f ca="1">IF(N572 = "VENCIDO",BD!$E572,"")</f>
        <v/>
      </c>
      <c r="R572" s="83" t="str">
        <f ca="1">IF(N572 = "VENCIDO",BD!$F572,"")</f>
        <v/>
      </c>
      <c r="S572" s="85" t="str">
        <f ca="1">IF(N572 = "VENCIDO",BD!$G572,"")</f>
        <v/>
      </c>
      <c r="T572" s="83" t="str">
        <f ca="1">IF(AND(TODAY()&gt;BD!$C572, OR(BD!$D572="PENDENTE", BD!$D572="")), TODAY()-BD!$C572, "")</f>
        <v/>
      </c>
    </row>
    <row r="573" spans="1:20" ht="14.25" customHeight="1" x14ac:dyDescent="0.35">
      <c r="A573" s="32"/>
      <c r="B573" s="82">
        <f>'AGO-26'!A56</f>
        <v>0</v>
      </c>
      <c r="C573" s="82">
        <f>'AGO-26'!B56</f>
        <v>0</v>
      </c>
      <c r="D573" s="82">
        <f>'AGO-26'!C56</f>
        <v>0</v>
      </c>
      <c r="E573" s="83">
        <f>'AGO-26'!D56</f>
        <v>0</v>
      </c>
      <c r="F573" s="84">
        <f>'AGO-26'!E56</f>
        <v>0</v>
      </c>
      <c r="G573" s="85">
        <f>'AGO-26'!F56</f>
        <v>0</v>
      </c>
      <c r="H573" s="85">
        <f t="shared" si="0"/>
        <v>0</v>
      </c>
      <c r="I573" s="83" t="s">
        <v>102</v>
      </c>
      <c r="J573" s="83" t="str">
        <f t="shared" si="1"/>
        <v/>
      </c>
      <c r="K573" s="85">
        <f t="shared" si="2"/>
        <v>0</v>
      </c>
      <c r="L573" s="83" t="str">
        <f t="shared" si="3"/>
        <v/>
      </c>
      <c r="M573" s="83">
        <f>'AGO-26'!H56</f>
        <v>0</v>
      </c>
      <c r="N573" s="92" t="str">
        <f ca="1">IF(BD!$C573="","",IF(AND(TODAY()&gt;BD!$C573,OR(BD!$D573="PENDENTE",BD!$D573="")),"VENCIDO",""))</f>
        <v/>
      </c>
      <c r="O573" s="82" t="str">
        <f ca="1">IF(N573 = "VENCIDO",BD!$B573,"")</f>
        <v/>
      </c>
      <c r="P573" s="82" t="str">
        <f ca="1">IF(N573 = "VENCIDO",BD!$C573,"")</f>
        <v/>
      </c>
      <c r="Q573" s="83" t="str">
        <f ca="1">IF(N573 = "VENCIDO",BD!$E573,"")</f>
        <v/>
      </c>
      <c r="R573" s="83" t="str">
        <f ca="1">IF(N573 = "VENCIDO",BD!$F573,"")</f>
        <v/>
      </c>
      <c r="S573" s="85" t="str">
        <f ca="1">IF(N573 = "VENCIDO",BD!$G573,"")</f>
        <v/>
      </c>
      <c r="T573" s="83" t="str">
        <f ca="1">IF(AND(TODAY()&gt;BD!$C573, OR(BD!$D573="PENDENTE", BD!$D573="")), TODAY()-BD!$C573, "")</f>
        <v/>
      </c>
    </row>
    <row r="574" spans="1:20" ht="14.25" customHeight="1" x14ac:dyDescent="0.35">
      <c r="A574" s="32"/>
      <c r="B574" s="82">
        <f>'AGO-26'!A57</f>
        <v>0</v>
      </c>
      <c r="C574" s="82">
        <f>'AGO-26'!B57</f>
        <v>0</v>
      </c>
      <c r="D574" s="82">
        <f>'AGO-26'!C57</f>
        <v>0</v>
      </c>
      <c r="E574" s="83">
        <f>'AGO-26'!D57</f>
        <v>0</v>
      </c>
      <c r="F574" s="84">
        <f>'AGO-26'!E57</f>
        <v>0</v>
      </c>
      <c r="G574" s="85">
        <f>'AGO-26'!F57</f>
        <v>0</v>
      </c>
      <c r="H574" s="85">
        <f t="shared" si="0"/>
        <v>0</v>
      </c>
      <c r="I574" s="83" t="s">
        <v>102</v>
      </c>
      <c r="J574" s="83" t="str">
        <f t="shared" si="1"/>
        <v/>
      </c>
      <c r="K574" s="85">
        <f t="shared" si="2"/>
        <v>0</v>
      </c>
      <c r="L574" s="83" t="str">
        <f t="shared" si="3"/>
        <v/>
      </c>
      <c r="M574" s="83">
        <f>'AGO-26'!H57</f>
        <v>0</v>
      </c>
      <c r="N574" s="92" t="str">
        <f ca="1">IF(BD!$C574="","",IF(AND(TODAY()&gt;BD!$C574,OR(BD!$D574="PENDENTE",BD!$D574="")),"VENCIDO",""))</f>
        <v/>
      </c>
      <c r="O574" s="82" t="str">
        <f ca="1">IF(N574 = "VENCIDO",BD!$B574,"")</f>
        <v/>
      </c>
      <c r="P574" s="82" t="str">
        <f ca="1">IF(N574 = "VENCIDO",BD!$C574,"")</f>
        <v/>
      </c>
      <c r="Q574" s="83" t="str">
        <f ca="1">IF(N574 = "VENCIDO",BD!$E574,"")</f>
        <v/>
      </c>
      <c r="R574" s="83" t="str">
        <f ca="1">IF(N574 = "VENCIDO",BD!$F574,"")</f>
        <v/>
      </c>
      <c r="S574" s="85" t="str">
        <f ca="1">IF(N574 = "VENCIDO",BD!$G574,"")</f>
        <v/>
      </c>
      <c r="T574" s="83" t="str">
        <f ca="1">IF(AND(TODAY()&gt;BD!$C574, OR(BD!$D574="PENDENTE", BD!$D574="")), TODAY()-BD!$C574, "")</f>
        <v/>
      </c>
    </row>
    <row r="575" spans="1:20" ht="14.25" customHeight="1" x14ac:dyDescent="0.35">
      <c r="A575" s="32"/>
      <c r="B575" s="82">
        <f>'AGO-26'!A58</f>
        <v>0</v>
      </c>
      <c r="C575" s="82">
        <f>'AGO-26'!B58</f>
        <v>0</v>
      </c>
      <c r="D575" s="82">
        <f>'AGO-26'!C58</f>
        <v>0</v>
      </c>
      <c r="E575" s="83">
        <f>'AGO-26'!D58</f>
        <v>0</v>
      </c>
      <c r="F575" s="84">
        <f>'AGO-26'!E58</f>
        <v>0</v>
      </c>
      <c r="G575" s="85">
        <f>'AGO-26'!F58</f>
        <v>0</v>
      </c>
      <c r="H575" s="85">
        <f t="shared" si="0"/>
        <v>0</v>
      </c>
      <c r="I575" s="83" t="s">
        <v>102</v>
      </c>
      <c r="J575" s="83" t="str">
        <f t="shared" si="1"/>
        <v/>
      </c>
      <c r="K575" s="85">
        <f t="shared" si="2"/>
        <v>0</v>
      </c>
      <c r="L575" s="83" t="str">
        <f t="shared" si="3"/>
        <v/>
      </c>
      <c r="M575" s="83">
        <f>'AGO-26'!H58</f>
        <v>0</v>
      </c>
      <c r="N575" s="92" t="str">
        <f ca="1">IF(BD!$C575="","",IF(AND(TODAY()&gt;BD!$C575,OR(BD!$D575="PENDENTE",BD!$D575="")),"VENCIDO",""))</f>
        <v/>
      </c>
      <c r="O575" s="82" t="str">
        <f ca="1">IF(N575 = "VENCIDO",BD!$B575,"")</f>
        <v/>
      </c>
      <c r="P575" s="82" t="str">
        <f ca="1">IF(N575 = "VENCIDO",BD!$C575,"")</f>
        <v/>
      </c>
      <c r="Q575" s="83" t="str">
        <f ca="1">IF(N575 = "VENCIDO",BD!$E575,"")</f>
        <v/>
      </c>
      <c r="R575" s="83" t="str">
        <f ca="1">IF(N575 = "VENCIDO",BD!$F575,"")</f>
        <v/>
      </c>
      <c r="S575" s="85" t="str">
        <f ca="1">IF(N575 = "VENCIDO",BD!$G575,"")</f>
        <v/>
      </c>
      <c r="T575" s="83" t="str">
        <f ca="1">IF(AND(TODAY()&gt;BD!$C575, OR(BD!$D575="PENDENTE", BD!$D575="")), TODAY()-BD!$C575, "")</f>
        <v/>
      </c>
    </row>
    <row r="576" spans="1:20" ht="14.25" customHeight="1" x14ac:dyDescent="0.35">
      <c r="A576" s="32"/>
      <c r="B576" s="82">
        <f>'AGO-26'!A59</f>
        <v>0</v>
      </c>
      <c r="C576" s="82">
        <f>'AGO-26'!B59</f>
        <v>0</v>
      </c>
      <c r="D576" s="82">
        <f>'AGO-26'!C59</f>
        <v>0</v>
      </c>
      <c r="E576" s="83">
        <f>'AGO-26'!D59</f>
        <v>0</v>
      </c>
      <c r="F576" s="84">
        <f>'AGO-26'!E59</f>
        <v>0</v>
      </c>
      <c r="G576" s="85">
        <f>'AGO-26'!F59</f>
        <v>0</v>
      </c>
      <c r="H576" s="85">
        <f t="shared" si="0"/>
        <v>0</v>
      </c>
      <c r="I576" s="83" t="s">
        <v>102</v>
      </c>
      <c r="J576" s="83" t="str">
        <f t="shared" si="1"/>
        <v/>
      </c>
      <c r="K576" s="85">
        <f t="shared" si="2"/>
        <v>0</v>
      </c>
      <c r="L576" s="83" t="str">
        <f t="shared" si="3"/>
        <v/>
      </c>
      <c r="M576" s="83">
        <f>'AGO-26'!H59</f>
        <v>0</v>
      </c>
      <c r="N576" s="92" t="str">
        <f ca="1">IF(BD!$C576="","",IF(AND(TODAY()&gt;BD!$C576,OR(BD!$D576="PENDENTE",BD!$D576="")),"VENCIDO",""))</f>
        <v/>
      </c>
      <c r="O576" s="82" t="str">
        <f ca="1">IF(N576 = "VENCIDO",BD!$B576,"")</f>
        <v/>
      </c>
      <c r="P576" s="82" t="str">
        <f ca="1">IF(N576 = "VENCIDO",BD!$C576,"")</f>
        <v/>
      </c>
      <c r="Q576" s="83" t="str">
        <f ca="1">IF(N576 = "VENCIDO",BD!$E576,"")</f>
        <v/>
      </c>
      <c r="R576" s="83" t="str">
        <f ca="1">IF(N576 = "VENCIDO",BD!$F576,"")</f>
        <v/>
      </c>
      <c r="S576" s="85" t="str">
        <f ca="1">IF(N576 = "VENCIDO",BD!$G576,"")</f>
        <v/>
      </c>
      <c r="T576" s="83" t="str">
        <f ca="1">IF(AND(TODAY()&gt;BD!$C576, OR(BD!$D576="PENDENTE", BD!$D576="")), TODAY()-BD!$C576, "")</f>
        <v/>
      </c>
    </row>
    <row r="577" spans="1:20" ht="14.25" customHeight="1" x14ac:dyDescent="0.35">
      <c r="A577" s="32"/>
      <c r="B577" s="82">
        <f>'AGO-26'!A60</f>
        <v>0</v>
      </c>
      <c r="C577" s="82">
        <f>'AGO-26'!B60</f>
        <v>0</v>
      </c>
      <c r="D577" s="82">
        <f>'AGO-26'!C60</f>
        <v>0</v>
      </c>
      <c r="E577" s="83">
        <f>'AGO-26'!D60</f>
        <v>0</v>
      </c>
      <c r="F577" s="84">
        <f>'AGO-26'!E60</f>
        <v>0</v>
      </c>
      <c r="G577" s="85">
        <f>'AGO-26'!F60</f>
        <v>0</v>
      </c>
      <c r="H577" s="85">
        <f t="shared" si="0"/>
        <v>0</v>
      </c>
      <c r="I577" s="83" t="s">
        <v>102</v>
      </c>
      <c r="J577" s="83" t="str">
        <f t="shared" si="1"/>
        <v/>
      </c>
      <c r="K577" s="85">
        <f t="shared" si="2"/>
        <v>0</v>
      </c>
      <c r="L577" s="83" t="str">
        <f t="shared" si="3"/>
        <v/>
      </c>
      <c r="M577" s="83">
        <f>'AGO-26'!H60</f>
        <v>0</v>
      </c>
      <c r="N577" s="92" t="str">
        <f ca="1">IF(BD!$C577="","",IF(AND(TODAY()&gt;BD!$C577,OR(BD!$D577="PENDENTE",BD!$D577="")),"VENCIDO",""))</f>
        <v/>
      </c>
      <c r="O577" s="82" t="str">
        <f ca="1">IF(N577 = "VENCIDO",BD!$B577,"")</f>
        <v/>
      </c>
      <c r="P577" s="82" t="str">
        <f ca="1">IF(N577 = "VENCIDO",BD!$C577,"")</f>
        <v/>
      </c>
      <c r="Q577" s="83" t="str">
        <f ca="1">IF(N577 = "VENCIDO",BD!$E577,"")</f>
        <v/>
      </c>
      <c r="R577" s="83" t="str">
        <f ca="1">IF(N577 = "VENCIDO",BD!$F577,"")</f>
        <v/>
      </c>
      <c r="S577" s="85" t="str">
        <f ca="1">IF(N577 = "VENCIDO",BD!$G577,"")</f>
        <v/>
      </c>
      <c r="T577" s="83" t="str">
        <f ca="1">IF(AND(TODAY()&gt;BD!$C577, OR(BD!$D577="PENDENTE", BD!$D577="")), TODAY()-BD!$C577, "")</f>
        <v/>
      </c>
    </row>
    <row r="578" spans="1:20" ht="14.25" customHeight="1" x14ac:dyDescent="0.35">
      <c r="A578" s="32"/>
      <c r="B578" s="82">
        <f>'AGO-26'!A61</f>
        <v>0</v>
      </c>
      <c r="C578" s="82">
        <f>'AGO-26'!B61</f>
        <v>0</v>
      </c>
      <c r="D578" s="82">
        <f>'AGO-26'!C61</f>
        <v>0</v>
      </c>
      <c r="E578" s="83">
        <f>'AGO-26'!D61</f>
        <v>0</v>
      </c>
      <c r="F578" s="84">
        <f>'AGO-26'!E61</f>
        <v>0</v>
      </c>
      <c r="G578" s="85">
        <f>'AGO-26'!F61</f>
        <v>0</v>
      </c>
      <c r="H578" s="85">
        <f t="shared" si="0"/>
        <v>0</v>
      </c>
      <c r="I578" s="83" t="s">
        <v>102</v>
      </c>
      <c r="J578" s="83" t="str">
        <f t="shared" si="1"/>
        <v/>
      </c>
      <c r="K578" s="85">
        <f t="shared" si="2"/>
        <v>0</v>
      </c>
      <c r="L578" s="83" t="str">
        <f t="shared" si="3"/>
        <v/>
      </c>
      <c r="M578" s="83">
        <f>'AGO-26'!H61</f>
        <v>0</v>
      </c>
      <c r="N578" s="92" t="str">
        <f ca="1">IF(BD!$C578="","",IF(AND(TODAY()&gt;BD!$C578,OR(BD!$D578="PENDENTE",BD!$D578="")),"VENCIDO",""))</f>
        <v/>
      </c>
      <c r="O578" s="82" t="str">
        <f ca="1">IF(N578 = "VENCIDO",BD!$B578,"")</f>
        <v/>
      </c>
      <c r="P578" s="82" t="str">
        <f ca="1">IF(N578 = "VENCIDO",BD!$C578,"")</f>
        <v/>
      </c>
      <c r="Q578" s="83" t="str">
        <f ca="1">IF(N578 = "VENCIDO",BD!$E578,"")</f>
        <v/>
      </c>
      <c r="R578" s="83" t="str">
        <f ca="1">IF(N578 = "VENCIDO",BD!$F578,"")</f>
        <v/>
      </c>
      <c r="S578" s="85" t="str">
        <f ca="1">IF(N578 = "VENCIDO",BD!$G578,"")</f>
        <v/>
      </c>
      <c r="T578" s="83" t="str">
        <f ca="1">IF(AND(TODAY()&gt;BD!$C578, OR(BD!$D578="PENDENTE", BD!$D578="")), TODAY()-BD!$C578, "")</f>
        <v/>
      </c>
    </row>
    <row r="579" spans="1:20" ht="14.25" customHeight="1" x14ac:dyDescent="0.35">
      <c r="A579" s="32"/>
      <c r="B579" s="82">
        <f>'AGO-26'!A62</f>
        <v>0</v>
      </c>
      <c r="C579" s="82">
        <f>'AGO-26'!B62</f>
        <v>0</v>
      </c>
      <c r="D579" s="82">
        <f>'AGO-26'!C62</f>
        <v>0</v>
      </c>
      <c r="E579" s="83">
        <f>'AGO-26'!D62</f>
        <v>0</v>
      </c>
      <c r="F579" s="84">
        <f>'AGO-26'!E62</f>
        <v>0</v>
      </c>
      <c r="G579" s="85">
        <f>'AGO-26'!F62</f>
        <v>0</v>
      </c>
      <c r="H579" s="85">
        <f t="shared" si="0"/>
        <v>0</v>
      </c>
      <c r="I579" s="83" t="s">
        <v>102</v>
      </c>
      <c r="J579" s="83" t="str">
        <f t="shared" si="1"/>
        <v/>
      </c>
      <c r="K579" s="85">
        <f t="shared" si="2"/>
        <v>0</v>
      </c>
      <c r="L579" s="83" t="str">
        <f t="shared" si="3"/>
        <v/>
      </c>
      <c r="M579" s="83">
        <f>'AGO-26'!H62</f>
        <v>0</v>
      </c>
      <c r="N579" s="92" t="str">
        <f ca="1">IF(BD!$C579="","",IF(AND(TODAY()&gt;BD!$C579,OR(BD!$D579="PENDENTE",BD!$D579="")),"VENCIDO",""))</f>
        <v/>
      </c>
      <c r="O579" s="82" t="str">
        <f ca="1">IF(N579 = "VENCIDO",BD!$B579,"")</f>
        <v/>
      </c>
      <c r="P579" s="82" t="str">
        <f ca="1">IF(N579 = "VENCIDO",BD!$C579,"")</f>
        <v/>
      </c>
      <c r="Q579" s="83" t="str">
        <f ca="1">IF(N579 = "VENCIDO",BD!$E579,"")</f>
        <v/>
      </c>
      <c r="R579" s="83" t="str">
        <f ca="1">IF(N579 = "VENCIDO",BD!$F579,"")</f>
        <v/>
      </c>
      <c r="S579" s="85" t="str">
        <f ca="1">IF(N579 = "VENCIDO",BD!$G579,"")</f>
        <v/>
      </c>
      <c r="T579" s="83" t="str">
        <f ca="1">IF(AND(TODAY()&gt;BD!$C579, OR(BD!$D579="PENDENTE", BD!$D579="")), TODAY()-BD!$C579, "")</f>
        <v/>
      </c>
    </row>
    <row r="580" spans="1:20" ht="14.25" customHeight="1" x14ac:dyDescent="0.35">
      <c r="A580" s="32"/>
      <c r="B580" s="82">
        <f>'AGO-26'!A63</f>
        <v>0</v>
      </c>
      <c r="C580" s="82">
        <f>'AGO-26'!B63</f>
        <v>0</v>
      </c>
      <c r="D580" s="82">
        <f>'AGO-26'!C63</f>
        <v>0</v>
      </c>
      <c r="E580" s="83">
        <f>'AGO-26'!D63</f>
        <v>0</v>
      </c>
      <c r="F580" s="84">
        <f>'AGO-26'!E63</f>
        <v>0</v>
      </c>
      <c r="G580" s="85">
        <f>'AGO-26'!F63</f>
        <v>0</v>
      </c>
      <c r="H580" s="85">
        <f t="shared" si="0"/>
        <v>0</v>
      </c>
      <c r="I580" s="83" t="s">
        <v>102</v>
      </c>
      <c r="J580" s="83" t="str">
        <f t="shared" si="1"/>
        <v/>
      </c>
      <c r="K580" s="85">
        <f t="shared" si="2"/>
        <v>0</v>
      </c>
      <c r="L580" s="83" t="str">
        <f t="shared" si="3"/>
        <v/>
      </c>
      <c r="M580" s="83">
        <f>'AGO-26'!H63</f>
        <v>0</v>
      </c>
      <c r="N580" s="92" t="str">
        <f ca="1">IF(BD!$C580="","",IF(AND(TODAY()&gt;BD!$C580,OR(BD!$D580="PENDENTE",BD!$D580="")),"VENCIDO",""))</f>
        <v/>
      </c>
      <c r="O580" s="82" t="str">
        <f ca="1">IF(N580 = "VENCIDO",BD!$B580,"")</f>
        <v/>
      </c>
      <c r="P580" s="82" t="str">
        <f ca="1">IF(N580 = "VENCIDO",BD!$C580,"")</f>
        <v/>
      </c>
      <c r="Q580" s="83" t="str">
        <f ca="1">IF(N580 = "VENCIDO",BD!$E580,"")</f>
        <v/>
      </c>
      <c r="R580" s="83" t="str">
        <f ca="1">IF(N580 = "VENCIDO",BD!$F580,"")</f>
        <v/>
      </c>
      <c r="S580" s="85" t="str">
        <f ca="1">IF(N580 = "VENCIDO",BD!$G580,"")</f>
        <v/>
      </c>
      <c r="T580" s="83" t="str">
        <f ca="1">IF(AND(TODAY()&gt;BD!$C580, OR(BD!$D580="PENDENTE", BD!$D580="")), TODAY()-BD!$C580, "")</f>
        <v/>
      </c>
    </row>
    <row r="581" spans="1:20" ht="14.25" customHeight="1" x14ac:dyDescent="0.35">
      <c r="A581" s="32"/>
      <c r="B581" s="82">
        <f>'AGO-26'!A64</f>
        <v>0</v>
      </c>
      <c r="C581" s="82">
        <f>'AGO-26'!B64</f>
        <v>0</v>
      </c>
      <c r="D581" s="82">
        <f>'AGO-26'!C64</f>
        <v>0</v>
      </c>
      <c r="E581" s="83">
        <f>'AGO-26'!D64</f>
        <v>0</v>
      </c>
      <c r="F581" s="84">
        <f>'AGO-26'!E64</f>
        <v>0</v>
      </c>
      <c r="G581" s="85">
        <f>'AGO-26'!F64</f>
        <v>0</v>
      </c>
      <c r="H581" s="85">
        <f t="shared" si="0"/>
        <v>0</v>
      </c>
      <c r="I581" s="83" t="s">
        <v>102</v>
      </c>
      <c r="J581" s="83" t="str">
        <f t="shared" si="1"/>
        <v/>
      </c>
      <c r="K581" s="85">
        <f t="shared" si="2"/>
        <v>0</v>
      </c>
      <c r="L581" s="83" t="str">
        <f t="shared" si="3"/>
        <v/>
      </c>
      <c r="M581" s="83">
        <f>'AGO-26'!H64</f>
        <v>0</v>
      </c>
      <c r="N581" s="92" t="str">
        <f ca="1">IF(BD!$C581="","",IF(AND(TODAY()&gt;BD!$C581,OR(BD!$D581="PENDENTE",BD!$D581="")),"VENCIDO",""))</f>
        <v/>
      </c>
      <c r="O581" s="82" t="str">
        <f ca="1">IF(N581 = "VENCIDO",BD!$B581,"")</f>
        <v/>
      </c>
      <c r="P581" s="82" t="str">
        <f ca="1">IF(N581 = "VENCIDO",BD!$C581,"")</f>
        <v/>
      </c>
      <c r="Q581" s="83" t="str">
        <f ca="1">IF(N581 = "VENCIDO",BD!$E581,"")</f>
        <v/>
      </c>
      <c r="R581" s="83" t="str">
        <f ca="1">IF(N581 = "VENCIDO",BD!$F581,"")</f>
        <v/>
      </c>
      <c r="S581" s="85" t="str">
        <f ca="1">IF(N581 = "VENCIDO",BD!$G581,"")</f>
        <v/>
      </c>
      <c r="T581" s="83" t="str">
        <f ca="1">IF(AND(TODAY()&gt;BD!$C581, OR(BD!$D581="PENDENTE", BD!$D581="")), TODAY()-BD!$C581, "")</f>
        <v/>
      </c>
    </row>
    <row r="582" spans="1:20" ht="14.25" customHeight="1" x14ac:dyDescent="0.35">
      <c r="A582" s="32"/>
      <c r="B582" s="82">
        <f>'AGO-26'!A65</f>
        <v>0</v>
      </c>
      <c r="C582" s="82">
        <f>'AGO-26'!B65</f>
        <v>0</v>
      </c>
      <c r="D582" s="82">
        <f>'AGO-26'!C65</f>
        <v>0</v>
      </c>
      <c r="E582" s="83">
        <f>'AGO-26'!D65</f>
        <v>0</v>
      </c>
      <c r="F582" s="84">
        <f>'AGO-26'!E65</f>
        <v>0</v>
      </c>
      <c r="G582" s="85">
        <f>'AGO-26'!F65</f>
        <v>0</v>
      </c>
      <c r="H582" s="85">
        <f t="shared" si="0"/>
        <v>0</v>
      </c>
      <c r="I582" s="83" t="s">
        <v>102</v>
      </c>
      <c r="J582" s="83" t="str">
        <f t="shared" si="1"/>
        <v/>
      </c>
      <c r="K582" s="85">
        <f t="shared" si="2"/>
        <v>0</v>
      </c>
      <c r="L582" s="83" t="str">
        <f t="shared" si="3"/>
        <v/>
      </c>
      <c r="M582" s="83">
        <f>'AGO-26'!H65</f>
        <v>0</v>
      </c>
      <c r="N582" s="92" t="str">
        <f ca="1">IF(BD!$C582="","",IF(AND(TODAY()&gt;BD!$C582,OR(BD!$D582="PENDENTE",BD!$D582="")),"VENCIDO",""))</f>
        <v/>
      </c>
      <c r="O582" s="82" t="str">
        <f ca="1">IF(N582 = "VENCIDO",BD!$B582,"")</f>
        <v/>
      </c>
      <c r="P582" s="82" t="str">
        <f ca="1">IF(N582 = "VENCIDO",BD!$C582,"")</f>
        <v/>
      </c>
      <c r="Q582" s="83" t="str">
        <f ca="1">IF(N582 = "VENCIDO",BD!$E582,"")</f>
        <v/>
      </c>
      <c r="R582" s="83" t="str">
        <f ca="1">IF(N582 = "VENCIDO",BD!$F582,"")</f>
        <v/>
      </c>
      <c r="S582" s="85" t="str">
        <f ca="1">IF(N582 = "VENCIDO",BD!$G582,"")</f>
        <v/>
      </c>
      <c r="T582" s="83" t="str">
        <f ca="1">IF(AND(TODAY()&gt;BD!$C582, OR(BD!$D582="PENDENTE", BD!$D582="")), TODAY()-BD!$C582, "")</f>
        <v/>
      </c>
    </row>
    <row r="583" spans="1:20" ht="14.25" customHeight="1" x14ac:dyDescent="0.35">
      <c r="A583" s="32"/>
      <c r="B583" s="82">
        <f>'AGO-26'!A66</f>
        <v>0</v>
      </c>
      <c r="C583" s="82">
        <f>'AGO-26'!B66</f>
        <v>0</v>
      </c>
      <c r="D583" s="82">
        <f>'AGO-26'!C66</f>
        <v>0</v>
      </c>
      <c r="E583" s="83">
        <f>'AGO-26'!D66</f>
        <v>0</v>
      </c>
      <c r="F583" s="84">
        <f>'AGO-26'!E66</f>
        <v>0</v>
      </c>
      <c r="G583" s="85">
        <f>'AGO-26'!F66</f>
        <v>0</v>
      </c>
      <c r="H583" s="85">
        <f t="shared" si="0"/>
        <v>0</v>
      </c>
      <c r="I583" s="83" t="s">
        <v>102</v>
      </c>
      <c r="J583" s="83" t="str">
        <f t="shared" si="1"/>
        <v/>
      </c>
      <c r="K583" s="85">
        <f t="shared" si="2"/>
        <v>0</v>
      </c>
      <c r="L583" s="83" t="str">
        <f t="shared" si="3"/>
        <v/>
      </c>
      <c r="M583" s="83">
        <f>'AGO-26'!H66</f>
        <v>0</v>
      </c>
      <c r="N583" s="92" t="str">
        <f ca="1">IF(BD!$C583="","",IF(AND(TODAY()&gt;BD!$C583,OR(BD!$D583="PENDENTE",BD!$D583="")),"VENCIDO",""))</f>
        <v/>
      </c>
      <c r="O583" s="82" t="str">
        <f ca="1">IF(N583 = "VENCIDO",BD!$B583,"")</f>
        <v/>
      </c>
      <c r="P583" s="82" t="str">
        <f ca="1">IF(N583 = "VENCIDO",BD!$C583,"")</f>
        <v/>
      </c>
      <c r="Q583" s="83" t="str">
        <f ca="1">IF(N583 = "VENCIDO",BD!$E583,"")</f>
        <v/>
      </c>
      <c r="R583" s="83" t="str">
        <f ca="1">IF(N583 = "VENCIDO",BD!$F583,"")</f>
        <v/>
      </c>
      <c r="S583" s="85" t="str">
        <f ca="1">IF(N583 = "VENCIDO",BD!$G583,"")</f>
        <v/>
      </c>
      <c r="T583" s="83" t="str">
        <f ca="1">IF(AND(TODAY()&gt;BD!$C583, OR(BD!$D583="PENDENTE", BD!$D583="")), TODAY()-BD!$C583, "")</f>
        <v/>
      </c>
    </row>
    <row r="584" spans="1:20" ht="14.25" customHeight="1" x14ac:dyDescent="0.35">
      <c r="A584" s="32"/>
      <c r="B584" s="82">
        <f>'AGO-26'!A67</f>
        <v>0</v>
      </c>
      <c r="C584" s="82">
        <f>'AGO-26'!B67</f>
        <v>0</v>
      </c>
      <c r="D584" s="82">
        <f>'AGO-26'!C67</f>
        <v>0</v>
      </c>
      <c r="E584" s="83">
        <f>'AGO-26'!D67</f>
        <v>0</v>
      </c>
      <c r="F584" s="84">
        <f>'AGO-26'!E67</f>
        <v>0</v>
      </c>
      <c r="G584" s="85">
        <f>'AGO-26'!F67</f>
        <v>0</v>
      </c>
      <c r="H584" s="85">
        <f t="shared" si="0"/>
        <v>0</v>
      </c>
      <c r="I584" s="83" t="s">
        <v>102</v>
      </c>
      <c r="J584" s="83" t="str">
        <f t="shared" si="1"/>
        <v/>
      </c>
      <c r="K584" s="85">
        <f t="shared" si="2"/>
        <v>0</v>
      </c>
      <c r="L584" s="83" t="str">
        <f t="shared" si="3"/>
        <v/>
      </c>
      <c r="M584" s="83">
        <f>'AGO-26'!H67</f>
        <v>0</v>
      </c>
      <c r="N584" s="92" t="str">
        <f ca="1">IF(BD!$C584="","",IF(AND(TODAY()&gt;BD!$C584,OR(BD!$D584="PENDENTE",BD!$D584="")),"VENCIDO",""))</f>
        <v/>
      </c>
      <c r="O584" s="82" t="str">
        <f ca="1">IF(N584 = "VENCIDO",BD!$B584,"")</f>
        <v/>
      </c>
      <c r="P584" s="82" t="str">
        <f ca="1">IF(N584 = "VENCIDO",BD!$C584,"")</f>
        <v/>
      </c>
      <c r="Q584" s="83" t="str">
        <f ca="1">IF(N584 = "VENCIDO",BD!$E584,"")</f>
        <v/>
      </c>
      <c r="R584" s="83" t="str">
        <f ca="1">IF(N584 = "VENCIDO",BD!$F584,"")</f>
        <v/>
      </c>
      <c r="S584" s="85" t="str">
        <f ca="1">IF(N584 = "VENCIDO",BD!$G584,"")</f>
        <v/>
      </c>
      <c r="T584" s="83" t="str">
        <f ca="1">IF(AND(TODAY()&gt;BD!$C584, OR(BD!$D584="PENDENTE", BD!$D584="")), TODAY()-BD!$C584, "")</f>
        <v/>
      </c>
    </row>
    <row r="585" spans="1:20" ht="14.25" customHeight="1" x14ac:dyDescent="0.35">
      <c r="A585" s="32"/>
      <c r="B585" s="82">
        <f>'AGO-26'!A68</f>
        <v>0</v>
      </c>
      <c r="C585" s="82">
        <f>'AGO-26'!B68</f>
        <v>0</v>
      </c>
      <c r="D585" s="82">
        <f>'AGO-26'!C68</f>
        <v>0</v>
      </c>
      <c r="E585" s="83">
        <f>'AGO-26'!D68</f>
        <v>0</v>
      </c>
      <c r="F585" s="84">
        <f>'AGO-26'!E68</f>
        <v>0</v>
      </c>
      <c r="G585" s="85">
        <f>'AGO-26'!F68</f>
        <v>0</v>
      </c>
      <c r="H585" s="85">
        <f t="shared" si="0"/>
        <v>0</v>
      </c>
      <c r="I585" s="83" t="s">
        <v>102</v>
      </c>
      <c r="J585" s="83" t="str">
        <f t="shared" si="1"/>
        <v/>
      </c>
      <c r="K585" s="85">
        <f t="shared" si="2"/>
        <v>0</v>
      </c>
      <c r="L585" s="83" t="str">
        <f t="shared" si="3"/>
        <v/>
      </c>
      <c r="M585" s="83">
        <f>'AGO-26'!H68</f>
        <v>0</v>
      </c>
      <c r="N585" s="92" t="str">
        <f ca="1">IF(BD!$C585="","",IF(AND(TODAY()&gt;BD!$C585,OR(BD!$D585="PENDENTE",BD!$D585="")),"VENCIDO",""))</f>
        <v/>
      </c>
      <c r="O585" s="82" t="str">
        <f ca="1">IF(N585 = "VENCIDO",BD!$B585,"")</f>
        <v/>
      </c>
      <c r="P585" s="82" t="str">
        <f ca="1">IF(N585 = "VENCIDO",BD!$C585,"")</f>
        <v/>
      </c>
      <c r="Q585" s="83" t="str">
        <f ca="1">IF(N585 = "VENCIDO",BD!$E585,"")</f>
        <v/>
      </c>
      <c r="R585" s="83" t="str">
        <f ca="1">IF(N585 = "VENCIDO",BD!$F585,"")</f>
        <v/>
      </c>
      <c r="S585" s="85" t="str">
        <f ca="1">IF(N585 = "VENCIDO",BD!$G585,"")</f>
        <v/>
      </c>
      <c r="T585" s="83" t="str">
        <f ca="1">IF(AND(TODAY()&gt;BD!$C585, OR(BD!$D585="PENDENTE", BD!$D585="")), TODAY()-BD!$C585, "")</f>
        <v/>
      </c>
    </row>
    <row r="586" spans="1:20" ht="14.25" customHeight="1" x14ac:dyDescent="0.35">
      <c r="A586" s="32"/>
      <c r="B586" s="82">
        <f>'AGO-26'!A69</f>
        <v>0</v>
      </c>
      <c r="C586" s="82">
        <f>'AGO-26'!B69</f>
        <v>0</v>
      </c>
      <c r="D586" s="82">
        <f>'AGO-26'!C69</f>
        <v>0</v>
      </c>
      <c r="E586" s="83">
        <f>'AGO-26'!D69</f>
        <v>0</v>
      </c>
      <c r="F586" s="84">
        <f>'AGO-26'!E69</f>
        <v>0</v>
      </c>
      <c r="G586" s="85">
        <f>'AGO-26'!F69</f>
        <v>0</v>
      </c>
      <c r="H586" s="85">
        <f t="shared" si="0"/>
        <v>0</v>
      </c>
      <c r="I586" s="83" t="s">
        <v>102</v>
      </c>
      <c r="J586" s="83" t="str">
        <f t="shared" si="1"/>
        <v/>
      </c>
      <c r="K586" s="85">
        <f t="shared" si="2"/>
        <v>0</v>
      </c>
      <c r="L586" s="83" t="str">
        <f t="shared" si="3"/>
        <v/>
      </c>
      <c r="M586" s="83">
        <f>'AGO-26'!H69</f>
        <v>0</v>
      </c>
      <c r="N586" s="92" t="str">
        <f ca="1">IF(BD!$C586="","",IF(AND(TODAY()&gt;BD!$C586,OR(BD!$D586="PENDENTE",BD!$D586="")),"VENCIDO",""))</f>
        <v/>
      </c>
      <c r="O586" s="82" t="str">
        <f ca="1">IF(N586 = "VENCIDO",BD!$B586,"")</f>
        <v/>
      </c>
      <c r="P586" s="82" t="str">
        <f ca="1">IF(N586 = "VENCIDO",BD!$C586,"")</f>
        <v/>
      </c>
      <c r="Q586" s="83" t="str">
        <f ca="1">IF(N586 = "VENCIDO",BD!$E586,"")</f>
        <v/>
      </c>
      <c r="R586" s="83" t="str">
        <f ca="1">IF(N586 = "VENCIDO",BD!$F586,"")</f>
        <v/>
      </c>
      <c r="S586" s="85" t="str">
        <f ca="1">IF(N586 = "VENCIDO",BD!$G586,"")</f>
        <v/>
      </c>
      <c r="T586" s="83" t="str">
        <f ca="1">IF(AND(TODAY()&gt;BD!$C586, OR(BD!$D586="PENDENTE", BD!$D586="")), TODAY()-BD!$C586, "")</f>
        <v/>
      </c>
    </row>
    <row r="587" spans="1:20" ht="14.25" customHeight="1" x14ac:dyDescent="0.35">
      <c r="A587" s="32"/>
      <c r="B587" s="82">
        <f>'AGO-26'!A70</f>
        <v>0</v>
      </c>
      <c r="C587" s="82">
        <f>'AGO-26'!B70</f>
        <v>0</v>
      </c>
      <c r="D587" s="82">
        <f>'AGO-26'!C70</f>
        <v>0</v>
      </c>
      <c r="E587" s="83">
        <f>'AGO-26'!D70</f>
        <v>0</v>
      </c>
      <c r="F587" s="84">
        <f>'AGO-26'!E70</f>
        <v>0</v>
      </c>
      <c r="G587" s="85">
        <f>'AGO-26'!F70</f>
        <v>0</v>
      </c>
      <c r="H587" s="85">
        <f t="shared" si="0"/>
        <v>0</v>
      </c>
      <c r="I587" s="83" t="s">
        <v>102</v>
      </c>
      <c r="J587" s="83" t="str">
        <f t="shared" si="1"/>
        <v/>
      </c>
      <c r="K587" s="85">
        <f t="shared" si="2"/>
        <v>0</v>
      </c>
      <c r="L587" s="83" t="str">
        <f t="shared" si="3"/>
        <v/>
      </c>
      <c r="M587" s="83">
        <f>'AGO-26'!H70</f>
        <v>0</v>
      </c>
      <c r="N587" s="92" t="str">
        <f ca="1">IF(BD!$C587="","",IF(AND(TODAY()&gt;BD!$C587,OR(BD!$D587="PENDENTE",BD!$D587="")),"VENCIDO",""))</f>
        <v/>
      </c>
      <c r="O587" s="82" t="str">
        <f ca="1">IF(N587 = "VENCIDO",BD!$B587,"")</f>
        <v/>
      </c>
      <c r="P587" s="82" t="str">
        <f ca="1">IF(N587 = "VENCIDO",BD!$C587,"")</f>
        <v/>
      </c>
      <c r="Q587" s="83" t="str">
        <f ca="1">IF(N587 = "VENCIDO",BD!$E587,"")</f>
        <v/>
      </c>
      <c r="R587" s="83" t="str">
        <f ca="1">IF(N587 = "VENCIDO",BD!$F587,"")</f>
        <v/>
      </c>
      <c r="S587" s="85" t="str">
        <f ca="1">IF(N587 = "VENCIDO",BD!$G587,"")</f>
        <v/>
      </c>
      <c r="T587" s="83" t="str">
        <f ca="1">IF(AND(TODAY()&gt;BD!$C587, OR(BD!$D587="PENDENTE", BD!$D587="")), TODAY()-BD!$C587, "")</f>
        <v/>
      </c>
    </row>
    <row r="588" spans="1:20" ht="14.25" customHeight="1" x14ac:dyDescent="0.35">
      <c r="A588" s="32"/>
      <c r="B588" s="82">
        <f>'AGO-26'!A71</f>
        <v>0</v>
      </c>
      <c r="C588" s="82">
        <f>'AGO-26'!B71</f>
        <v>0</v>
      </c>
      <c r="D588" s="82">
        <f>'AGO-26'!C71</f>
        <v>0</v>
      </c>
      <c r="E588" s="83">
        <f>'AGO-26'!D71</f>
        <v>0</v>
      </c>
      <c r="F588" s="84">
        <f>'AGO-26'!E71</f>
        <v>0</v>
      </c>
      <c r="G588" s="85">
        <f>'AGO-26'!F71</f>
        <v>0</v>
      </c>
      <c r="H588" s="85">
        <f t="shared" si="0"/>
        <v>0</v>
      </c>
      <c r="I588" s="83" t="s">
        <v>102</v>
      </c>
      <c r="J588" s="83" t="str">
        <f t="shared" si="1"/>
        <v/>
      </c>
      <c r="K588" s="85">
        <f t="shared" si="2"/>
        <v>0</v>
      </c>
      <c r="L588" s="83" t="str">
        <f t="shared" si="3"/>
        <v/>
      </c>
      <c r="M588" s="83">
        <f>'AGO-26'!H71</f>
        <v>0</v>
      </c>
      <c r="N588" s="92" t="str">
        <f ca="1">IF(BD!$C588="","",IF(AND(TODAY()&gt;BD!$C588,OR(BD!$D588="PENDENTE",BD!$D588="")),"VENCIDO",""))</f>
        <v/>
      </c>
      <c r="O588" s="82" t="str">
        <f ca="1">IF(N588 = "VENCIDO",BD!$B588,"")</f>
        <v/>
      </c>
      <c r="P588" s="82" t="str">
        <f ca="1">IF(N588 = "VENCIDO",BD!$C588,"")</f>
        <v/>
      </c>
      <c r="Q588" s="83" t="str">
        <f ca="1">IF(N588 = "VENCIDO",BD!$E588,"")</f>
        <v/>
      </c>
      <c r="R588" s="83" t="str">
        <f ca="1">IF(N588 = "VENCIDO",BD!$F588,"")</f>
        <v/>
      </c>
      <c r="S588" s="85" t="str">
        <f ca="1">IF(N588 = "VENCIDO",BD!$G588,"")</f>
        <v/>
      </c>
      <c r="T588" s="83" t="str">
        <f ca="1">IF(AND(TODAY()&gt;BD!$C588, OR(BD!$D588="PENDENTE", BD!$D588="")), TODAY()-BD!$C588, "")</f>
        <v/>
      </c>
    </row>
    <row r="589" spans="1:20" ht="14.25" customHeight="1" x14ac:dyDescent="0.35">
      <c r="A589" s="32"/>
      <c r="B589" s="82">
        <f>'AGO-26'!A72</f>
        <v>0</v>
      </c>
      <c r="C589" s="82">
        <f>'AGO-26'!B72</f>
        <v>0</v>
      </c>
      <c r="D589" s="82">
        <f>'AGO-26'!C72</f>
        <v>0</v>
      </c>
      <c r="E589" s="83">
        <f>'AGO-26'!D72</f>
        <v>0</v>
      </c>
      <c r="F589" s="84">
        <f>'AGO-26'!E72</f>
        <v>0</v>
      </c>
      <c r="G589" s="85">
        <f>'AGO-26'!F72</f>
        <v>0</v>
      </c>
      <c r="H589" s="85">
        <f t="shared" si="0"/>
        <v>0</v>
      </c>
      <c r="I589" s="83" t="s">
        <v>102</v>
      </c>
      <c r="J589" s="83" t="str">
        <f t="shared" si="1"/>
        <v/>
      </c>
      <c r="K589" s="85">
        <f t="shared" si="2"/>
        <v>0</v>
      </c>
      <c r="L589" s="83" t="str">
        <f t="shared" si="3"/>
        <v/>
      </c>
      <c r="M589" s="83">
        <f>'AGO-26'!H72</f>
        <v>0</v>
      </c>
      <c r="N589" s="92" t="str">
        <f ca="1">IF(BD!$C589="","",IF(AND(TODAY()&gt;BD!$C589,OR(BD!$D589="PENDENTE",BD!$D589="")),"VENCIDO",""))</f>
        <v/>
      </c>
      <c r="O589" s="82" t="str">
        <f ca="1">IF(N589 = "VENCIDO",BD!$B589,"")</f>
        <v/>
      </c>
      <c r="P589" s="82" t="str">
        <f ca="1">IF(N589 = "VENCIDO",BD!$C589,"")</f>
        <v/>
      </c>
      <c r="Q589" s="83" t="str">
        <f ca="1">IF(N589 = "VENCIDO",BD!$E589,"")</f>
        <v/>
      </c>
      <c r="R589" s="83" t="str">
        <f ca="1">IF(N589 = "VENCIDO",BD!$F589,"")</f>
        <v/>
      </c>
      <c r="S589" s="85" t="str">
        <f ca="1">IF(N589 = "VENCIDO",BD!$G589,"")</f>
        <v/>
      </c>
      <c r="T589" s="83" t="str">
        <f ca="1">IF(AND(TODAY()&gt;BD!$C589, OR(BD!$D589="PENDENTE", BD!$D589="")), TODAY()-BD!$C589, "")</f>
        <v/>
      </c>
    </row>
    <row r="590" spans="1:20" ht="14.25" customHeight="1" x14ac:dyDescent="0.35">
      <c r="A590" s="32"/>
      <c r="B590" s="82">
        <f>'AGO-26'!A73</f>
        <v>0</v>
      </c>
      <c r="C590" s="82">
        <f>'AGO-26'!B73</f>
        <v>0</v>
      </c>
      <c r="D590" s="82">
        <f>'AGO-26'!C73</f>
        <v>0</v>
      </c>
      <c r="E590" s="83">
        <f>'AGO-26'!D73</f>
        <v>0</v>
      </c>
      <c r="F590" s="84">
        <f>'AGO-26'!E73</f>
        <v>0</v>
      </c>
      <c r="G590" s="85">
        <f>'AGO-26'!F73</f>
        <v>0</v>
      </c>
      <c r="H590" s="85">
        <f t="shared" si="0"/>
        <v>0</v>
      </c>
      <c r="I590" s="83" t="s">
        <v>102</v>
      </c>
      <c r="J590" s="83" t="str">
        <f t="shared" si="1"/>
        <v/>
      </c>
      <c r="K590" s="85">
        <f t="shared" si="2"/>
        <v>0</v>
      </c>
      <c r="L590" s="83" t="str">
        <f t="shared" si="3"/>
        <v/>
      </c>
      <c r="M590" s="83">
        <f>'AGO-26'!H73</f>
        <v>0</v>
      </c>
      <c r="N590" s="92" t="str">
        <f ca="1">IF(BD!$C590="","",IF(AND(TODAY()&gt;BD!$C590,OR(BD!$D590="PENDENTE",BD!$D590="")),"VENCIDO",""))</f>
        <v/>
      </c>
      <c r="O590" s="82" t="str">
        <f ca="1">IF(N590 = "VENCIDO",BD!$B590,"")</f>
        <v/>
      </c>
      <c r="P590" s="82" t="str">
        <f ca="1">IF(N590 = "VENCIDO",BD!$C590,"")</f>
        <v/>
      </c>
      <c r="Q590" s="83" t="str">
        <f ca="1">IF(N590 = "VENCIDO",BD!$E590,"")</f>
        <v/>
      </c>
      <c r="R590" s="83" t="str">
        <f ca="1">IF(N590 = "VENCIDO",BD!$F590,"")</f>
        <v/>
      </c>
      <c r="S590" s="85" t="str">
        <f ca="1">IF(N590 = "VENCIDO",BD!$G590,"")</f>
        <v/>
      </c>
      <c r="T590" s="83" t="str">
        <f ca="1">IF(AND(TODAY()&gt;BD!$C590, OR(BD!$D590="PENDENTE", BD!$D590="")), TODAY()-BD!$C590, "")</f>
        <v/>
      </c>
    </row>
    <row r="591" spans="1:20" ht="14.25" customHeight="1" x14ac:dyDescent="0.35">
      <c r="A591" s="32"/>
      <c r="B591" s="82">
        <f>'AGO-26'!A74</f>
        <v>0</v>
      </c>
      <c r="C591" s="82">
        <f>'AGO-26'!B74</f>
        <v>0</v>
      </c>
      <c r="D591" s="82">
        <f>'AGO-26'!C74</f>
        <v>0</v>
      </c>
      <c r="E591" s="83">
        <f>'AGO-26'!D74</f>
        <v>0</v>
      </c>
      <c r="F591" s="84">
        <f>'AGO-26'!E74</f>
        <v>0</v>
      </c>
      <c r="G591" s="85">
        <f>'AGO-26'!F74</f>
        <v>0</v>
      </c>
      <c r="H591" s="85">
        <f t="shared" si="0"/>
        <v>0</v>
      </c>
      <c r="I591" s="83" t="s">
        <v>102</v>
      </c>
      <c r="J591" s="83" t="str">
        <f t="shared" si="1"/>
        <v/>
      </c>
      <c r="K591" s="85">
        <f t="shared" si="2"/>
        <v>0</v>
      </c>
      <c r="L591" s="83" t="str">
        <f t="shared" si="3"/>
        <v/>
      </c>
      <c r="M591" s="83">
        <f>'AGO-26'!H74</f>
        <v>0</v>
      </c>
      <c r="N591" s="92" t="str">
        <f ca="1">IF(BD!$C591="","",IF(AND(TODAY()&gt;BD!$C591,OR(BD!$D591="PENDENTE",BD!$D591="")),"VENCIDO",""))</f>
        <v/>
      </c>
      <c r="O591" s="82" t="str">
        <f ca="1">IF(N591 = "VENCIDO",BD!$B591,"")</f>
        <v/>
      </c>
      <c r="P591" s="82" t="str">
        <f ca="1">IF(N591 = "VENCIDO",BD!$C591,"")</f>
        <v/>
      </c>
      <c r="Q591" s="83" t="str">
        <f ca="1">IF(N591 = "VENCIDO",BD!$E591,"")</f>
        <v/>
      </c>
      <c r="R591" s="83" t="str">
        <f ca="1">IF(N591 = "VENCIDO",BD!$F591,"")</f>
        <v/>
      </c>
      <c r="S591" s="85" t="str">
        <f ca="1">IF(N591 = "VENCIDO",BD!$G591,"")</f>
        <v/>
      </c>
      <c r="T591" s="83" t="str">
        <f ca="1">IF(AND(TODAY()&gt;BD!$C591, OR(BD!$D591="PENDENTE", BD!$D591="")), TODAY()-BD!$C591, "")</f>
        <v/>
      </c>
    </row>
    <row r="592" spans="1:20" ht="14.25" customHeight="1" x14ac:dyDescent="0.35">
      <c r="A592" s="32"/>
      <c r="B592" s="82">
        <f>'AGO-26'!A75</f>
        <v>0</v>
      </c>
      <c r="C592" s="82">
        <f>'AGO-26'!B75</f>
        <v>0</v>
      </c>
      <c r="D592" s="82">
        <f>'AGO-26'!C75</f>
        <v>0</v>
      </c>
      <c r="E592" s="83">
        <f>'AGO-26'!D75</f>
        <v>0</v>
      </c>
      <c r="F592" s="84">
        <f>'AGO-26'!E75</f>
        <v>0</v>
      </c>
      <c r="G592" s="85">
        <f>'AGO-26'!F75</f>
        <v>0</v>
      </c>
      <c r="H592" s="85">
        <f t="shared" si="0"/>
        <v>0</v>
      </c>
      <c r="I592" s="83" t="s">
        <v>102</v>
      </c>
      <c r="J592" s="83" t="str">
        <f t="shared" si="1"/>
        <v/>
      </c>
      <c r="K592" s="85">
        <f t="shared" si="2"/>
        <v>0</v>
      </c>
      <c r="L592" s="83" t="str">
        <f t="shared" si="3"/>
        <v/>
      </c>
      <c r="M592" s="83">
        <f>'AGO-26'!H75</f>
        <v>0</v>
      </c>
      <c r="N592" s="92" t="str">
        <f ca="1">IF(BD!$C592="","",IF(AND(TODAY()&gt;BD!$C592,OR(BD!$D592="PENDENTE",BD!$D592="")),"VENCIDO",""))</f>
        <v/>
      </c>
      <c r="O592" s="82" t="str">
        <f ca="1">IF(N592 = "VENCIDO",BD!$B592,"")</f>
        <v/>
      </c>
      <c r="P592" s="82" t="str">
        <f ca="1">IF(N592 = "VENCIDO",BD!$C592,"")</f>
        <v/>
      </c>
      <c r="Q592" s="83" t="str">
        <f ca="1">IF(N592 = "VENCIDO",BD!$E592,"")</f>
        <v/>
      </c>
      <c r="R592" s="83" t="str">
        <f ca="1">IF(N592 = "VENCIDO",BD!$F592,"")</f>
        <v/>
      </c>
      <c r="S592" s="85" t="str">
        <f ca="1">IF(N592 = "VENCIDO",BD!$G592,"")</f>
        <v/>
      </c>
      <c r="T592" s="83" t="str">
        <f ca="1">IF(AND(TODAY()&gt;BD!$C592, OR(BD!$D592="PENDENTE", BD!$D592="")), TODAY()-BD!$C592, "")</f>
        <v/>
      </c>
    </row>
    <row r="593" spans="1:20" ht="14.25" customHeight="1" x14ac:dyDescent="0.35">
      <c r="A593" s="32"/>
      <c r="B593" s="82">
        <f>'AGO-26'!A76</f>
        <v>0</v>
      </c>
      <c r="C593" s="82">
        <f>'AGO-26'!B76</f>
        <v>0</v>
      </c>
      <c r="D593" s="82">
        <f>'AGO-26'!C76</f>
        <v>0</v>
      </c>
      <c r="E593" s="83">
        <f>'AGO-26'!D76</f>
        <v>0</v>
      </c>
      <c r="F593" s="84">
        <f>'AGO-26'!E76</f>
        <v>0</v>
      </c>
      <c r="G593" s="85">
        <f>'AGO-26'!F76</f>
        <v>0</v>
      </c>
      <c r="H593" s="85">
        <f t="shared" si="0"/>
        <v>0</v>
      </c>
      <c r="I593" s="83" t="s">
        <v>102</v>
      </c>
      <c r="J593" s="83" t="str">
        <f t="shared" si="1"/>
        <v/>
      </c>
      <c r="K593" s="85">
        <f t="shared" si="2"/>
        <v>0</v>
      </c>
      <c r="L593" s="83" t="str">
        <f t="shared" si="3"/>
        <v/>
      </c>
      <c r="M593" s="83">
        <f>'AGO-26'!H76</f>
        <v>0</v>
      </c>
      <c r="N593" s="92" t="str">
        <f ca="1">IF(BD!$C593="","",IF(AND(TODAY()&gt;BD!$C593,OR(BD!$D593="PENDENTE",BD!$D593="")),"VENCIDO",""))</f>
        <v/>
      </c>
      <c r="O593" s="82" t="str">
        <f ca="1">IF(N593 = "VENCIDO",BD!$B593,"")</f>
        <v/>
      </c>
      <c r="P593" s="82" t="str">
        <f ca="1">IF(N593 = "VENCIDO",BD!$C593,"")</f>
        <v/>
      </c>
      <c r="Q593" s="83" t="str">
        <f ca="1">IF(N593 = "VENCIDO",BD!$E593,"")</f>
        <v/>
      </c>
      <c r="R593" s="83" t="str">
        <f ca="1">IF(N593 = "VENCIDO",BD!$F593,"")</f>
        <v/>
      </c>
      <c r="S593" s="85" t="str">
        <f ca="1">IF(N593 = "VENCIDO",BD!$G593,"")</f>
        <v/>
      </c>
      <c r="T593" s="83" t="str">
        <f ca="1">IF(AND(TODAY()&gt;BD!$C593, OR(BD!$D593="PENDENTE", BD!$D593="")), TODAY()-BD!$C593, "")</f>
        <v/>
      </c>
    </row>
    <row r="594" spans="1:20" ht="14.25" customHeight="1" x14ac:dyDescent="0.35">
      <c r="A594" s="32"/>
      <c r="B594" s="82">
        <f>'SET-26'!A3</f>
        <v>0</v>
      </c>
      <c r="C594" s="82">
        <f>'SET-26'!B3</f>
        <v>0</v>
      </c>
      <c r="D594" s="82">
        <f>'SET-26'!C3</f>
        <v>0</v>
      </c>
      <c r="E594" s="83">
        <f>'SET-26'!D3</f>
        <v>0</v>
      </c>
      <c r="F594" s="84">
        <f>'SET-26'!E3</f>
        <v>0</v>
      </c>
      <c r="G594" s="85">
        <f>'SET-26'!F3</f>
        <v>0</v>
      </c>
      <c r="H594" s="85">
        <f t="shared" si="0"/>
        <v>0</v>
      </c>
      <c r="I594" s="83" t="s">
        <v>103</v>
      </c>
      <c r="J594" s="83" t="str">
        <f t="shared" si="1"/>
        <v/>
      </c>
      <c r="K594" s="85">
        <f t="shared" si="2"/>
        <v>0</v>
      </c>
      <c r="L594" s="83" t="str">
        <f t="shared" si="3"/>
        <v/>
      </c>
      <c r="M594" s="83">
        <f>'SET-26'!H3</f>
        <v>0</v>
      </c>
      <c r="N594" s="92" t="str">
        <f ca="1">IF(BD!$C594="","",IF(AND(TODAY()&gt;BD!$C594,OR(BD!$D594="PENDENTE",BD!$D594="")),"VENCIDO",""))</f>
        <v/>
      </c>
      <c r="O594" s="82" t="str">
        <f ca="1">IF(N594 = "VENCIDO",BD!$B594,"")</f>
        <v/>
      </c>
      <c r="P594" s="82" t="str">
        <f ca="1">IF(N594 = "VENCIDO",BD!$C594,"")</f>
        <v/>
      </c>
      <c r="Q594" s="83" t="str">
        <f ca="1">IF(N594 = "VENCIDO",BD!$E594,"")</f>
        <v/>
      </c>
      <c r="R594" s="83" t="str">
        <f ca="1">IF(N594 = "VENCIDO",BD!$F594,"")</f>
        <v/>
      </c>
      <c r="S594" s="85" t="str">
        <f ca="1">IF(N594 = "VENCIDO",BD!$G594,"")</f>
        <v/>
      </c>
      <c r="T594" s="83" t="str">
        <f ca="1">IF(AND(TODAY()&gt;BD!$C594, OR(BD!$D594="PENDENTE", BD!$D594="")), TODAY()-BD!$C594, "")</f>
        <v/>
      </c>
    </row>
    <row r="595" spans="1:20" ht="14.25" customHeight="1" x14ac:dyDescent="0.35">
      <c r="A595" s="32"/>
      <c r="B595" s="82">
        <f>'SET-26'!A4</f>
        <v>0</v>
      </c>
      <c r="C595" s="82">
        <f>'SET-26'!B4</f>
        <v>0</v>
      </c>
      <c r="D595" s="82">
        <f>'SET-26'!C4</f>
        <v>0</v>
      </c>
      <c r="E595" s="83">
        <f>'SET-26'!D4</f>
        <v>0</v>
      </c>
      <c r="F595" s="84">
        <f>'SET-26'!E4</f>
        <v>0</v>
      </c>
      <c r="G595" s="85">
        <f>'SET-26'!F4</f>
        <v>0</v>
      </c>
      <c r="H595" s="85">
        <f t="shared" si="0"/>
        <v>0</v>
      </c>
      <c r="I595" s="83" t="s">
        <v>103</v>
      </c>
      <c r="J595" s="83" t="str">
        <f t="shared" si="1"/>
        <v/>
      </c>
      <c r="K595" s="85">
        <f t="shared" si="2"/>
        <v>0</v>
      </c>
      <c r="L595" s="83" t="str">
        <f t="shared" si="3"/>
        <v/>
      </c>
      <c r="M595" s="83">
        <f>'SET-26'!H4</f>
        <v>0</v>
      </c>
      <c r="N595" s="92" t="str">
        <f ca="1">IF(BD!$C595="","",IF(AND(TODAY()&gt;BD!$C595,OR(BD!$D595="PENDENTE",BD!$D595="")),"VENCIDO",""))</f>
        <v/>
      </c>
      <c r="O595" s="82" t="str">
        <f ca="1">IF(N595 = "VENCIDO",BD!$B595,"")</f>
        <v/>
      </c>
      <c r="P595" s="82" t="str">
        <f ca="1">IF(N595 = "VENCIDO",BD!$C595,"")</f>
        <v/>
      </c>
      <c r="Q595" s="83" t="str">
        <f ca="1">IF(N595 = "VENCIDO",BD!$E595,"")</f>
        <v/>
      </c>
      <c r="R595" s="83" t="str">
        <f ca="1">IF(N595 = "VENCIDO",BD!$F595,"")</f>
        <v/>
      </c>
      <c r="S595" s="85" t="str">
        <f ca="1">IF(N595 = "VENCIDO",BD!$G595,"")</f>
        <v/>
      </c>
      <c r="T595" s="83" t="str">
        <f ca="1">IF(AND(TODAY()&gt;BD!$C595, OR(BD!$D595="PENDENTE", BD!$D595="")), TODAY()-BD!$C595, "")</f>
        <v/>
      </c>
    </row>
    <row r="596" spans="1:20" ht="14.25" customHeight="1" x14ac:dyDescent="0.35">
      <c r="A596" s="32"/>
      <c r="B596" s="82">
        <f>'SET-26'!A5</f>
        <v>0</v>
      </c>
      <c r="C596" s="82">
        <f>'SET-26'!B5</f>
        <v>0</v>
      </c>
      <c r="D596" s="82">
        <f>'SET-26'!C5</f>
        <v>0</v>
      </c>
      <c r="E596" s="83">
        <f>'SET-26'!D5</f>
        <v>0</v>
      </c>
      <c r="F596" s="84">
        <f>'SET-26'!E5</f>
        <v>0</v>
      </c>
      <c r="G596" s="85">
        <f>'SET-26'!F5</f>
        <v>0</v>
      </c>
      <c r="H596" s="85">
        <f t="shared" si="0"/>
        <v>0</v>
      </c>
      <c r="I596" s="83" t="s">
        <v>103</v>
      </c>
      <c r="J596" s="83" t="str">
        <f t="shared" si="1"/>
        <v/>
      </c>
      <c r="K596" s="85">
        <f t="shared" si="2"/>
        <v>0</v>
      </c>
      <c r="L596" s="83" t="str">
        <f t="shared" si="3"/>
        <v/>
      </c>
      <c r="M596" s="83">
        <f>'SET-26'!H5</f>
        <v>0</v>
      </c>
      <c r="N596" s="92" t="str">
        <f ca="1">IF(BD!$C596="","",IF(AND(TODAY()&gt;BD!$C596,OR(BD!$D596="PENDENTE",BD!$D596="")),"VENCIDO",""))</f>
        <v/>
      </c>
      <c r="O596" s="82" t="str">
        <f ca="1">IF(N596 = "VENCIDO",BD!$B596,"")</f>
        <v/>
      </c>
      <c r="P596" s="82" t="str">
        <f ca="1">IF(N596 = "VENCIDO",BD!$C596,"")</f>
        <v/>
      </c>
      <c r="Q596" s="83" t="str">
        <f ca="1">IF(N596 = "VENCIDO",BD!$E596,"")</f>
        <v/>
      </c>
      <c r="R596" s="83" t="str">
        <f ca="1">IF(N596 = "VENCIDO",BD!$F596,"")</f>
        <v/>
      </c>
      <c r="S596" s="85" t="str">
        <f ca="1">IF(N596 = "VENCIDO",BD!$G596,"")</f>
        <v/>
      </c>
      <c r="T596" s="83" t="str">
        <f ca="1">IF(AND(TODAY()&gt;BD!$C596, OR(BD!$D596="PENDENTE", BD!$D596="")), TODAY()-BD!$C596, "")</f>
        <v/>
      </c>
    </row>
    <row r="597" spans="1:20" ht="14.25" customHeight="1" x14ac:dyDescent="0.35">
      <c r="A597" s="32"/>
      <c r="B597" s="82">
        <f>'SET-26'!A6</f>
        <v>0</v>
      </c>
      <c r="C597" s="82">
        <f>'SET-26'!B6</f>
        <v>0</v>
      </c>
      <c r="D597" s="82">
        <f>'SET-26'!C6</f>
        <v>0</v>
      </c>
      <c r="E597" s="83">
        <f>'SET-26'!D6</f>
        <v>0</v>
      </c>
      <c r="F597" s="84">
        <f>'SET-26'!E6</f>
        <v>0</v>
      </c>
      <c r="G597" s="85">
        <f>'SET-26'!F6</f>
        <v>0</v>
      </c>
      <c r="H597" s="85">
        <f t="shared" si="0"/>
        <v>0</v>
      </c>
      <c r="I597" s="83" t="s">
        <v>103</v>
      </c>
      <c r="J597" s="83" t="str">
        <f t="shared" si="1"/>
        <v/>
      </c>
      <c r="K597" s="85">
        <f t="shared" si="2"/>
        <v>0</v>
      </c>
      <c r="L597" s="83" t="str">
        <f t="shared" si="3"/>
        <v/>
      </c>
      <c r="M597" s="83">
        <f>'SET-26'!H6</f>
        <v>0</v>
      </c>
      <c r="N597" s="92" t="str">
        <f ca="1">IF(BD!$C597="","",IF(AND(TODAY()&gt;BD!$C597,OR(BD!$D597="PENDENTE",BD!$D597="")),"VENCIDO",""))</f>
        <v/>
      </c>
      <c r="O597" s="82" t="str">
        <f ca="1">IF(N597 = "VENCIDO",BD!$B597,"")</f>
        <v/>
      </c>
      <c r="P597" s="82" t="str">
        <f ca="1">IF(N597 = "VENCIDO",BD!$C597,"")</f>
        <v/>
      </c>
      <c r="Q597" s="83" t="str">
        <f ca="1">IF(N597 = "VENCIDO",BD!$E597,"")</f>
        <v/>
      </c>
      <c r="R597" s="83" t="str">
        <f ca="1">IF(N597 = "VENCIDO",BD!$F597,"")</f>
        <v/>
      </c>
      <c r="S597" s="85" t="str">
        <f ca="1">IF(N597 = "VENCIDO",BD!$G597,"")</f>
        <v/>
      </c>
      <c r="T597" s="83" t="str">
        <f ca="1">IF(AND(TODAY()&gt;BD!$C597, OR(BD!$D597="PENDENTE", BD!$D597="")), TODAY()-BD!$C597, "")</f>
        <v/>
      </c>
    </row>
    <row r="598" spans="1:20" ht="14.25" customHeight="1" x14ac:dyDescent="0.35">
      <c r="A598" s="32"/>
      <c r="B598" s="82">
        <f>'SET-26'!A7</f>
        <v>0</v>
      </c>
      <c r="C598" s="82">
        <f>'SET-26'!B7</f>
        <v>0</v>
      </c>
      <c r="D598" s="82">
        <f>'SET-26'!C7</f>
        <v>0</v>
      </c>
      <c r="E598" s="83">
        <f>'SET-26'!D7</f>
        <v>0</v>
      </c>
      <c r="F598" s="84">
        <f>'SET-26'!E7</f>
        <v>0</v>
      </c>
      <c r="G598" s="85">
        <f>'SET-26'!F7</f>
        <v>0</v>
      </c>
      <c r="H598" s="85">
        <f t="shared" si="0"/>
        <v>0</v>
      </c>
      <c r="I598" s="83" t="s">
        <v>103</v>
      </c>
      <c r="J598" s="83" t="str">
        <f t="shared" si="1"/>
        <v/>
      </c>
      <c r="K598" s="85">
        <f t="shared" si="2"/>
        <v>0</v>
      </c>
      <c r="L598" s="83" t="str">
        <f t="shared" si="3"/>
        <v/>
      </c>
      <c r="M598" s="83">
        <f>'SET-26'!H7</f>
        <v>0</v>
      </c>
      <c r="N598" s="92" t="str">
        <f ca="1">IF(BD!$C598="","",IF(AND(TODAY()&gt;BD!$C598,OR(BD!$D598="PENDENTE",BD!$D598="")),"VENCIDO",""))</f>
        <v/>
      </c>
      <c r="O598" s="82" t="str">
        <f ca="1">IF(N598 = "VENCIDO",BD!$B598,"")</f>
        <v/>
      </c>
      <c r="P598" s="82" t="str">
        <f ca="1">IF(N598 = "VENCIDO",BD!$C598,"")</f>
        <v/>
      </c>
      <c r="Q598" s="83" t="str">
        <f ca="1">IF(N598 = "VENCIDO",BD!$E598,"")</f>
        <v/>
      </c>
      <c r="R598" s="83" t="str">
        <f ca="1">IF(N598 = "VENCIDO",BD!$F598,"")</f>
        <v/>
      </c>
      <c r="S598" s="85" t="str">
        <f ca="1">IF(N598 = "VENCIDO",BD!$G598,"")</f>
        <v/>
      </c>
      <c r="T598" s="83" t="str">
        <f ca="1">IF(AND(TODAY()&gt;BD!$C598, OR(BD!$D598="PENDENTE", BD!$D598="")), TODAY()-BD!$C598, "")</f>
        <v/>
      </c>
    </row>
    <row r="599" spans="1:20" ht="14.25" customHeight="1" x14ac:dyDescent="0.35">
      <c r="A599" s="32"/>
      <c r="B599" s="82">
        <f>'SET-26'!A8</f>
        <v>0</v>
      </c>
      <c r="C599" s="82">
        <f>'SET-26'!B8</f>
        <v>0</v>
      </c>
      <c r="D599" s="82">
        <f>'SET-26'!C8</f>
        <v>0</v>
      </c>
      <c r="E599" s="83">
        <f>'SET-26'!D8</f>
        <v>0</v>
      </c>
      <c r="F599" s="84">
        <f>'SET-26'!E8</f>
        <v>0</v>
      </c>
      <c r="G599" s="85">
        <f>'SET-26'!F8</f>
        <v>0</v>
      </c>
      <c r="H599" s="85">
        <f t="shared" si="0"/>
        <v>0</v>
      </c>
      <c r="I599" s="83" t="s">
        <v>103</v>
      </c>
      <c r="J599" s="83" t="str">
        <f t="shared" si="1"/>
        <v/>
      </c>
      <c r="K599" s="85">
        <f t="shared" si="2"/>
        <v>0</v>
      </c>
      <c r="L599" s="83" t="str">
        <f t="shared" si="3"/>
        <v/>
      </c>
      <c r="M599" s="83">
        <f>'SET-26'!H8</f>
        <v>0</v>
      </c>
      <c r="N599" s="92" t="str">
        <f ca="1">IF(BD!$C599="","",IF(AND(TODAY()&gt;BD!$C599,OR(BD!$D599="PENDENTE",BD!$D599="")),"VENCIDO",""))</f>
        <v/>
      </c>
      <c r="O599" s="82" t="str">
        <f ca="1">IF(N599 = "VENCIDO",BD!$B599,"")</f>
        <v/>
      </c>
      <c r="P599" s="82" t="str">
        <f ca="1">IF(N599 = "VENCIDO",BD!$C599,"")</f>
        <v/>
      </c>
      <c r="Q599" s="83" t="str">
        <f ca="1">IF(N599 = "VENCIDO",BD!$E599,"")</f>
        <v/>
      </c>
      <c r="R599" s="83" t="str">
        <f ca="1">IF(N599 = "VENCIDO",BD!$F599,"")</f>
        <v/>
      </c>
      <c r="S599" s="85" t="str">
        <f ca="1">IF(N599 = "VENCIDO",BD!$G599,"")</f>
        <v/>
      </c>
      <c r="T599" s="83" t="str">
        <f ca="1">IF(AND(TODAY()&gt;BD!$C599, OR(BD!$D599="PENDENTE", BD!$D599="")), TODAY()-BD!$C599, "")</f>
        <v/>
      </c>
    </row>
    <row r="600" spans="1:20" ht="14.25" customHeight="1" x14ac:dyDescent="0.35">
      <c r="A600" s="32"/>
      <c r="B600" s="82">
        <f>'SET-26'!A9</f>
        <v>0</v>
      </c>
      <c r="C600" s="82">
        <f>'SET-26'!B9</f>
        <v>0</v>
      </c>
      <c r="D600" s="82">
        <f>'SET-26'!C9</f>
        <v>0</v>
      </c>
      <c r="E600" s="83">
        <f>'SET-26'!D9</f>
        <v>0</v>
      </c>
      <c r="F600" s="84">
        <f>'SET-26'!E9</f>
        <v>0</v>
      </c>
      <c r="G600" s="85">
        <f>'SET-26'!F9</f>
        <v>0</v>
      </c>
      <c r="H600" s="85">
        <f t="shared" si="0"/>
        <v>0</v>
      </c>
      <c r="I600" s="83" t="s">
        <v>103</v>
      </c>
      <c r="J600" s="83" t="str">
        <f t="shared" si="1"/>
        <v/>
      </c>
      <c r="K600" s="85">
        <f t="shared" si="2"/>
        <v>0</v>
      </c>
      <c r="L600" s="83" t="str">
        <f t="shared" si="3"/>
        <v/>
      </c>
      <c r="M600" s="83">
        <f>'SET-26'!H9</f>
        <v>0</v>
      </c>
      <c r="N600" s="92" t="str">
        <f ca="1">IF(BD!$C600="","",IF(AND(TODAY()&gt;BD!$C600,OR(BD!$D600="PENDENTE",BD!$D600="")),"VENCIDO",""))</f>
        <v/>
      </c>
      <c r="O600" s="82" t="str">
        <f ca="1">IF(N600 = "VENCIDO",BD!$B600,"")</f>
        <v/>
      </c>
      <c r="P600" s="82" t="str">
        <f ca="1">IF(N600 = "VENCIDO",BD!$C600,"")</f>
        <v/>
      </c>
      <c r="Q600" s="83" t="str">
        <f ca="1">IF(N600 = "VENCIDO",BD!$E600,"")</f>
        <v/>
      </c>
      <c r="R600" s="83" t="str">
        <f ca="1">IF(N600 = "VENCIDO",BD!$F600,"")</f>
        <v/>
      </c>
      <c r="S600" s="85" t="str">
        <f ca="1">IF(N600 = "VENCIDO",BD!$G600,"")</f>
        <v/>
      </c>
      <c r="T600" s="83" t="str">
        <f ca="1">IF(AND(TODAY()&gt;BD!$C600, OR(BD!$D600="PENDENTE", BD!$D600="")), TODAY()-BD!$C600, "")</f>
        <v/>
      </c>
    </row>
    <row r="601" spans="1:20" ht="14.25" customHeight="1" x14ac:dyDescent="0.35">
      <c r="A601" s="32"/>
      <c r="B601" s="82">
        <f>'SET-26'!A10</f>
        <v>0</v>
      </c>
      <c r="C601" s="82">
        <f>'SET-26'!B10</f>
        <v>0</v>
      </c>
      <c r="D601" s="82">
        <f>'SET-26'!C10</f>
        <v>0</v>
      </c>
      <c r="E601" s="83">
        <f>'SET-26'!D10</f>
        <v>0</v>
      </c>
      <c r="F601" s="84">
        <f>'SET-26'!E10</f>
        <v>0</v>
      </c>
      <c r="G601" s="85">
        <f>'SET-26'!F10</f>
        <v>0</v>
      </c>
      <c r="H601" s="85">
        <f t="shared" si="0"/>
        <v>0</v>
      </c>
      <c r="I601" s="83" t="s">
        <v>103</v>
      </c>
      <c r="J601" s="83" t="str">
        <f t="shared" si="1"/>
        <v/>
      </c>
      <c r="K601" s="85">
        <f t="shared" si="2"/>
        <v>0</v>
      </c>
      <c r="L601" s="83" t="str">
        <f t="shared" si="3"/>
        <v/>
      </c>
      <c r="M601" s="83">
        <f>'SET-26'!H10</f>
        <v>0</v>
      </c>
      <c r="N601" s="92" t="str">
        <f ca="1">IF(BD!$C601="","",IF(AND(TODAY()&gt;BD!$C601,OR(BD!$D601="PENDENTE",BD!$D601="")),"VENCIDO",""))</f>
        <v/>
      </c>
      <c r="O601" s="82" t="str">
        <f ca="1">IF(N601 = "VENCIDO",BD!$B601,"")</f>
        <v/>
      </c>
      <c r="P601" s="82" t="str">
        <f ca="1">IF(N601 = "VENCIDO",BD!$C601,"")</f>
        <v/>
      </c>
      <c r="Q601" s="83" t="str">
        <f ca="1">IF(N601 = "VENCIDO",BD!$E601,"")</f>
        <v/>
      </c>
      <c r="R601" s="83" t="str">
        <f ca="1">IF(N601 = "VENCIDO",BD!$F601,"")</f>
        <v/>
      </c>
      <c r="S601" s="85" t="str">
        <f ca="1">IF(N601 = "VENCIDO",BD!$G601,"")</f>
        <v/>
      </c>
      <c r="T601" s="83" t="str">
        <f ca="1">IF(AND(TODAY()&gt;BD!$C601, OR(BD!$D601="PENDENTE", BD!$D601="")), TODAY()-BD!$C601, "")</f>
        <v/>
      </c>
    </row>
    <row r="602" spans="1:20" ht="14.25" customHeight="1" x14ac:dyDescent="0.35">
      <c r="A602" s="32"/>
      <c r="B602" s="82">
        <f>'SET-26'!A11</f>
        <v>0</v>
      </c>
      <c r="C602" s="82">
        <f>'SET-26'!B11</f>
        <v>0</v>
      </c>
      <c r="D602" s="82">
        <f>'SET-26'!C11</f>
        <v>0</v>
      </c>
      <c r="E602" s="83">
        <f>'SET-26'!D11</f>
        <v>0</v>
      </c>
      <c r="F602" s="84">
        <f>'SET-26'!E11</f>
        <v>0</v>
      </c>
      <c r="G602" s="85">
        <f>'SET-26'!F11</f>
        <v>0</v>
      </c>
      <c r="H602" s="85">
        <f t="shared" si="0"/>
        <v>0</v>
      </c>
      <c r="I602" s="83" t="s">
        <v>103</v>
      </c>
      <c r="J602" s="83" t="str">
        <f t="shared" si="1"/>
        <v/>
      </c>
      <c r="K602" s="85">
        <f t="shared" si="2"/>
        <v>0</v>
      </c>
      <c r="L602" s="83" t="str">
        <f t="shared" si="3"/>
        <v/>
      </c>
      <c r="M602" s="83">
        <f>'SET-26'!H11</f>
        <v>0</v>
      </c>
      <c r="N602" s="92" t="str">
        <f ca="1">IF(BD!$C602="","",IF(AND(TODAY()&gt;BD!$C602,OR(BD!$D602="PENDENTE",BD!$D602="")),"VENCIDO",""))</f>
        <v/>
      </c>
      <c r="O602" s="82" t="str">
        <f ca="1">IF(N602 = "VENCIDO",BD!$B602,"")</f>
        <v/>
      </c>
      <c r="P602" s="82" t="str">
        <f ca="1">IF(N602 = "VENCIDO",BD!$C602,"")</f>
        <v/>
      </c>
      <c r="Q602" s="83" t="str">
        <f ca="1">IF(N602 = "VENCIDO",BD!$E602,"")</f>
        <v/>
      </c>
      <c r="R602" s="83" t="str">
        <f ca="1">IF(N602 = "VENCIDO",BD!$F602,"")</f>
        <v/>
      </c>
      <c r="S602" s="85" t="str">
        <f ca="1">IF(N602 = "VENCIDO",BD!$G602,"")</f>
        <v/>
      </c>
      <c r="T602" s="83" t="str">
        <f ca="1">IF(AND(TODAY()&gt;BD!$C602, OR(BD!$D602="PENDENTE", BD!$D602="")), TODAY()-BD!$C602, "")</f>
        <v/>
      </c>
    </row>
    <row r="603" spans="1:20" ht="14.25" customHeight="1" x14ac:dyDescent="0.35">
      <c r="A603" s="32"/>
      <c r="B603" s="82">
        <f>'SET-26'!A12</f>
        <v>0</v>
      </c>
      <c r="C603" s="82">
        <f>'SET-26'!B12</f>
        <v>0</v>
      </c>
      <c r="D603" s="82">
        <f>'SET-26'!C12</f>
        <v>0</v>
      </c>
      <c r="E603" s="83">
        <f>'SET-26'!D12</f>
        <v>0</v>
      </c>
      <c r="F603" s="84">
        <f>'SET-26'!E12</f>
        <v>0</v>
      </c>
      <c r="G603" s="85">
        <f>'SET-26'!F12</f>
        <v>0</v>
      </c>
      <c r="H603" s="85">
        <f t="shared" si="0"/>
        <v>0</v>
      </c>
      <c r="I603" s="83" t="s">
        <v>103</v>
      </c>
      <c r="J603" s="83" t="str">
        <f t="shared" si="1"/>
        <v/>
      </c>
      <c r="K603" s="85">
        <f t="shared" si="2"/>
        <v>0</v>
      </c>
      <c r="L603" s="83" t="str">
        <f t="shared" si="3"/>
        <v/>
      </c>
      <c r="M603" s="83">
        <f>'SET-26'!H12</f>
        <v>0</v>
      </c>
      <c r="N603" s="92" t="str">
        <f ca="1">IF(BD!$C603="","",IF(AND(TODAY()&gt;BD!$C603,OR(BD!$D603="PENDENTE",BD!$D603="")),"VENCIDO",""))</f>
        <v/>
      </c>
      <c r="O603" s="82" t="str">
        <f ca="1">IF(N603 = "VENCIDO",BD!$B603,"")</f>
        <v/>
      </c>
      <c r="P603" s="82" t="str">
        <f ca="1">IF(N603 = "VENCIDO",BD!$C603,"")</f>
        <v/>
      </c>
      <c r="Q603" s="83" t="str">
        <f ca="1">IF(N603 = "VENCIDO",BD!$E603,"")</f>
        <v/>
      </c>
      <c r="R603" s="83" t="str">
        <f ca="1">IF(N603 = "VENCIDO",BD!$F603,"")</f>
        <v/>
      </c>
      <c r="S603" s="85" t="str">
        <f ca="1">IF(N603 = "VENCIDO",BD!$G603,"")</f>
        <v/>
      </c>
      <c r="T603" s="83" t="str">
        <f ca="1">IF(AND(TODAY()&gt;BD!$C603, OR(BD!$D603="PENDENTE", BD!$D603="")), TODAY()-BD!$C603, "")</f>
        <v/>
      </c>
    </row>
    <row r="604" spans="1:20" ht="14.25" customHeight="1" x14ac:dyDescent="0.35">
      <c r="A604" s="32"/>
      <c r="B604" s="82">
        <f>'SET-26'!A13</f>
        <v>0</v>
      </c>
      <c r="C604" s="82">
        <f>'SET-26'!B13</f>
        <v>0</v>
      </c>
      <c r="D604" s="82">
        <f>'SET-26'!C13</f>
        <v>0</v>
      </c>
      <c r="E604" s="83">
        <f>'SET-26'!D13</f>
        <v>0</v>
      </c>
      <c r="F604" s="84">
        <f>'SET-26'!E13</f>
        <v>0</v>
      </c>
      <c r="G604" s="85">
        <f>'SET-26'!F13</f>
        <v>0</v>
      </c>
      <c r="H604" s="85">
        <f t="shared" si="0"/>
        <v>0</v>
      </c>
      <c r="I604" s="83" t="s">
        <v>103</v>
      </c>
      <c r="J604" s="83" t="str">
        <f t="shared" si="1"/>
        <v/>
      </c>
      <c r="K604" s="85">
        <f t="shared" si="2"/>
        <v>0</v>
      </c>
      <c r="L604" s="83" t="str">
        <f t="shared" si="3"/>
        <v/>
      </c>
      <c r="M604" s="83">
        <f>'SET-26'!H13</f>
        <v>0</v>
      </c>
      <c r="N604" s="92" t="str">
        <f ca="1">IF(BD!$C604="","",IF(AND(TODAY()&gt;BD!$C604,OR(BD!$D604="PENDENTE",BD!$D604="")),"VENCIDO",""))</f>
        <v/>
      </c>
      <c r="O604" s="82" t="str">
        <f ca="1">IF(N604 = "VENCIDO",BD!$B604,"")</f>
        <v/>
      </c>
      <c r="P604" s="82" t="str">
        <f ca="1">IF(N604 = "VENCIDO",BD!$C604,"")</f>
        <v/>
      </c>
      <c r="Q604" s="83" t="str">
        <f ca="1">IF(N604 = "VENCIDO",BD!$E604,"")</f>
        <v/>
      </c>
      <c r="R604" s="83" t="str">
        <f ca="1">IF(N604 = "VENCIDO",BD!$F604,"")</f>
        <v/>
      </c>
      <c r="S604" s="85" t="str">
        <f ca="1">IF(N604 = "VENCIDO",BD!$G604,"")</f>
        <v/>
      </c>
      <c r="T604" s="83" t="str">
        <f ca="1">IF(AND(TODAY()&gt;BD!$C604, OR(BD!$D604="PENDENTE", BD!$D604="")), TODAY()-BD!$C604, "")</f>
        <v/>
      </c>
    </row>
    <row r="605" spans="1:20" ht="14.25" customHeight="1" x14ac:dyDescent="0.35">
      <c r="A605" s="32"/>
      <c r="B605" s="82">
        <f>'SET-26'!A14</f>
        <v>0</v>
      </c>
      <c r="C605" s="82">
        <f>'SET-26'!B14</f>
        <v>0</v>
      </c>
      <c r="D605" s="82">
        <f>'SET-26'!C14</f>
        <v>0</v>
      </c>
      <c r="E605" s="83">
        <f>'SET-26'!D14</f>
        <v>0</v>
      </c>
      <c r="F605" s="84">
        <f>'SET-26'!E14</f>
        <v>0</v>
      </c>
      <c r="G605" s="85">
        <f>'SET-26'!F14</f>
        <v>0</v>
      </c>
      <c r="H605" s="85">
        <f t="shared" si="0"/>
        <v>0</v>
      </c>
      <c r="I605" s="83" t="s">
        <v>103</v>
      </c>
      <c r="J605" s="83" t="str">
        <f t="shared" si="1"/>
        <v/>
      </c>
      <c r="K605" s="85">
        <f t="shared" si="2"/>
        <v>0</v>
      </c>
      <c r="L605" s="83" t="str">
        <f t="shared" si="3"/>
        <v/>
      </c>
      <c r="M605" s="83">
        <f>'SET-26'!H14</f>
        <v>0</v>
      </c>
      <c r="N605" s="92" t="str">
        <f ca="1">IF(BD!$C605="","",IF(AND(TODAY()&gt;BD!$C605,OR(BD!$D605="PENDENTE",BD!$D605="")),"VENCIDO",""))</f>
        <v/>
      </c>
      <c r="O605" s="82" t="str">
        <f ca="1">IF(N605 = "VENCIDO",BD!$B605,"")</f>
        <v/>
      </c>
      <c r="P605" s="82" t="str">
        <f ca="1">IF(N605 = "VENCIDO",BD!$C605,"")</f>
        <v/>
      </c>
      <c r="Q605" s="83" t="str">
        <f ca="1">IF(N605 = "VENCIDO",BD!$E605,"")</f>
        <v/>
      </c>
      <c r="R605" s="83" t="str">
        <f ca="1">IF(N605 = "VENCIDO",BD!$F605,"")</f>
        <v/>
      </c>
      <c r="S605" s="85" t="str">
        <f ca="1">IF(N605 = "VENCIDO",BD!$G605,"")</f>
        <v/>
      </c>
      <c r="T605" s="83" t="str">
        <f ca="1">IF(AND(TODAY()&gt;BD!$C605, OR(BD!$D605="PENDENTE", BD!$D605="")), TODAY()-BD!$C605, "")</f>
        <v/>
      </c>
    </row>
    <row r="606" spans="1:20" ht="14.25" customHeight="1" x14ac:dyDescent="0.35">
      <c r="A606" s="32"/>
      <c r="B606" s="82">
        <f>'SET-26'!A15</f>
        <v>0</v>
      </c>
      <c r="C606" s="82">
        <f>'SET-26'!B15</f>
        <v>0</v>
      </c>
      <c r="D606" s="82">
        <f>'SET-26'!C15</f>
        <v>0</v>
      </c>
      <c r="E606" s="83">
        <f>'SET-26'!D15</f>
        <v>0</v>
      </c>
      <c r="F606" s="84">
        <f>'SET-26'!E15</f>
        <v>0</v>
      </c>
      <c r="G606" s="85">
        <f>'SET-26'!F15</f>
        <v>0</v>
      </c>
      <c r="H606" s="85">
        <f t="shared" si="0"/>
        <v>0</v>
      </c>
      <c r="I606" s="83" t="s">
        <v>103</v>
      </c>
      <c r="J606" s="83" t="str">
        <f t="shared" si="1"/>
        <v/>
      </c>
      <c r="K606" s="85">
        <f t="shared" si="2"/>
        <v>0</v>
      </c>
      <c r="L606" s="83" t="str">
        <f t="shared" si="3"/>
        <v/>
      </c>
      <c r="M606" s="83">
        <f>'SET-26'!H15</f>
        <v>0</v>
      </c>
      <c r="N606" s="92" t="str">
        <f ca="1">IF(BD!$C606="","",IF(AND(TODAY()&gt;BD!$C606,OR(BD!$D606="PENDENTE",BD!$D606="")),"VENCIDO",""))</f>
        <v/>
      </c>
      <c r="O606" s="82" t="str">
        <f ca="1">IF(N606 = "VENCIDO",BD!$B606,"")</f>
        <v/>
      </c>
      <c r="P606" s="82" t="str">
        <f ca="1">IF(N606 = "VENCIDO",BD!$C606,"")</f>
        <v/>
      </c>
      <c r="Q606" s="83" t="str">
        <f ca="1">IF(N606 = "VENCIDO",BD!$E606,"")</f>
        <v/>
      </c>
      <c r="R606" s="83" t="str">
        <f ca="1">IF(N606 = "VENCIDO",BD!$F606,"")</f>
        <v/>
      </c>
      <c r="S606" s="85" t="str">
        <f ca="1">IF(N606 = "VENCIDO",BD!$G606,"")</f>
        <v/>
      </c>
      <c r="T606" s="83" t="str">
        <f ca="1">IF(AND(TODAY()&gt;BD!$C606, OR(BD!$D606="PENDENTE", BD!$D606="")), TODAY()-BD!$C606, "")</f>
        <v/>
      </c>
    </row>
    <row r="607" spans="1:20" ht="14.25" customHeight="1" x14ac:dyDescent="0.35">
      <c r="A607" s="32"/>
      <c r="B607" s="82">
        <f>'SET-26'!A16</f>
        <v>0</v>
      </c>
      <c r="C607" s="82">
        <f>'SET-26'!B16</f>
        <v>0</v>
      </c>
      <c r="D607" s="82">
        <f>'SET-26'!C16</f>
        <v>0</v>
      </c>
      <c r="E607" s="83">
        <f>'SET-26'!D16</f>
        <v>0</v>
      </c>
      <c r="F607" s="84">
        <f>'SET-26'!E16</f>
        <v>0</v>
      </c>
      <c r="G607" s="85">
        <f>'SET-26'!F16</f>
        <v>0</v>
      </c>
      <c r="H607" s="85">
        <f t="shared" si="0"/>
        <v>0</v>
      </c>
      <c r="I607" s="83" t="s">
        <v>103</v>
      </c>
      <c r="J607" s="83" t="str">
        <f t="shared" si="1"/>
        <v/>
      </c>
      <c r="K607" s="85">
        <f t="shared" si="2"/>
        <v>0</v>
      </c>
      <c r="L607" s="83" t="str">
        <f t="shared" si="3"/>
        <v/>
      </c>
      <c r="M607" s="83">
        <f>'SET-26'!H16</f>
        <v>0</v>
      </c>
      <c r="N607" s="92" t="str">
        <f ca="1">IF(BD!$C607="","",IF(AND(TODAY()&gt;BD!$C607,OR(BD!$D607="PENDENTE",BD!$D607="")),"VENCIDO",""))</f>
        <v/>
      </c>
      <c r="O607" s="82" t="str">
        <f ca="1">IF(N607 = "VENCIDO",BD!$B607,"")</f>
        <v/>
      </c>
      <c r="P607" s="82" t="str">
        <f ca="1">IF(N607 = "VENCIDO",BD!$C607,"")</f>
        <v/>
      </c>
      <c r="Q607" s="83" t="str">
        <f ca="1">IF(N607 = "VENCIDO",BD!$E607,"")</f>
        <v/>
      </c>
      <c r="R607" s="83" t="str">
        <f ca="1">IF(N607 = "VENCIDO",BD!$F607,"")</f>
        <v/>
      </c>
      <c r="S607" s="85" t="str">
        <f ca="1">IF(N607 = "VENCIDO",BD!$G607,"")</f>
        <v/>
      </c>
      <c r="T607" s="83" t="str">
        <f ca="1">IF(AND(TODAY()&gt;BD!$C607, OR(BD!$D607="PENDENTE", BD!$D607="")), TODAY()-BD!$C607, "")</f>
        <v/>
      </c>
    </row>
    <row r="608" spans="1:20" ht="14.25" customHeight="1" x14ac:dyDescent="0.35">
      <c r="A608" s="32"/>
      <c r="B608" s="82">
        <f>'SET-26'!A17</f>
        <v>0</v>
      </c>
      <c r="C608" s="82">
        <f>'SET-26'!B17</f>
        <v>0</v>
      </c>
      <c r="D608" s="82">
        <f>'SET-26'!C17</f>
        <v>0</v>
      </c>
      <c r="E608" s="83">
        <f>'SET-26'!D17</f>
        <v>0</v>
      </c>
      <c r="F608" s="84">
        <f>'SET-26'!E17</f>
        <v>0</v>
      </c>
      <c r="G608" s="85">
        <f>'SET-26'!F17</f>
        <v>0</v>
      </c>
      <c r="H608" s="85">
        <f t="shared" si="0"/>
        <v>0</v>
      </c>
      <c r="I608" s="83" t="s">
        <v>103</v>
      </c>
      <c r="J608" s="83" t="str">
        <f t="shared" si="1"/>
        <v/>
      </c>
      <c r="K608" s="85">
        <f t="shared" si="2"/>
        <v>0</v>
      </c>
      <c r="L608" s="83" t="str">
        <f t="shared" si="3"/>
        <v/>
      </c>
      <c r="M608" s="83">
        <f>'SET-26'!H17</f>
        <v>0</v>
      </c>
      <c r="N608" s="92" t="str">
        <f ca="1">IF(BD!$C608="","",IF(AND(TODAY()&gt;BD!$C608,OR(BD!$D608="PENDENTE",BD!$D608="")),"VENCIDO",""))</f>
        <v/>
      </c>
      <c r="O608" s="82" t="str">
        <f ca="1">IF(N608 = "VENCIDO",BD!$B608,"")</f>
        <v/>
      </c>
      <c r="P608" s="82" t="str">
        <f ca="1">IF(N608 = "VENCIDO",BD!$C608,"")</f>
        <v/>
      </c>
      <c r="Q608" s="83" t="str">
        <f ca="1">IF(N608 = "VENCIDO",BD!$E608,"")</f>
        <v/>
      </c>
      <c r="R608" s="83" t="str">
        <f ca="1">IF(N608 = "VENCIDO",BD!$F608,"")</f>
        <v/>
      </c>
      <c r="S608" s="85" t="str">
        <f ca="1">IF(N608 = "VENCIDO",BD!$G608,"")</f>
        <v/>
      </c>
      <c r="T608" s="83" t="str">
        <f ca="1">IF(AND(TODAY()&gt;BD!$C608, OR(BD!$D608="PENDENTE", BD!$D608="")), TODAY()-BD!$C608, "")</f>
        <v/>
      </c>
    </row>
    <row r="609" spans="1:20" ht="14.25" customHeight="1" x14ac:dyDescent="0.35">
      <c r="A609" s="32"/>
      <c r="B609" s="82">
        <f>'SET-26'!A18</f>
        <v>0</v>
      </c>
      <c r="C609" s="82">
        <f>'SET-26'!B18</f>
        <v>0</v>
      </c>
      <c r="D609" s="82">
        <f>'SET-26'!C18</f>
        <v>0</v>
      </c>
      <c r="E609" s="83">
        <f>'SET-26'!D18</f>
        <v>0</v>
      </c>
      <c r="F609" s="84">
        <f>'SET-26'!E18</f>
        <v>0</v>
      </c>
      <c r="G609" s="85">
        <f>'SET-26'!F18</f>
        <v>0</v>
      </c>
      <c r="H609" s="85">
        <f t="shared" si="0"/>
        <v>0</v>
      </c>
      <c r="I609" s="83" t="s">
        <v>103</v>
      </c>
      <c r="J609" s="83" t="str">
        <f t="shared" si="1"/>
        <v/>
      </c>
      <c r="K609" s="85">
        <f t="shared" si="2"/>
        <v>0</v>
      </c>
      <c r="L609" s="83" t="str">
        <f t="shared" si="3"/>
        <v/>
      </c>
      <c r="M609" s="83">
        <f>'SET-26'!H18</f>
        <v>0</v>
      </c>
      <c r="N609" s="92" t="str">
        <f ca="1">IF(BD!$C609="","",IF(AND(TODAY()&gt;BD!$C609,OR(BD!$D609="PENDENTE",BD!$D609="")),"VENCIDO",""))</f>
        <v/>
      </c>
      <c r="O609" s="82" t="str">
        <f ca="1">IF(N609 = "VENCIDO",BD!$B609,"")</f>
        <v/>
      </c>
      <c r="P609" s="82" t="str">
        <f ca="1">IF(N609 = "VENCIDO",BD!$C609,"")</f>
        <v/>
      </c>
      <c r="Q609" s="83" t="str">
        <f ca="1">IF(N609 = "VENCIDO",BD!$E609,"")</f>
        <v/>
      </c>
      <c r="R609" s="83" t="str">
        <f ca="1">IF(N609 = "VENCIDO",BD!$F609,"")</f>
        <v/>
      </c>
      <c r="S609" s="85" t="str">
        <f ca="1">IF(N609 = "VENCIDO",BD!$G609,"")</f>
        <v/>
      </c>
      <c r="T609" s="83" t="str">
        <f ca="1">IF(AND(TODAY()&gt;BD!$C609, OR(BD!$D609="PENDENTE", BD!$D609="")), TODAY()-BD!$C609, "")</f>
        <v/>
      </c>
    </row>
    <row r="610" spans="1:20" ht="14.25" customHeight="1" x14ac:dyDescent="0.35">
      <c r="A610" s="32"/>
      <c r="B610" s="82">
        <f>'SET-26'!A19</f>
        <v>0</v>
      </c>
      <c r="C610" s="82">
        <f>'SET-26'!B19</f>
        <v>0</v>
      </c>
      <c r="D610" s="82">
        <f>'SET-26'!C19</f>
        <v>0</v>
      </c>
      <c r="E610" s="83">
        <f>'SET-26'!D19</f>
        <v>0</v>
      </c>
      <c r="F610" s="84">
        <f>'SET-26'!E19</f>
        <v>0</v>
      </c>
      <c r="G610" s="85">
        <f>'SET-26'!F19</f>
        <v>0</v>
      </c>
      <c r="H610" s="85">
        <f t="shared" si="0"/>
        <v>0</v>
      </c>
      <c r="I610" s="83" t="s">
        <v>103</v>
      </c>
      <c r="J610" s="83" t="str">
        <f t="shared" si="1"/>
        <v/>
      </c>
      <c r="K610" s="85">
        <f t="shared" si="2"/>
        <v>0</v>
      </c>
      <c r="L610" s="83" t="str">
        <f t="shared" si="3"/>
        <v/>
      </c>
      <c r="M610" s="83">
        <f>'SET-26'!H19</f>
        <v>0</v>
      </c>
      <c r="N610" s="92" t="str">
        <f ca="1">IF(BD!$C610="","",IF(AND(TODAY()&gt;BD!$C610,OR(BD!$D610="PENDENTE",BD!$D610="")),"VENCIDO",""))</f>
        <v/>
      </c>
      <c r="O610" s="82" t="str">
        <f ca="1">IF(N610 = "VENCIDO",BD!$B610,"")</f>
        <v/>
      </c>
      <c r="P610" s="82" t="str">
        <f ca="1">IF(N610 = "VENCIDO",BD!$C610,"")</f>
        <v/>
      </c>
      <c r="Q610" s="83" t="str">
        <f ca="1">IF(N610 = "VENCIDO",BD!$E610,"")</f>
        <v/>
      </c>
      <c r="R610" s="83" t="str">
        <f ca="1">IF(N610 = "VENCIDO",BD!$F610,"")</f>
        <v/>
      </c>
      <c r="S610" s="85" t="str">
        <f ca="1">IF(N610 = "VENCIDO",BD!$G610,"")</f>
        <v/>
      </c>
      <c r="T610" s="83" t="str">
        <f ca="1">IF(AND(TODAY()&gt;BD!$C610, OR(BD!$D610="PENDENTE", BD!$D610="")), TODAY()-BD!$C610, "")</f>
        <v/>
      </c>
    </row>
    <row r="611" spans="1:20" ht="14.25" customHeight="1" x14ac:dyDescent="0.35">
      <c r="A611" s="32"/>
      <c r="B611" s="82">
        <f>'SET-26'!A20</f>
        <v>0</v>
      </c>
      <c r="C611" s="82">
        <f>'SET-26'!B20</f>
        <v>0</v>
      </c>
      <c r="D611" s="82">
        <f>'SET-26'!C20</f>
        <v>0</v>
      </c>
      <c r="E611" s="83">
        <f>'SET-26'!D20</f>
        <v>0</v>
      </c>
      <c r="F611" s="84">
        <f>'SET-26'!E20</f>
        <v>0</v>
      </c>
      <c r="G611" s="85">
        <f>'SET-26'!F20</f>
        <v>0</v>
      </c>
      <c r="H611" s="85">
        <f t="shared" si="0"/>
        <v>0</v>
      </c>
      <c r="I611" s="83" t="s">
        <v>103</v>
      </c>
      <c r="J611" s="83" t="str">
        <f t="shared" si="1"/>
        <v/>
      </c>
      <c r="K611" s="85">
        <f t="shared" si="2"/>
        <v>0</v>
      </c>
      <c r="L611" s="83" t="str">
        <f t="shared" si="3"/>
        <v/>
      </c>
      <c r="M611" s="83">
        <f>'SET-26'!H20</f>
        <v>0</v>
      </c>
      <c r="N611" s="92" t="str">
        <f ca="1">IF(BD!$C611="","",IF(AND(TODAY()&gt;BD!$C611,OR(BD!$D611="PENDENTE",BD!$D611="")),"VENCIDO",""))</f>
        <v/>
      </c>
      <c r="O611" s="82" t="str">
        <f ca="1">IF(N611 = "VENCIDO",BD!$B611,"")</f>
        <v/>
      </c>
      <c r="P611" s="82" t="str">
        <f ca="1">IF(N611 = "VENCIDO",BD!$C611,"")</f>
        <v/>
      </c>
      <c r="Q611" s="83" t="str">
        <f ca="1">IF(N611 = "VENCIDO",BD!$E611,"")</f>
        <v/>
      </c>
      <c r="R611" s="83" t="str">
        <f ca="1">IF(N611 = "VENCIDO",BD!$F611,"")</f>
        <v/>
      </c>
      <c r="S611" s="85" t="str">
        <f ca="1">IF(N611 = "VENCIDO",BD!$G611,"")</f>
        <v/>
      </c>
      <c r="T611" s="83" t="str">
        <f ca="1">IF(AND(TODAY()&gt;BD!$C611, OR(BD!$D611="PENDENTE", BD!$D611="")), TODAY()-BD!$C611, "")</f>
        <v/>
      </c>
    </row>
    <row r="612" spans="1:20" ht="14.25" customHeight="1" x14ac:dyDescent="0.35">
      <c r="A612" s="32"/>
      <c r="B612" s="82">
        <f>'SET-26'!A21</f>
        <v>0</v>
      </c>
      <c r="C612" s="82">
        <f>'SET-26'!B21</f>
        <v>0</v>
      </c>
      <c r="D612" s="82">
        <f>'SET-26'!C21</f>
        <v>0</v>
      </c>
      <c r="E612" s="83">
        <f>'SET-26'!D21</f>
        <v>0</v>
      </c>
      <c r="F612" s="84">
        <f>'SET-26'!E21</f>
        <v>0</v>
      </c>
      <c r="G612" s="85">
        <f>'SET-26'!F21</f>
        <v>0</v>
      </c>
      <c r="H612" s="85">
        <f t="shared" si="0"/>
        <v>0</v>
      </c>
      <c r="I612" s="83" t="s">
        <v>103</v>
      </c>
      <c r="J612" s="83" t="str">
        <f t="shared" si="1"/>
        <v/>
      </c>
      <c r="K612" s="85">
        <f t="shared" si="2"/>
        <v>0</v>
      </c>
      <c r="L612" s="83" t="str">
        <f t="shared" si="3"/>
        <v/>
      </c>
      <c r="M612" s="83">
        <f>'SET-26'!H21</f>
        <v>0</v>
      </c>
      <c r="N612" s="92" t="str">
        <f ca="1">IF(BD!$C612="","",IF(AND(TODAY()&gt;BD!$C612,OR(BD!$D612="PENDENTE",BD!$D612="")),"VENCIDO",""))</f>
        <v/>
      </c>
      <c r="O612" s="82" t="str">
        <f ca="1">IF(N612 = "VENCIDO",BD!$B612,"")</f>
        <v/>
      </c>
      <c r="P612" s="82" t="str">
        <f ca="1">IF(N612 = "VENCIDO",BD!$C612,"")</f>
        <v/>
      </c>
      <c r="Q612" s="83" t="str">
        <f ca="1">IF(N612 = "VENCIDO",BD!$E612,"")</f>
        <v/>
      </c>
      <c r="R612" s="83" t="str">
        <f ca="1">IF(N612 = "VENCIDO",BD!$F612,"")</f>
        <v/>
      </c>
      <c r="S612" s="85" t="str">
        <f ca="1">IF(N612 = "VENCIDO",BD!$G612,"")</f>
        <v/>
      </c>
      <c r="T612" s="83" t="str">
        <f ca="1">IF(AND(TODAY()&gt;BD!$C612, OR(BD!$D612="PENDENTE", BD!$D612="")), TODAY()-BD!$C612, "")</f>
        <v/>
      </c>
    </row>
    <row r="613" spans="1:20" ht="14.25" customHeight="1" x14ac:dyDescent="0.35">
      <c r="A613" s="32"/>
      <c r="B613" s="82">
        <f>'SET-26'!A22</f>
        <v>0</v>
      </c>
      <c r="C613" s="82">
        <f>'SET-26'!B22</f>
        <v>0</v>
      </c>
      <c r="D613" s="82">
        <f>'SET-26'!C22</f>
        <v>0</v>
      </c>
      <c r="E613" s="83">
        <f>'SET-26'!D22</f>
        <v>0</v>
      </c>
      <c r="F613" s="84">
        <f>'SET-26'!E22</f>
        <v>0</v>
      </c>
      <c r="G613" s="85">
        <f>'SET-26'!F22</f>
        <v>0</v>
      </c>
      <c r="H613" s="85">
        <f t="shared" si="0"/>
        <v>0</v>
      </c>
      <c r="I613" s="83" t="s">
        <v>103</v>
      </c>
      <c r="J613" s="83" t="str">
        <f t="shared" si="1"/>
        <v/>
      </c>
      <c r="K613" s="85">
        <f t="shared" si="2"/>
        <v>0</v>
      </c>
      <c r="L613" s="83" t="str">
        <f t="shared" si="3"/>
        <v/>
      </c>
      <c r="M613" s="83">
        <f>'SET-26'!H22</f>
        <v>0</v>
      </c>
      <c r="N613" s="92" t="str">
        <f ca="1">IF(BD!$C613="","",IF(AND(TODAY()&gt;BD!$C613,OR(BD!$D613="PENDENTE",BD!$D613="")),"VENCIDO",""))</f>
        <v/>
      </c>
      <c r="O613" s="82" t="str">
        <f ca="1">IF(N613 = "VENCIDO",BD!$B613,"")</f>
        <v/>
      </c>
      <c r="P613" s="82" t="str">
        <f ca="1">IF(N613 = "VENCIDO",BD!$C613,"")</f>
        <v/>
      </c>
      <c r="Q613" s="83" t="str">
        <f ca="1">IF(N613 = "VENCIDO",BD!$E613,"")</f>
        <v/>
      </c>
      <c r="R613" s="83" t="str">
        <f ca="1">IF(N613 = "VENCIDO",BD!$F613,"")</f>
        <v/>
      </c>
      <c r="S613" s="85" t="str">
        <f ca="1">IF(N613 = "VENCIDO",BD!$G613,"")</f>
        <v/>
      </c>
      <c r="T613" s="83" t="str">
        <f ca="1">IF(AND(TODAY()&gt;BD!$C613, OR(BD!$D613="PENDENTE", BD!$D613="")), TODAY()-BD!$C613, "")</f>
        <v/>
      </c>
    </row>
    <row r="614" spans="1:20" ht="14.25" customHeight="1" x14ac:dyDescent="0.35">
      <c r="A614" s="32"/>
      <c r="B614" s="82">
        <f>'SET-26'!A23</f>
        <v>0</v>
      </c>
      <c r="C614" s="82">
        <f>'SET-26'!B23</f>
        <v>0</v>
      </c>
      <c r="D614" s="82">
        <f>'SET-26'!C23</f>
        <v>0</v>
      </c>
      <c r="E614" s="83">
        <f>'SET-26'!D23</f>
        <v>0</v>
      </c>
      <c r="F614" s="84">
        <f>'SET-26'!E23</f>
        <v>0</v>
      </c>
      <c r="G614" s="85">
        <f>'SET-26'!F23</f>
        <v>0</v>
      </c>
      <c r="H614" s="85">
        <f t="shared" si="0"/>
        <v>0</v>
      </c>
      <c r="I614" s="83" t="s">
        <v>103</v>
      </c>
      <c r="J614" s="83" t="str">
        <f t="shared" si="1"/>
        <v/>
      </c>
      <c r="K614" s="85">
        <f t="shared" si="2"/>
        <v>0</v>
      </c>
      <c r="L614" s="83" t="str">
        <f t="shared" si="3"/>
        <v/>
      </c>
      <c r="M614" s="83">
        <f>'SET-26'!H23</f>
        <v>0</v>
      </c>
      <c r="N614" s="92" t="str">
        <f ca="1">IF(BD!$C614="","",IF(AND(TODAY()&gt;BD!$C614,OR(BD!$D614="PENDENTE",BD!$D614="")),"VENCIDO",""))</f>
        <v/>
      </c>
      <c r="O614" s="82" t="str">
        <f ca="1">IF(N614 = "VENCIDO",BD!$B614,"")</f>
        <v/>
      </c>
      <c r="P614" s="82" t="str">
        <f ca="1">IF(N614 = "VENCIDO",BD!$C614,"")</f>
        <v/>
      </c>
      <c r="Q614" s="83" t="str">
        <f ca="1">IF(N614 = "VENCIDO",BD!$E614,"")</f>
        <v/>
      </c>
      <c r="R614" s="83" t="str">
        <f ca="1">IF(N614 = "VENCIDO",BD!$F614,"")</f>
        <v/>
      </c>
      <c r="S614" s="85" t="str">
        <f ca="1">IF(N614 = "VENCIDO",BD!$G614,"")</f>
        <v/>
      </c>
      <c r="T614" s="83" t="str">
        <f ca="1">IF(AND(TODAY()&gt;BD!$C614, OR(BD!$D614="PENDENTE", BD!$D614="")), TODAY()-BD!$C614, "")</f>
        <v/>
      </c>
    </row>
    <row r="615" spans="1:20" ht="14.25" customHeight="1" x14ac:dyDescent="0.35">
      <c r="A615" s="32"/>
      <c r="B615" s="82">
        <f>'SET-26'!A24</f>
        <v>0</v>
      </c>
      <c r="C615" s="82">
        <f>'SET-26'!B24</f>
        <v>0</v>
      </c>
      <c r="D615" s="82">
        <f>'SET-26'!C24</f>
        <v>0</v>
      </c>
      <c r="E615" s="83">
        <f>'SET-26'!D24</f>
        <v>0</v>
      </c>
      <c r="F615" s="84">
        <f>'SET-26'!E24</f>
        <v>0</v>
      </c>
      <c r="G615" s="85">
        <f>'SET-26'!F24</f>
        <v>0</v>
      </c>
      <c r="H615" s="85">
        <f t="shared" si="0"/>
        <v>0</v>
      </c>
      <c r="I615" s="83" t="s">
        <v>103</v>
      </c>
      <c r="J615" s="83" t="str">
        <f t="shared" si="1"/>
        <v/>
      </c>
      <c r="K615" s="85">
        <f t="shared" si="2"/>
        <v>0</v>
      </c>
      <c r="L615" s="83" t="str">
        <f t="shared" si="3"/>
        <v/>
      </c>
      <c r="M615" s="83">
        <f>'SET-26'!H24</f>
        <v>0</v>
      </c>
      <c r="N615" s="92" t="str">
        <f ca="1">IF(BD!$C615="","",IF(AND(TODAY()&gt;BD!$C615,OR(BD!$D615="PENDENTE",BD!$D615="")),"VENCIDO",""))</f>
        <v/>
      </c>
      <c r="O615" s="82" t="str">
        <f ca="1">IF(N615 = "VENCIDO",BD!$B615,"")</f>
        <v/>
      </c>
      <c r="P615" s="82" t="str">
        <f ca="1">IF(N615 = "VENCIDO",BD!$C615,"")</f>
        <v/>
      </c>
      <c r="Q615" s="83" t="str">
        <f ca="1">IF(N615 = "VENCIDO",BD!$E615,"")</f>
        <v/>
      </c>
      <c r="R615" s="83" t="str">
        <f ca="1">IF(N615 = "VENCIDO",BD!$F615,"")</f>
        <v/>
      </c>
      <c r="S615" s="85" t="str">
        <f ca="1">IF(N615 = "VENCIDO",BD!$G615,"")</f>
        <v/>
      </c>
      <c r="T615" s="83" t="str">
        <f ca="1">IF(AND(TODAY()&gt;BD!$C615, OR(BD!$D615="PENDENTE", BD!$D615="")), TODAY()-BD!$C615, "")</f>
        <v/>
      </c>
    </row>
    <row r="616" spans="1:20" ht="14.25" customHeight="1" x14ac:dyDescent="0.35">
      <c r="A616" s="32"/>
      <c r="B616" s="82">
        <f>'SET-26'!A25</f>
        <v>0</v>
      </c>
      <c r="C616" s="82">
        <f>'SET-26'!B25</f>
        <v>0</v>
      </c>
      <c r="D616" s="82">
        <f>'SET-26'!C25</f>
        <v>0</v>
      </c>
      <c r="E616" s="93">
        <f>'SET-26'!D25</f>
        <v>0</v>
      </c>
      <c r="F616" s="84">
        <f>'SET-26'!E25</f>
        <v>0</v>
      </c>
      <c r="G616" s="85">
        <f>'SET-26'!F25</f>
        <v>0</v>
      </c>
      <c r="H616" s="85">
        <f t="shared" si="0"/>
        <v>0</v>
      </c>
      <c r="I616" s="83" t="s">
        <v>103</v>
      </c>
      <c r="J616" s="83" t="str">
        <f t="shared" si="1"/>
        <v/>
      </c>
      <c r="K616" s="85">
        <f t="shared" si="2"/>
        <v>0</v>
      </c>
      <c r="L616" s="83" t="str">
        <f t="shared" si="3"/>
        <v/>
      </c>
      <c r="M616" s="83">
        <f>'SET-26'!H25</f>
        <v>0</v>
      </c>
      <c r="N616" s="92" t="str">
        <f ca="1">IF(BD!$C616="","",IF(AND(TODAY()&gt;BD!$C616,OR(BD!$D616="PENDENTE",BD!$D616="")),"VENCIDO",""))</f>
        <v/>
      </c>
      <c r="O616" s="82" t="str">
        <f ca="1">IF(N616 = "VENCIDO",BD!$B616,"")</f>
        <v/>
      </c>
      <c r="P616" s="82" t="str">
        <f ca="1">IF(N616 = "VENCIDO",BD!$C616,"")</f>
        <v/>
      </c>
      <c r="Q616" s="83" t="str">
        <f ca="1">IF(N616 = "VENCIDO",BD!$E616,"")</f>
        <v/>
      </c>
      <c r="R616" s="83" t="str">
        <f ca="1">IF(N616 = "VENCIDO",BD!$F616,"")</f>
        <v/>
      </c>
      <c r="S616" s="85" t="str">
        <f ca="1">IF(N616 = "VENCIDO",BD!$G616,"")</f>
        <v/>
      </c>
      <c r="T616" s="83" t="str">
        <f ca="1">IF(AND(TODAY()&gt;BD!$C616, OR(BD!$D616="PENDENTE", BD!$D616="")), TODAY()-BD!$C616, "")</f>
        <v/>
      </c>
    </row>
    <row r="617" spans="1:20" ht="14.25" customHeight="1" x14ac:dyDescent="0.35">
      <c r="A617" s="32"/>
      <c r="B617" s="82">
        <f>'SET-26'!A26</f>
        <v>0</v>
      </c>
      <c r="C617" s="82">
        <f>'SET-26'!B26</f>
        <v>0</v>
      </c>
      <c r="D617" s="82">
        <f>'SET-26'!C26</f>
        <v>0</v>
      </c>
      <c r="E617" s="83">
        <f>'SET-26'!D26</f>
        <v>0</v>
      </c>
      <c r="F617" s="84">
        <f>'SET-26'!E26</f>
        <v>0</v>
      </c>
      <c r="G617" s="85">
        <f>'SET-26'!F26</f>
        <v>0</v>
      </c>
      <c r="H617" s="85">
        <f t="shared" si="0"/>
        <v>0</v>
      </c>
      <c r="I617" s="83" t="s">
        <v>103</v>
      </c>
      <c r="J617" s="83" t="str">
        <f t="shared" si="1"/>
        <v/>
      </c>
      <c r="K617" s="85">
        <f t="shared" si="2"/>
        <v>0</v>
      </c>
      <c r="L617" s="83" t="str">
        <f t="shared" si="3"/>
        <v/>
      </c>
      <c r="M617" s="83">
        <f>'SET-26'!H26</f>
        <v>0</v>
      </c>
      <c r="N617" s="92" t="str">
        <f ca="1">IF(BD!$C617="","",IF(AND(TODAY()&gt;BD!$C617,OR(BD!$D617="PENDENTE",BD!$D617="")),"VENCIDO",""))</f>
        <v/>
      </c>
      <c r="O617" s="82" t="str">
        <f ca="1">IF(N617 = "VENCIDO",BD!$B617,"")</f>
        <v/>
      </c>
      <c r="P617" s="82" t="str">
        <f ca="1">IF(N617 = "VENCIDO",BD!$C617,"")</f>
        <v/>
      </c>
      <c r="Q617" s="83" t="str">
        <f ca="1">IF(N617 = "VENCIDO",BD!$E617,"")</f>
        <v/>
      </c>
      <c r="R617" s="83" t="str">
        <f ca="1">IF(N617 = "VENCIDO",BD!$F617,"")</f>
        <v/>
      </c>
      <c r="S617" s="85" t="str">
        <f ca="1">IF(N617 = "VENCIDO",BD!$G617,"")</f>
        <v/>
      </c>
      <c r="T617" s="83" t="str">
        <f ca="1">IF(AND(TODAY()&gt;BD!$C617, OR(BD!$D617="PENDENTE", BD!$D617="")), TODAY()-BD!$C617, "")</f>
        <v/>
      </c>
    </row>
    <row r="618" spans="1:20" ht="14.25" customHeight="1" x14ac:dyDescent="0.35">
      <c r="A618" s="32"/>
      <c r="B618" s="82">
        <f>'SET-26'!A27</f>
        <v>0</v>
      </c>
      <c r="C618" s="82">
        <f>'SET-26'!B27</f>
        <v>0</v>
      </c>
      <c r="D618" s="82">
        <f>'SET-26'!C27</f>
        <v>0</v>
      </c>
      <c r="E618" s="83">
        <f>'SET-26'!D27</f>
        <v>0</v>
      </c>
      <c r="F618" s="84">
        <f>'SET-26'!E27</f>
        <v>0</v>
      </c>
      <c r="G618" s="85">
        <f>'SET-26'!F27</f>
        <v>0</v>
      </c>
      <c r="H618" s="85">
        <f t="shared" si="0"/>
        <v>0</v>
      </c>
      <c r="I618" s="83" t="s">
        <v>103</v>
      </c>
      <c r="J618" s="83" t="str">
        <f t="shared" si="1"/>
        <v/>
      </c>
      <c r="K618" s="85">
        <f t="shared" si="2"/>
        <v>0</v>
      </c>
      <c r="L618" s="83" t="str">
        <f t="shared" si="3"/>
        <v/>
      </c>
      <c r="M618" s="83">
        <f>'SET-26'!H27</f>
        <v>0</v>
      </c>
      <c r="N618" s="92" t="str">
        <f ca="1">IF(BD!$C618="","",IF(AND(TODAY()&gt;BD!$C618,OR(BD!$D618="PENDENTE",BD!$D618="")),"VENCIDO",""))</f>
        <v/>
      </c>
      <c r="O618" s="82" t="str">
        <f ca="1">IF(N618 = "VENCIDO",BD!$B618,"")</f>
        <v/>
      </c>
      <c r="P618" s="82" t="str">
        <f ca="1">IF(N618 = "VENCIDO",BD!$C618,"")</f>
        <v/>
      </c>
      <c r="Q618" s="83" t="str">
        <f ca="1">IF(N618 = "VENCIDO",BD!$E618,"")</f>
        <v/>
      </c>
      <c r="R618" s="83" t="str">
        <f ca="1">IF(N618 = "VENCIDO",BD!$F618,"")</f>
        <v/>
      </c>
      <c r="S618" s="85" t="str">
        <f ca="1">IF(N618 = "VENCIDO",BD!$G618,"")</f>
        <v/>
      </c>
      <c r="T618" s="83" t="str">
        <f ca="1">IF(AND(TODAY()&gt;BD!$C618, OR(BD!$D618="PENDENTE", BD!$D618="")), TODAY()-BD!$C618, "")</f>
        <v/>
      </c>
    </row>
    <row r="619" spans="1:20" ht="14.25" customHeight="1" x14ac:dyDescent="0.35">
      <c r="A619" s="32"/>
      <c r="B619" s="82">
        <f>'SET-26'!A28</f>
        <v>0</v>
      </c>
      <c r="C619" s="82">
        <f>'SET-26'!B28</f>
        <v>0</v>
      </c>
      <c r="D619" s="82">
        <f>'SET-26'!C28</f>
        <v>0</v>
      </c>
      <c r="E619" s="83">
        <f>'SET-26'!D28</f>
        <v>0</v>
      </c>
      <c r="F619" s="84">
        <f>'SET-26'!E28</f>
        <v>0</v>
      </c>
      <c r="G619" s="85">
        <f>'SET-26'!F28</f>
        <v>0</v>
      </c>
      <c r="H619" s="85">
        <f t="shared" si="0"/>
        <v>0</v>
      </c>
      <c r="I619" s="83" t="s">
        <v>103</v>
      </c>
      <c r="J619" s="83" t="str">
        <f t="shared" si="1"/>
        <v/>
      </c>
      <c r="K619" s="85">
        <f t="shared" si="2"/>
        <v>0</v>
      </c>
      <c r="L619" s="83" t="str">
        <f t="shared" si="3"/>
        <v/>
      </c>
      <c r="M619" s="83">
        <f>'SET-26'!H28</f>
        <v>0</v>
      </c>
      <c r="N619" s="92" t="str">
        <f ca="1">IF(BD!$C619="","",IF(AND(TODAY()&gt;BD!$C619,OR(BD!$D619="PENDENTE",BD!$D619="")),"VENCIDO",""))</f>
        <v/>
      </c>
      <c r="O619" s="82" t="str">
        <f ca="1">IF(N619 = "VENCIDO",BD!$B619,"")</f>
        <v/>
      </c>
      <c r="P619" s="82" t="str">
        <f ca="1">IF(N619 = "VENCIDO",BD!$C619,"")</f>
        <v/>
      </c>
      <c r="Q619" s="83" t="str">
        <f ca="1">IF(N619 = "VENCIDO",BD!$E619,"")</f>
        <v/>
      </c>
      <c r="R619" s="83" t="str">
        <f ca="1">IF(N619 = "VENCIDO",BD!$F619,"")</f>
        <v/>
      </c>
      <c r="S619" s="85" t="str">
        <f ca="1">IF(N619 = "VENCIDO",BD!$G619,"")</f>
        <v/>
      </c>
      <c r="T619" s="83" t="str">
        <f ca="1">IF(AND(TODAY()&gt;BD!$C619, OR(BD!$D619="PENDENTE", BD!$D619="")), TODAY()-BD!$C619, "")</f>
        <v/>
      </c>
    </row>
    <row r="620" spans="1:20" ht="14.25" customHeight="1" x14ac:dyDescent="0.35">
      <c r="A620" s="32"/>
      <c r="B620" s="82">
        <f>'SET-26'!A29</f>
        <v>0</v>
      </c>
      <c r="C620" s="82">
        <f>'SET-26'!B29</f>
        <v>0</v>
      </c>
      <c r="D620" s="82">
        <f>'SET-26'!C29</f>
        <v>0</v>
      </c>
      <c r="E620" s="83">
        <f>'SET-26'!D29</f>
        <v>0</v>
      </c>
      <c r="F620" s="84">
        <f>'SET-26'!E29</f>
        <v>0</v>
      </c>
      <c r="G620" s="85">
        <f>'SET-26'!F29</f>
        <v>0</v>
      </c>
      <c r="H620" s="85">
        <f t="shared" si="0"/>
        <v>0</v>
      </c>
      <c r="I620" s="83" t="s">
        <v>103</v>
      </c>
      <c r="J620" s="83" t="str">
        <f t="shared" si="1"/>
        <v/>
      </c>
      <c r="K620" s="85">
        <f t="shared" si="2"/>
        <v>0</v>
      </c>
      <c r="L620" s="83" t="str">
        <f t="shared" si="3"/>
        <v/>
      </c>
      <c r="M620" s="83">
        <f>'SET-26'!H29</f>
        <v>0</v>
      </c>
      <c r="N620" s="92" t="str">
        <f ca="1">IF(BD!$C620="","",IF(AND(TODAY()&gt;BD!$C620,OR(BD!$D620="PENDENTE",BD!$D620="")),"VENCIDO",""))</f>
        <v/>
      </c>
      <c r="O620" s="82" t="str">
        <f ca="1">IF(N620 = "VENCIDO",BD!$B620,"")</f>
        <v/>
      </c>
      <c r="P620" s="82" t="str">
        <f ca="1">IF(N620 = "VENCIDO",BD!$C620,"")</f>
        <v/>
      </c>
      <c r="Q620" s="83" t="str">
        <f ca="1">IF(N620 = "VENCIDO",BD!$E620,"")</f>
        <v/>
      </c>
      <c r="R620" s="83" t="str">
        <f ca="1">IF(N620 = "VENCIDO",BD!$F620,"")</f>
        <v/>
      </c>
      <c r="S620" s="85" t="str">
        <f ca="1">IF(N620 = "VENCIDO",BD!$G620,"")</f>
        <v/>
      </c>
      <c r="T620" s="83" t="str">
        <f ca="1">IF(AND(TODAY()&gt;BD!$C620, OR(BD!$D620="PENDENTE", BD!$D620="")), TODAY()-BD!$C620, "")</f>
        <v/>
      </c>
    </row>
    <row r="621" spans="1:20" ht="14.25" customHeight="1" x14ac:dyDescent="0.35">
      <c r="A621" s="32"/>
      <c r="B621" s="82">
        <f>'SET-26'!A30</f>
        <v>0</v>
      </c>
      <c r="C621" s="82">
        <f>'SET-26'!B30</f>
        <v>0</v>
      </c>
      <c r="D621" s="82">
        <f>'SET-26'!C30</f>
        <v>0</v>
      </c>
      <c r="E621" s="83">
        <f>'SET-26'!D30</f>
        <v>0</v>
      </c>
      <c r="F621" s="84">
        <f>'SET-26'!E30</f>
        <v>0</v>
      </c>
      <c r="G621" s="85">
        <f>'SET-26'!F30</f>
        <v>0</v>
      </c>
      <c r="H621" s="85">
        <f t="shared" si="0"/>
        <v>0</v>
      </c>
      <c r="I621" s="83" t="s">
        <v>103</v>
      </c>
      <c r="J621" s="83" t="str">
        <f t="shared" si="1"/>
        <v/>
      </c>
      <c r="K621" s="85">
        <f t="shared" si="2"/>
        <v>0</v>
      </c>
      <c r="L621" s="83" t="str">
        <f t="shared" si="3"/>
        <v/>
      </c>
      <c r="M621" s="83">
        <f>'SET-26'!H30</f>
        <v>0</v>
      </c>
      <c r="N621" s="92" t="str">
        <f ca="1">IF(BD!$C621="","",IF(AND(TODAY()&gt;BD!$C621,OR(BD!$D621="PENDENTE",BD!$D621="")),"VENCIDO",""))</f>
        <v/>
      </c>
      <c r="O621" s="82" t="str">
        <f ca="1">IF(N621 = "VENCIDO",BD!$B621,"")</f>
        <v/>
      </c>
      <c r="P621" s="82" t="str">
        <f ca="1">IF(N621 = "VENCIDO",BD!$C621,"")</f>
        <v/>
      </c>
      <c r="Q621" s="83" t="str">
        <f ca="1">IF(N621 = "VENCIDO",BD!$E621,"")</f>
        <v/>
      </c>
      <c r="R621" s="83" t="str">
        <f ca="1">IF(N621 = "VENCIDO",BD!$F621,"")</f>
        <v/>
      </c>
      <c r="S621" s="85" t="str">
        <f ca="1">IF(N621 = "VENCIDO",BD!$G621,"")</f>
        <v/>
      </c>
      <c r="T621" s="83" t="str">
        <f ca="1">IF(AND(TODAY()&gt;BD!$C621, OR(BD!$D621="PENDENTE", BD!$D621="")), TODAY()-BD!$C621, "")</f>
        <v/>
      </c>
    </row>
    <row r="622" spans="1:20" ht="14.25" customHeight="1" x14ac:dyDescent="0.35">
      <c r="A622" s="32"/>
      <c r="B622" s="82">
        <f>'SET-26'!A31</f>
        <v>0</v>
      </c>
      <c r="C622" s="82">
        <f>'SET-26'!B31</f>
        <v>0</v>
      </c>
      <c r="D622" s="82">
        <f>'SET-26'!C31</f>
        <v>0</v>
      </c>
      <c r="E622" s="83">
        <f>'SET-26'!D31</f>
        <v>0</v>
      </c>
      <c r="F622" s="84">
        <f>'SET-26'!E31</f>
        <v>0</v>
      </c>
      <c r="G622" s="85">
        <f>'SET-26'!F31</f>
        <v>0</v>
      </c>
      <c r="H622" s="85">
        <f t="shared" si="0"/>
        <v>0</v>
      </c>
      <c r="I622" s="83" t="s">
        <v>103</v>
      </c>
      <c r="J622" s="83" t="str">
        <f t="shared" si="1"/>
        <v/>
      </c>
      <c r="K622" s="85">
        <f t="shared" si="2"/>
        <v>0</v>
      </c>
      <c r="L622" s="83" t="str">
        <f t="shared" si="3"/>
        <v/>
      </c>
      <c r="M622" s="83">
        <f>'SET-26'!H31</f>
        <v>0</v>
      </c>
      <c r="N622" s="92" t="str">
        <f ca="1">IF(BD!$C622="","",IF(AND(TODAY()&gt;BD!$C622,OR(BD!$D622="PENDENTE",BD!$D622="")),"VENCIDO",""))</f>
        <v/>
      </c>
      <c r="O622" s="82" t="str">
        <f ca="1">IF(N622 = "VENCIDO",BD!$B622,"")</f>
        <v/>
      </c>
      <c r="P622" s="82" t="str">
        <f ca="1">IF(N622 = "VENCIDO",BD!$C622,"")</f>
        <v/>
      </c>
      <c r="Q622" s="83" t="str">
        <f ca="1">IF(N622 = "VENCIDO",BD!$E622,"")</f>
        <v/>
      </c>
      <c r="R622" s="83" t="str">
        <f ca="1">IF(N622 = "VENCIDO",BD!$F622,"")</f>
        <v/>
      </c>
      <c r="S622" s="85" t="str">
        <f ca="1">IF(N622 = "VENCIDO",BD!$G622,"")</f>
        <v/>
      </c>
      <c r="T622" s="83" t="str">
        <f ca="1">IF(AND(TODAY()&gt;BD!$C622, OR(BD!$D622="PENDENTE", BD!$D622="")), TODAY()-BD!$C622, "")</f>
        <v/>
      </c>
    </row>
    <row r="623" spans="1:20" ht="14.25" customHeight="1" x14ac:dyDescent="0.35">
      <c r="A623" s="32"/>
      <c r="B623" s="82">
        <f>'SET-26'!A32</f>
        <v>0</v>
      </c>
      <c r="C623" s="82">
        <f>'SET-26'!B32</f>
        <v>0</v>
      </c>
      <c r="D623" s="82">
        <f>'SET-26'!C32</f>
        <v>0</v>
      </c>
      <c r="E623" s="83">
        <f>'SET-26'!D32</f>
        <v>0</v>
      </c>
      <c r="F623" s="84">
        <f>'SET-26'!E32</f>
        <v>0</v>
      </c>
      <c r="G623" s="85">
        <f>'SET-26'!F32</f>
        <v>0</v>
      </c>
      <c r="H623" s="85">
        <f t="shared" si="0"/>
        <v>0</v>
      </c>
      <c r="I623" s="83" t="s">
        <v>103</v>
      </c>
      <c r="J623" s="83" t="str">
        <f t="shared" si="1"/>
        <v/>
      </c>
      <c r="K623" s="85">
        <f t="shared" si="2"/>
        <v>0</v>
      </c>
      <c r="L623" s="83" t="str">
        <f t="shared" si="3"/>
        <v/>
      </c>
      <c r="M623" s="83">
        <f>'SET-26'!H32</f>
        <v>0</v>
      </c>
      <c r="N623" s="92" t="str">
        <f ca="1">IF(BD!$C623="","",IF(AND(TODAY()&gt;BD!$C623,OR(BD!$D623="PENDENTE",BD!$D623="")),"VENCIDO",""))</f>
        <v/>
      </c>
      <c r="O623" s="82" t="str">
        <f ca="1">IF(N623 = "VENCIDO",BD!$B623,"")</f>
        <v/>
      </c>
      <c r="P623" s="82" t="str">
        <f ca="1">IF(N623 = "VENCIDO",BD!$C623,"")</f>
        <v/>
      </c>
      <c r="Q623" s="83" t="str">
        <f ca="1">IF(N623 = "VENCIDO",BD!$E623,"")</f>
        <v/>
      </c>
      <c r="R623" s="83" t="str">
        <f ca="1">IF(N623 = "VENCIDO",BD!$F623,"")</f>
        <v/>
      </c>
      <c r="S623" s="85" t="str">
        <f ca="1">IF(N623 = "VENCIDO",BD!$G623,"")</f>
        <v/>
      </c>
      <c r="T623" s="83" t="str">
        <f ca="1">IF(AND(TODAY()&gt;BD!$C623, OR(BD!$D623="PENDENTE", BD!$D623="")), TODAY()-BD!$C623, "")</f>
        <v/>
      </c>
    </row>
    <row r="624" spans="1:20" ht="14.25" customHeight="1" x14ac:dyDescent="0.35">
      <c r="A624" s="32"/>
      <c r="B624" s="82">
        <f>'SET-26'!A33</f>
        <v>0</v>
      </c>
      <c r="C624" s="82">
        <f>'SET-26'!B33</f>
        <v>0</v>
      </c>
      <c r="D624" s="82">
        <f>'SET-26'!C33</f>
        <v>0</v>
      </c>
      <c r="E624" s="83">
        <f>'SET-26'!D33</f>
        <v>0</v>
      </c>
      <c r="F624" s="84">
        <f>'SET-26'!E33</f>
        <v>0</v>
      </c>
      <c r="G624" s="85">
        <f>'SET-26'!F33</f>
        <v>0</v>
      </c>
      <c r="H624" s="85">
        <f t="shared" si="0"/>
        <v>0</v>
      </c>
      <c r="I624" s="83" t="s">
        <v>103</v>
      </c>
      <c r="J624" s="83" t="str">
        <f t="shared" si="1"/>
        <v/>
      </c>
      <c r="K624" s="85">
        <f t="shared" si="2"/>
        <v>0</v>
      </c>
      <c r="L624" s="83" t="str">
        <f t="shared" si="3"/>
        <v/>
      </c>
      <c r="M624" s="83">
        <f>'SET-26'!H33</f>
        <v>0</v>
      </c>
      <c r="N624" s="92" t="str">
        <f ca="1">IF(BD!$C624="","",IF(AND(TODAY()&gt;BD!$C624,OR(BD!$D624="PENDENTE",BD!$D624="")),"VENCIDO",""))</f>
        <v/>
      </c>
      <c r="O624" s="82" t="str">
        <f ca="1">IF(N624 = "VENCIDO",BD!$B624,"")</f>
        <v/>
      </c>
      <c r="P624" s="82" t="str">
        <f ca="1">IF(N624 = "VENCIDO",BD!$C624,"")</f>
        <v/>
      </c>
      <c r="Q624" s="83" t="str">
        <f ca="1">IF(N624 = "VENCIDO",BD!$E624,"")</f>
        <v/>
      </c>
      <c r="R624" s="83" t="str">
        <f ca="1">IF(N624 = "VENCIDO",BD!$F624,"")</f>
        <v/>
      </c>
      <c r="S624" s="85" t="str">
        <f ca="1">IF(N624 = "VENCIDO",BD!$G624,"")</f>
        <v/>
      </c>
      <c r="T624" s="83" t="str">
        <f ca="1">IF(AND(TODAY()&gt;BD!$C624, OR(BD!$D624="PENDENTE", BD!$D624="")), TODAY()-BD!$C624, "")</f>
        <v/>
      </c>
    </row>
    <row r="625" spans="1:20" ht="14.25" customHeight="1" x14ac:dyDescent="0.35">
      <c r="A625" s="32"/>
      <c r="B625" s="82">
        <f>'SET-26'!A34</f>
        <v>0</v>
      </c>
      <c r="C625" s="82">
        <f>'SET-26'!B34</f>
        <v>0</v>
      </c>
      <c r="D625" s="82">
        <f>'SET-26'!C34</f>
        <v>0</v>
      </c>
      <c r="E625" s="83">
        <f>'SET-26'!D34</f>
        <v>0</v>
      </c>
      <c r="F625" s="84">
        <f>'SET-26'!E34</f>
        <v>0</v>
      </c>
      <c r="G625" s="85">
        <f>'SET-26'!F34</f>
        <v>0</v>
      </c>
      <c r="H625" s="85">
        <f t="shared" si="0"/>
        <v>0</v>
      </c>
      <c r="I625" s="83" t="s">
        <v>103</v>
      </c>
      <c r="J625" s="83" t="str">
        <f t="shared" si="1"/>
        <v/>
      </c>
      <c r="K625" s="85">
        <f t="shared" si="2"/>
        <v>0</v>
      </c>
      <c r="L625" s="83" t="str">
        <f t="shared" si="3"/>
        <v/>
      </c>
      <c r="M625" s="83">
        <f>'SET-26'!H34</f>
        <v>0</v>
      </c>
      <c r="N625" s="92" t="str">
        <f ca="1">IF(BD!$C625="","",IF(AND(TODAY()&gt;BD!$C625,OR(BD!$D625="PENDENTE",BD!$D625="")),"VENCIDO",""))</f>
        <v/>
      </c>
      <c r="O625" s="82" t="str">
        <f ca="1">IF(N625 = "VENCIDO",BD!$B625,"")</f>
        <v/>
      </c>
      <c r="P625" s="82" t="str">
        <f ca="1">IF(N625 = "VENCIDO",BD!$C625,"")</f>
        <v/>
      </c>
      <c r="Q625" s="83" t="str">
        <f ca="1">IF(N625 = "VENCIDO",BD!$E625,"")</f>
        <v/>
      </c>
      <c r="R625" s="83" t="str">
        <f ca="1">IF(N625 = "VENCIDO",BD!$F625,"")</f>
        <v/>
      </c>
      <c r="S625" s="85" t="str">
        <f ca="1">IF(N625 = "VENCIDO",BD!$G625,"")</f>
        <v/>
      </c>
      <c r="T625" s="83" t="str">
        <f ca="1">IF(AND(TODAY()&gt;BD!$C625, OR(BD!$D625="PENDENTE", BD!$D625="")), TODAY()-BD!$C625, "")</f>
        <v/>
      </c>
    </row>
    <row r="626" spans="1:20" ht="14.25" customHeight="1" x14ac:dyDescent="0.35">
      <c r="A626" s="32"/>
      <c r="B626" s="82">
        <f>'SET-26'!A35</f>
        <v>0</v>
      </c>
      <c r="C626" s="82">
        <f>'SET-26'!B35</f>
        <v>0</v>
      </c>
      <c r="D626" s="82">
        <f>'SET-26'!C35</f>
        <v>0</v>
      </c>
      <c r="E626" s="93">
        <f>'SET-26'!D35</f>
        <v>0</v>
      </c>
      <c r="F626" s="84">
        <f>'SET-26'!E35</f>
        <v>0</v>
      </c>
      <c r="G626" s="85">
        <f>'SET-26'!F35</f>
        <v>0</v>
      </c>
      <c r="H626" s="85">
        <f t="shared" si="0"/>
        <v>0</v>
      </c>
      <c r="I626" s="83" t="s">
        <v>103</v>
      </c>
      <c r="J626" s="83" t="str">
        <f t="shared" si="1"/>
        <v/>
      </c>
      <c r="K626" s="85">
        <f t="shared" si="2"/>
        <v>0</v>
      </c>
      <c r="L626" s="83" t="str">
        <f t="shared" si="3"/>
        <v/>
      </c>
      <c r="M626" s="83">
        <f>'SET-26'!H35</f>
        <v>0</v>
      </c>
      <c r="N626" s="92" t="str">
        <f ca="1">IF(BD!$C626="","",IF(AND(TODAY()&gt;BD!$C626,OR(BD!$D626="PENDENTE",BD!$D626="")),"VENCIDO",""))</f>
        <v/>
      </c>
      <c r="O626" s="82" t="str">
        <f ca="1">IF(N626 = "VENCIDO",BD!$B626,"")</f>
        <v/>
      </c>
      <c r="P626" s="82" t="str">
        <f ca="1">IF(N626 = "VENCIDO",BD!$C626,"")</f>
        <v/>
      </c>
      <c r="Q626" s="83" t="str">
        <f ca="1">IF(N626 = "VENCIDO",BD!$E626,"")</f>
        <v/>
      </c>
      <c r="R626" s="83" t="str">
        <f ca="1">IF(N626 = "VENCIDO",BD!$F626,"")</f>
        <v/>
      </c>
      <c r="S626" s="85" t="str">
        <f ca="1">IF(N626 = "VENCIDO",BD!$G626,"")</f>
        <v/>
      </c>
      <c r="T626" s="83" t="str">
        <f ca="1">IF(AND(TODAY()&gt;BD!$C626, OR(BD!$D626="PENDENTE", BD!$D626="")), TODAY()-BD!$C626, "")</f>
        <v/>
      </c>
    </row>
    <row r="627" spans="1:20" ht="14.25" customHeight="1" x14ac:dyDescent="0.35">
      <c r="A627" s="32"/>
      <c r="B627" s="82">
        <f>'SET-26'!A36</f>
        <v>0</v>
      </c>
      <c r="C627" s="82">
        <f>'SET-26'!B36</f>
        <v>0</v>
      </c>
      <c r="D627" s="82">
        <f>'SET-26'!C36</f>
        <v>0</v>
      </c>
      <c r="E627" s="93">
        <f>'SET-26'!D36</f>
        <v>0</v>
      </c>
      <c r="F627" s="84">
        <f>'SET-26'!E36</f>
        <v>0</v>
      </c>
      <c r="G627" s="85">
        <f>'SET-26'!F36</f>
        <v>0</v>
      </c>
      <c r="H627" s="85">
        <f t="shared" si="0"/>
        <v>0</v>
      </c>
      <c r="I627" s="83" t="s">
        <v>103</v>
      </c>
      <c r="J627" s="83" t="str">
        <f t="shared" si="1"/>
        <v/>
      </c>
      <c r="K627" s="85">
        <f t="shared" si="2"/>
        <v>0</v>
      </c>
      <c r="L627" s="83" t="str">
        <f t="shared" si="3"/>
        <v/>
      </c>
      <c r="M627" s="83">
        <f>'SET-26'!H36</f>
        <v>0</v>
      </c>
      <c r="N627" s="92" t="str">
        <f ca="1">IF(BD!$C627="","",IF(AND(TODAY()&gt;BD!$C627,OR(BD!$D627="PENDENTE",BD!$D627="")),"VENCIDO",""))</f>
        <v/>
      </c>
      <c r="O627" s="82" t="str">
        <f ca="1">IF(N627 = "VENCIDO",BD!$B627,"")</f>
        <v/>
      </c>
      <c r="P627" s="82" t="str">
        <f ca="1">IF(N627 = "VENCIDO",BD!$C627,"")</f>
        <v/>
      </c>
      <c r="Q627" s="83" t="str">
        <f ca="1">IF(N627 = "VENCIDO",BD!$E627,"")</f>
        <v/>
      </c>
      <c r="R627" s="83" t="str">
        <f ca="1">IF(N627 = "VENCIDO",BD!$F627,"")</f>
        <v/>
      </c>
      <c r="S627" s="85" t="str">
        <f ca="1">IF(N627 = "VENCIDO",BD!$G627,"")</f>
        <v/>
      </c>
      <c r="T627" s="83" t="str">
        <f ca="1">IF(AND(TODAY()&gt;BD!$C627, OR(BD!$D627="PENDENTE", BD!$D627="")), TODAY()-BD!$C627, "")</f>
        <v/>
      </c>
    </row>
    <row r="628" spans="1:20" ht="14.25" customHeight="1" x14ac:dyDescent="0.35">
      <c r="A628" s="32"/>
      <c r="B628" s="82">
        <f>'SET-26'!A37</f>
        <v>0</v>
      </c>
      <c r="C628" s="82">
        <f>'SET-26'!B37</f>
        <v>0</v>
      </c>
      <c r="D628" s="82">
        <f>'SET-26'!C37</f>
        <v>0</v>
      </c>
      <c r="E628" s="83">
        <f>'SET-26'!D37</f>
        <v>0</v>
      </c>
      <c r="F628" s="84">
        <f>'SET-26'!E37</f>
        <v>0</v>
      </c>
      <c r="G628" s="85">
        <f>'SET-26'!F37</f>
        <v>0</v>
      </c>
      <c r="H628" s="85">
        <f t="shared" si="0"/>
        <v>0</v>
      </c>
      <c r="I628" s="83" t="s">
        <v>103</v>
      </c>
      <c r="J628" s="83" t="str">
        <f t="shared" si="1"/>
        <v/>
      </c>
      <c r="K628" s="85">
        <f t="shared" si="2"/>
        <v>0</v>
      </c>
      <c r="L628" s="83" t="str">
        <f t="shared" si="3"/>
        <v/>
      </c>
      <c r="M628" s="83">
        <f>'SET-26'!H37</f>
        <v>0</v>
      </c>
      <c r="N628" s="92" t="str">
        <f ca="1">IF(BD!$C628="","",IF(AND(TODAY()&gt;BD!$C628,OR(BD!$D628="PENDENTE",BD!$D628="")),"VENCIDO",""))</f>
        <v/>
      </c>
      <c r="O628" s="82" t="str">
        <f ca="1">IF(N628 = "VENCIDO",BD!$B628,"")</f>
        <v/>
      </c>
      <c r="P628" s="82" t="str">
        <f ca="1">IF(N628 = "VENCIDO",BD!$C628,"")</f>
        <v/>
      </c>
      <c r="Q628" s="83" t="str">
        <f ca="1">IF(N628 = "VENCIDO",BD!$E628,"")</f>
        <v/>
      </c>
      <c r="R628" s="83" t="str">
        <f ca="1">IF(N628 = "VENCIDO",BD!$F628,"")</f>
        <v/>
      </c>
      <c r="S628" s="85" t="str">
        <f ca="1">IF(N628 = "VENCIDO",BD!$G628,"")</f>
        <v/>
      </c>
      <c r="T628" s="83" t="str">
        <f ca="1">IF(AND(TODAY()&gt;BD!$C628, OR(BD!$D628="PENDENTE", BD!$D628="")), TODAY()-BD!$C628, "")</f>
        <v/>
      </c>
    </row>
    <row r="629" spans="1:20" ht="14.25" customHeight="1" x14ac:dyDescent="0.35">
      <c r="A629" s="32"/>
      <c r="B629" s="82">
        <f>'SET-26'!A38</f>
        <v>0</v>
      </c>
      <c r="C629" s="82">
        <f>'SET-26'!B38</f>
        <v>0</v>
      </c>
      <c r="D629" s="82">
        <f>'SET-26'!C38</f>
        <v>0</v>
      </c>
      <c r="E629" s="83">
        <f>'SET-26'!D38</f>
        <v>0</v>
      </c>
      <c r="F629" s="84">
        <f>'SET-26'!E38</f>
        <v>0</v>
      </c>
      <c r="G629" s="85">
        <f>'SET-26'!F38</f>
        <v>0</v>
      </c>
      <c r="H629" s="85">
        <f t="shared" si="0"/>
        <v>0</v>
      </c>
      <c r="I629" s="83" t="s">
        <v>103</v>
      </c>
      <c r="J629" s="83" t="str">
        <f t="shared" si="1"/>
        <v/>
      </c>
      <c r="K629" s="85">
        <f t="shared" si="2"/>
        <v>0</v>
      </c>
      <c r="L629" s="83" t="str">
        <f t="shared" si="3"/>
        <v/>
      </c>
      <c r="M629" s="83">
        <f>'SET-26'!H38</f>
        <v>0</v>
      </c>
      <c r="N629" s="92" t="str">
        <f ca="1">IF(BD!$C629="","",IF(AND(TODAY()&gt;BD!$C629,OR(BD!$D629="PENDENTE",BD!$D629="")),"VENCIDO",""))</f>
        <v/>
      </c>
      <c r="O629" s="82" t="str">
        <f ca="1">IF(N629 = "VENCIDO",BD!$B629,"")</f>
        <v/>
      </c>
      <c r="P629" s="82" t="str">
        <f ca="1">IF(N629 = "VENCIDO",BD!$C629,"")</f>
        <v/>
      </c>
      <c r="Q629" s="83" t="str">
        <f ca="1">IF(N629 = "VENCIDO",BD!$E629,"")</f>
        <v/>
      </c>
      <c r="R629" s="83" t="str">
        <f ca="1">IF(N629 = "VENCIDO",BD!$F629,"")</f>
        <v/>
      </c>
      <c r="S629" s="85" t="str">
        <f ca="1">IF(N629 = "VENCIDO",BD!$G629,"")</f>
        <v/>
      </c>
      <c r="T629" s="83" t="str">
        <f ca="1">IF(AND(TODAY()&gt;BD!$C629, OR(BD!$D629="PENDENTE", BD!$D629="")), TODAY()-BD!$C629, "")</f>
        <v/>
      </c>
    </row>
    <row r="630" spans="1:20" ht="14.25" customHeight="1" x14ac:dyDescent="0.35">
      <c r="A630" s="32"/>
      <c r="B630" s="82">
        <f>'SET-26'!A39</f>
        <v>0</v>
      </c>
      <c r="C630" s="82">
        <f>'SET-26'!B39</f>
        <v>0</v>
      </c>
      <c r="D630" s="82">
        <f>'SET-26'!C39</f>
        <v>0</v>
      </c>
      <c r="E630" s="83">
        <f>'SET-26'!D39</f>
        <v>0</v>
      </c>
      <c r="F630" s="84">
        <f>'SET-26'!E39</f>
        <v>0</v>
      </c>
      <c r="G630" s="85">
        <f>'SET-26'!F39</f>
        <v>0</v>
      </c>
      <c r="H630" s="85">
        <f t="shared" si="0"/>
        <v>0</v>
      </c>
      <c r="I630" s="83" t="s">
        <v>103</v>
      </c>
      <c r="J630" s="83" t="str">
        <f t="shared" si="1"/>
        <v/>
      </c>
      <c r="K630" s="85">
        <f t="shared" si="2"/>
        <v>0</v>
      </c>
      <c r="L630" s="83" t="str">
        <f t="shared" si="3"/>
        <v/>
      </c>
      <c r="M630" s="83">
        <f>'SET-26'!H39</f>
        <v>0</v>
      </c>
      <c r="N630" s="92" t="str">
        <f ca="1">IF(BD!$C630="","",IF(AND(TODAY()&gt;BD!$C630,OR(BD!$D630="PENDENTE",BD!$D630="")),"VENCIDO",""))</f>
        <v/>
      </c>
      <c r="O630" s="82" t="str">
        <f ca="1">IF(N630 = "VENCIDO",BD!$B630,"")</f>
        <v/>
      </c>
      <c r="P630" s="82" t="str">
        <f ca="1">IF(N630 = "VENCIDO",BD!$C630,"")</f>
        <v/>
      </c>
      <c r="Q630" s="83" t="str">
        <f ca="1">IF(N630 = "VENCIDO",BD!$E630,"")</f>
        <v/>
      </c>
      <c r="R630" s="83" t="str">
        <f ca="1">IF(N630 = "VENCIDO",BD!$F630,"")</f>
        <v/>
      </c>
      <c r="S630" s="85" t="str">
        <f ca="1">IF(N630 = "VENCIDO",BD!$G630,"")</f>
        <v/>
      </c>
      <c r="T630" s="83" t="str">
        <f ca="1">IF(AND(TODAY()&gt;BD!$C630, OR(BD!$D630="PENDENTE", BD!$D630="")), TODAY()-BD!$C630, "")</f>
        <v/>
      </c>
    </row>
    <row r="631" spans="1:20" ht="14.25" customHeight="1" x14ac:dyDescent="0.35">
      <c r="A631" s="32"/>
      <c r="B631" s="82">
        <f>'SET-26'!A40</f>
        <v>0</v>
      </c>
      <c r="C631" s="82">
        <f>'SET-26'!B40</f>
        <v>0</v>
      </c>
      <c r="D631" s="82">
        <f>'SET-26'!C40</f>
        <v>0</v>
      </c>
      <c r="E631" s="83">
        <f>'SET-26'!D40</f>
        <v>0</v>
      </c>
      <c r="F631" s="84">
        <f>'SET-26'!E40</f>
        <v>0</v>
      </c>
      <c r="G631" s="85">
        <f>'SET-26'!F40</f>
        <v>0</v>
      </c>
      <c r="H631" s="85">
        <f t="shared" si="0"/>
        <v>0</v>
      </c>
      <c r="I631" s="83" t="s">
        <v>103</v>
      </c>
      <c r="J631" s="83" t="str">
        <f t="shared" si="1"/>
        <v/>
      </c>
      <c r="K631" s="85">
        <f t="shared" si="2"/>
        <v>0</v>
      </c>
      <c r="L631" s="83" t="str">
        <f t="shared" si="3"/>
        <v/>
      </c>
      <c r="M631" s="83">
        <f>'SET-26'!H40</f>
        <v>0</v>
      </c>
      <c r="N631" s="92" t="str">
        <f ca="1">IF(BD!$C631="","",IF(AND(TODAY()&gt;BD!$C631,OR(BD!$D631="PENDENTE",BD!$D631="")),"VENCIDO",""))</f>
        <v/>
      </c>
      <c r="O631" s="82" t="str">
        <f ca="1">IF(N631 = "VENCIDO",BD!$B631,"")</f>
        <v/>
      </c>
      <c r="P631" s="82" t="str">
        <f ca="1">IF(N631 = "VENCIDO",BD!$C631,"")</f>
        <v/>
      </c>
      <c r="Q631" s="83" t="str">
        <f ca="1">IF(N631 = "VENCIDO",BD!$E631,"")</f>
        <v/>
      </c>
      <c r="R631" s="83" t="str">
        <f ca="1">IF(N631 = "VENCIDO",BD!$F631,"")</f>
        <v/>
      </c>
      <c r="S631" s="85" t="str">
        <f ca="1">IF(N631 = "VENCIDO",BD!$G631,"")</f>
        <v/>
      </c>
      <c r="T631" s="83" t="str">
        <f ca="1">IF(AND(TODAY()&gt;BD!$C631, OR(BD!$D631="PENDENTE", BD!$D631="")), TODAY()-BD!$C631, "")</f>
        <v/>
      </c>
    </row>
    <row r="632" spans="1:20" ht="14.25" customHeight="1" x14ac:dyDescent="0.35">
      <c r="A632" s="32"/>
      <c r="B632" s="82">
        <f>'SET-26'!A41</f>
        <v>0</v>
      </c>
      <c r="C632" s="82">
        <f>'SET-26'!B41</f>
        <v>0</v>
      </c>
      <c r="D632" s="82">
        <f>'SET-26'!C41</f>
        <v>0</v>
      </c>
      <c r="E632" s="83">
        <f>'SET-26'!D41</f>
        <v>0</v>
      </c>
      <c r="F632" s="84">
        <f>'SET-26'!E41</f>
        <v>0</v>
      </c>
      <c r="G632" s="85">
        <f>'SET-26'!F41</f>
        <v>0</v>
      </c>
      <c r="H632" s="85">
        <f t="shared" si="0"/>
        <v>0</v>
      </c>
      <c r="I632" s="83" t="s">
        <v>103</v>
      </c>
      <c r="J632" s="83" t="str">
        <f t="shared" si="1"/>
        <v/>
      </c>
      <c r="K632" s="85">
        <f t="shared" si="2"/>
        <v>0</v>
      </c>
      <c r="L632" s="83" t="str">
        <f t="shared" si="3"/>
        <v/>
      </c>
      <c r="M632" s="83">
        <f>'SET-26'!H41</f>
        <v>0</v>
      </c>
      <c r="N632" s="92" t="str">
        <f ca="1">IF(BD!$C632="","",IF(AND(TODAY()&gt;BD!$C632,OR(BD!$D632="PENDENTE",BD!$D632="")),"VENCIDO",""))</f>
        <v/>
      </c>
      <c r="O632" s="82" t="str">
        <f ca="1">IF(N632 = "VENCIDO",BD!$B632,"")</f>
        <v/>
      </c>
      <c r="P632" s="82" t="str">
        <f ca="1">IF(N632 = "VENCIDO",BD!$C632,"")</f>
        <v/>
      </c>
      <c r="Q632" s="83" t="str">
        <f ca="1">IF(N632 = "VENCIDO",BD!$E632,"")</f>
        <v/>
      </c>
      <c r="R632" s="83" t="str">
        <f ca="1">IF(N632 = "VENCIDO",BD!$F632,"")</f>
        <v/>
      </c>
      <c r="S632" s="85" t="str">
        <f ca="1">IF(N632 = "VENCIDO",BD!$G632,"")</f>
        <v/>
      </c>
      <c r="T632" s="83" t="str">
        <f ca="1">IF(AND(TODAY()&gt;BD!$C632, OR(BD!$D632="PENDENTE", BD!$D632="")), TODAY()-BD!$C632, "")</f>
        <v/>
      </c>
    </row>
    <row r="633" spans="1:20" ht="14.25" customHeight="1" x14ac:dyDescent="0.35">
      <c r="A633" s="32"/>
      <c r="B633" s="82">
        <f>'SET-26'!A42</f>
        <v>0</v>
      </c>
      <c r="C633" s="82">
        <f>'SET-26'!B42</f>
        <v>0</v>
      </c>
      <c r="D633" s="82">
        <f>'SET-26'!C42</f>
        <v>0</v>
      </c>
      <c r="E633" s="83">
        <f>'SET-26'!D42</f>
        <v>0</v>
      </c>
      <c r="F633" s="84">
        <f>'SET-26'!E42</f>
        <v>0</v>
      </c>
      <c r="G633" s="85">
        <f>'SET-26'!F42</f>
        <v>0</v>
      </c>
      <c r="H633" s="85">
        <f t="shared" si="0"/>
        <v>0</v>
      </c>
      <c r="I633" s="83" t="s">
        <v>103</v>
      </c>
      <c r="J633" s="83" t="str">
        <f t="shared" si="1"/>
        <v/>
      </c>
      <c r="K633" s="85">
        <f t="shared" si="2"/>
        <v>0</v>
      </c>
      <c r="L633" s="83" t="str">
        <f t="shared" si="3"/>
        <v/>
      </c>
      <c r="M633" s="83">
        <f>'SET-26'!H42</f>
        <v>0</v>
      </c>
      <c r="N633" s="92" t="str">
        <f ca="1">IF(BD!$C633="","",IF(AND(TODAY()&gt;BD!$C633,OR(BD!$D633="PENDENTE",BD!$D633="")),"VENCIDO",""))</f>
        <v/>
      </c>
      <c r="O633" s="82" t="str">
        <f ca="1">IF(N633 = "VENCIDO",BD!$B633,"")</f>
        <v/>
      </c>
      <c r="P633" s="82" t="str">
        <f ca="1">IF(N633 = "VENCIDO",BD!$C633,"")</f>
        <v/>
      </c>
      <c r="Q633" s="83" t="str">
        <f ca="1">IF(N633 = "VENCIDO",BD!$E633,"")</f>
        <v/>
      </c>
      <c r="R633" s="83" t="str">
        <f ca="1">IF(N633 = "VENCIDO",BD!$F633,"")</f>
        <v/>
      </c>
      <c r="S633" s="85" t="str">
        <f ca="1">IF(N633 = "VENCIDO",BD!$G633,"")</f>
        <v/>
      </c>
      <c r="T633" s="83" t="str">
        <f ca="1">IF(AND(TODAY()&gt;BD!$C633, OR(BD!$D633="PENDENTE", BD!$D633="")), TODAY()-BD!$C633, "")</f>
        <v/>
      </c>
    </row>
    <row r="634" spans="1:20" ht="14.25" customHeight="1" x14ac:dyDescent="0.35">
      <c r="A634" s="32"/>
      <c r="B634" s="82">
        <f>'SET-26'!A43</f>
        <v>0</v>
      </c>
      <c r="C634" s="82">
        <f>'SET-26'!B43</f>
        <v>0</v>
      </c>
      <c r="D634" s="82">
        <f>'SET-26'!C43</f>
        <v>0</v>
      </c>
      <c r="E634" s="83">
        <f>'SET-26'!D43</f>
        <v>0</v>
      </c>
      <c r="F634" s="84">
        <f>'SET-26'!E43</f>
        <v>0</v>
      </c>
      <c r="G634" s="85">
        <f>'SET-26'!F43</f>
        <v>0</v>
      </c>
      <c r="H634" s="85">
        <f t="shared" si="0"/>
        <v>0</v>
      </c>
      <c r="I634" s="83" t="s">
        <v>103</v>
      </c>
      <c r="J634" s="83" t="str">
        <f t="shared" si="1"/>
        <v/>
      </c>
      <c r="K634" s="85">
        <f t="shared" si="2"/>
        <v>0</v>
      </c>
      <c r="L634" s="83" t="str">
        <f t="shared" si="3"/>
        <v/>
      </c>
      <c r="M634" s="83">
        <f>'SET-26'!H43</f>
        <v>0</v>
      </c>
      <c r="N634" s="92" t="str">
        <f ca="1">IF(BD!$C634="","",IF(AND(TODAY()&gt;BD!$C634,OR(BD!$D634="PENDENTE",BD!$D634="")),"VENCIDO",""))</f>
        <v/>
      </c>
      <c r="O634" s="82" t="str">
        <f ca="1">IF(N634 = "VENCIDO",BD!$B634,"")</f>
        <v/>
      </c>
      <c r="P634" s="82" t="str">
        <f ca="1">IF(N634 = "VENCIDO",BD!$C634,"")</f>
        <v/>
      </c>
      <c r="Q634" s="83" t="str">
        <f ca="1">IF(N634 = "VENCIDO",BD!$E634,"")</f>
        <v/>
      </c>
      <c r="R634" s="83" t="str">
        <f ca="1">IF(N634 = "VENCIDO",BD!$F634,"")</f>
        <v/>
      </c>
      <c r="S634" s="85" t="str">
        <f ca="1">IF(N634 = "VENCIDO",BD!$G634,"")</f>
        <v/>
      </c>
      <c r="T634" s="83" t="str">
        <f ca="1">IF(AND(TODAY()&gt;BD!$C634, OR(BD!$D634="PENDENTE", BD!$D634="")), TODAY()-BD!$C634, "")</f>
        <v/>
      </c>
    </row>
    <row r="635" spans="1:20" ht="14.25" customHeight="1" x14ac:dyDescent="0.35">
      <c r="A635" s="32"/>
      <c r="B635" s="82">
        <f>'SET-26'!A44</f>
        <v>0</v>
      </c>
      <c r="C635" s="82">
        <f>'SET-26'!B44</f>
        <v>0</v>
      </c>
      <c r="D635" s="82">
        <f>'SET-26'!C44</f>
        <v>0</v>
      </c>
      <c r="E635" s="83">
        <f>'SET-26'!D44</f>
        <v>0</v>
      </c>
      <c r="F635" s="84">
        <f>'SET-26'!E44</f>
        <v>0</v>
      </c>
      <c r="G635" s="85">
        <f>'SET-26'!F44</f>
        <v>0</v>
      </c>
      <c r="H635" s="85">
        <f t="shared" si="0"/>
        <v>0</v>
      </c>
      <c r="I635" s="83" t="s">
        <v>103</v>
      </c>
      <c r="J635" s="83" t="str">
        <f t="shared" si="1"/>
        <v/>
      </c>
      <c r="K635" s="85">
        <f t="shared" si="2"/>
        <v>0</v>
      </c>
      <c r="L635" s="83" t="str">
        <f t="shared" si="3"/>
        <v/>
      </c>
      <c r="M635" s="83">
        <f>'SET-26'!H44</f>
        <v>0</v>
      </c>
      <c r="N635" s="92" t="str">
        <f ca="1">IF(BD!$C635="","",IF(AND(TODAY()&gt;BD!$C635,OR(BD!$D635="PENDENTE",BD!$D635="")),"VENCIDO",""))</f>
        <v/>
      </c>
      <c r="O635" s="82" t="str">
        <f ca="1">IF(N635 = "VENCIDO",BD!$B635,"")</f>
        <v/>
      </c>
      <c r="P635" s="82" t="str">
        <f ca="1">IF(N635 = "VENCIDO",BD!$C635,"")</f>
        <v/>
      </c>
      <c r="Q635" s="83" t="str">
        <f ca="1">IF(N635 = "VENCIDO",BD!$E635,"")</f>
        <v/>
      </c>
      <c r="R635" s="83" t="str">
        <f ca="1">IF(N635 = "VENCIDO",BD!$F635,"")</f>
        <v/>
      </c>
      <c r="S635" s="85" t="str">
        <f ca="1">IF(N635 = "VENCIDO",BD!$G635,"")</f>
        <v/>
      </c>
      <c r="T635" s="83" t="str">
        <f ca="1">IF(AND(TODAY()&gt;BD!$C635, OR(BD!$D635="PENDENTE", BD!$D635="")), TODAY()-BD!$C635, "")</f>
        <v/>
      </c>
    </row>
    <row r="636" spans="1:20" ht="14.25" customHeight="1" x14ac:dyDescent="0.35">
      <c r="A636" s="32"/>
      <c r="B636" s="82">
        <f>'SET-26'!A45</f>
        <v>0</v>
      </c>
      <c r="C636" s="82">
        <f>'SET-26'!B45</f>
        <v>0</v>
      </c>
      <c r="D636" s="82">
        <f>'SET-26'!C45</f>
        <v>0</v>
      </c>
      <c r="E636" s="83">
        <f>'SET-26'!D45</f>
        <v>0</v>
      </c>
      <c r="F636" s="84">
        <f>'SET-26'!E45</f>
        <v>0</v>
      </c>
      <c r="G636" s="85">
        <f>'SET-26'!F45</f>
        <v>0</v>
      </c>
      <c r="H636" s="85">
        <f t="shared" si="0"/>
        <v>0</v>
      </c>
      <c r="I636" s="83" t="s">
        <v>103</v>
      </c>
      <c r="J636" s="83" t="str">
        <f t="shared" si="1"/>
        <v/>
      </c>
      <c r="K636" s="85">
        <f t="shared" si="2"/>
        <v>0</v>
      </c>
      <c r="L636" s="83" t="str">
        <f t="shared" si="3"/>
        <v/>
      </c>
      <c r="M636" s="83">
        <f>'SET-26'!H45</f>
        <v>0</v>
      </c>
      <c r="N636" s="92" t="str">
        <f ca="1">IF(BD!$C636="","",IF(AND(TODAY()&gt;BD!$C636,OR(BD!$D636="PENDENTE",BD!$D636="")),"VENCIDO",""))</f>
        <v/>
      </c>
      <c r="O636" s="82" t="str">
        <f ca="1">IF(N636 = "VENCIDO",BD!$B636,"")</f>
        <v/>
      </c>
      <c r="P636" s="82" t="str">
        <f ca="1">IF(N636 = "VENCIDO",BD!$C636,"")</f>
        <v/>
      </c>
      <c r="Q636" s="83" t="str">
        <f ca="1">IF(N636 = "VENCIDO",BD!$E636,"")</f>
        <v/>
      </c>
      <c r="R636" s="83" t="str">
        <f ca="1">IF(N636 = "VENCIDO",BD!$F636,"")</f>
        <v/>
      </c>
      <c r="S636" s="85" t="str">
        <f ca="1">IF(N636 = "VENCIDO",BD!$G636,"")</f>
        <v/>
      </c>
      <c r="T636" s="83" t="str">
        <f ca="1">IF(AND(TODAY()&gt;BD!$C636, OR(BD!$D636="PENDENTE", BD!$D636="")), TODAY()-BD!$C636, "")</f>
        <v/>
      </c>
    </row>
    <row r="637" spans="1:20" ht="14.25" customHeight="1" x14ac:dyDescent="0.35">
      <c r="A637" s="32"/>
      <c r="B637" s="82">
        <f>'SET-26'!A46</f>
        <v>0</v>
      </c>
      <c r="C637" s="82">
        <f>'SET-26'!B46</f>
        <v>0</v>
      </c>
      <c r="D637" s="82">
        <f>'SET-26'!C46</f>
        <v>0</v>
      </c>
      <c r="E637" s="83">
        <f>'SET-26'!D46</f>
        <v>0</v>
      </c>
      <c r="F637" s="84">
        <f>'SET-26'!E46</f>
        <v>0</v>
      </c>
      <c r="G637" s="85">
        <f>'SET-26'!F46</f>
        <v>0</v>
      </c>
      <c r="H637" s="85">
        <f t="shared" si="0"/>
        <v>0</v>
      </c>
      <c r="I637" s="83" t="s">
        <v>103</v>
      </c>
      <c r="J637" s="83" t="str">
        <f t="shared" si="1"/>
        <v/>
      </c>
      <c r="K637" s="85">
        <f t="shared" si="2"/>
        <v>0</v>
      </c>
      <c r="L637" s="83" t="str">
        <f t="shared" si="3"/>
        <v/>
      </c>
      <c r="M637" s="83">
        <f>'SET-26'!H46</f>
        <v>0</v>
      </c>
      <c r="N637" s="92" t="str">
        <f ca="1">IF(BD!$C637="","",IF(AND(TODAY()&gt;BD!$C637,OR(BD!$D637="PENDENTE",BD!$D637="")),"VENCIDO",""))</f>
        <v/>
      </c>
      <c r="O637" s="82" t="str">
        <f ca="1">IF(N637 = "VENCIDO",BD!$B637,"")</f>
        <v/>
      </c>
      <c r="P637" s="82" t="str">
        <f ca="1">IF(N637 = "VENCIDO",BD!$C637,"")</f>
        <v/>
      </c>
      <c r="Q637" s="83" t="str">
        <f ca="1">IF(N637 = "VENCIDO",BD!$E637,"")</f>
        <v/>
      </c>
      <c r="R637" s="83" t="str">
        <f ca="1">IF(N637 = "VENCIDO",BD!$F637,"")</f>
        <v/>
      </c>
      <c r="S637" s="85" t="str">
        <f ca="1">IF(N637 = "VENCIDO",BD!$G637,"")</f>
        <v/>
      </c>
      <c r="T637" s="83" t="str">
        <f ca="1">IF(AND(TODAY()&gt;BD!$C637, OR(BD!$D637="PENDENTE", BD!$D637="")), TODAY()-BD!$C637, "")</f>
        <v/>
      </c>
    </row>
    <row r="638" spans="1:20" ht="14.25" customHeight="1" x14ac:dyDescent="0.35">
      <c r="A638" s="32"/>
      <c r="B638" s="82">
        <f>'SET-26'!A47</f>
        <v>0</v>
      </c>
      <c r="C638" s="82">
        <f>'SET-26'!B47</f>
        <v>0</v>
      </c>
      <c r="D638" s="82">
        <f>'SET-26'!C47</f>
        <v>0</v>
      </c>
      <c r="E638" s="83">
        <f>'SET-26'!D47</f>
        <v>0</v>
      </c>
      <c r="F638" s="84">
        <f>'SET-26'!E47</f>
        <v>0</v>
      </c>
      <c r="G638" s="85">
        <f>'SET-26'!F47</f>
        <v>0</v>
      </c>
      <c r="H638" s="85">
        <f t="shared" si="0"/>
        <v>0</v>
      </c>
      <c r="I638" s="83" t="s">
        <v>103</v>
      </c>
      <c r="J638" s="83" t="str">
        <f t="shared" si="1"/>
        <v/>
      </c>
      <c r="K638" s="85">
        <f t="shared" si="2"/>
        <v>0</v>
      </c>
      <c r="L638" s="83" t="str">
        <f t="shared" si="3"/>
        <v/>
      </c>
      <c r="M638" s="83">
        <f>'SET-26'!H47</f>
        <v>0</v>
      </c>
      <c r="N638" s="92" t="str">
        <f ca="1">IF(BD!$C638="","",IF(AND(TODAY()&gt;BD!$C638,OR(BD!$D638="PENDENTE",BD!$D638="")),"VENCIDO",""))</f>
        <v/>
      </c>
      <c r="O638" s="82" t="str">
        <f ca="1">IF(N638 = "VENCIDO",BD!$B638,"")</f>
        <v/>
      </c>
      <c r="P638" s="82" t="str">
        <f ca="1">IF(N638 = "VENCIDO",BD!$C638,"")</f>
        <v/>
      </c>
      <c r="Q638" s="83" t="str">
        <f ca="1">IF(N638 = "VENCIDO",BD!$E638,"")</f>
        <v/>
      </c>
      <c r="R638" s="83" t="str">
        <f ca="1">IF(N638 = "VENCIDO",BD!$F638,"")</f>
        <v/>
      </c>
      <c r="S638" s="85" t="str">
        <f ca="1">IF(N638 = "VENCIDO",BD!$G638,"")</f>
        <v/>
      </c>
      <c r="T638" s="83" t="str">
        <f ca="1">IF(AND(TODAY()&gt;BD!$C638, OR(BD!$D638="PENDENTE", BD!$D638="")), TODAY()-BD!$C638, "")</f>
        <v/>
      </c>
    </row>
    <row r="639" spans="1:20" ht="14.25" customHeight="1" x14ac:dyDescent="0.35">
      <c r="A639" s="32"/>
      <c r="B639" s="82">
        <f>'SET-26'!A48</f>
        <v>0</v>
      </c>
      <c r="C639" s="82">
        <f>'SET-26'!B48</f>
        <v>0</v>
      </c>
      <c r="D639" s="82">
        <f>'SET-26'!C48</f>
        <v>0</v>
      </c>
      <c r="E639" s="83">
        <f>'SET-26'!D48</f>
        <v>0</v>
      </c>
      <c r="F639" s="84">
        <f>'SET-26'!E48</f>
        <v>0</v>
      </c>
      <c r="G639" s="85">
        <f>'SET-26'!F48</f>
        <v>0</v>
      </c>
      <c r="H639" s="85">
        <f t="shared" si="0"/>
        <v>0</v>
      </c>
      <c r="I639" s="83" t="s">
        <v>103</v>
      </c>
      <c r="J639" s="83" t="str">
        <f t="shared" si="1"/>
        <v/>
      </c>
      <c r="K639" s="85">
        <f t="shared" si="2"/>
        <v>0</v>
      </c>
      <c r="L639" s="83" t="str">
        <f t="shared" si="3"/>
        <v/>
      </c>
      <c r="M639" s="83">
        <f>'SET-26'!H48</f>
        <v>0</v>
      </c>
      <c r="N639" s="92" t="str">
        <f ca="1">IF(BD!$C639="","",IF(AND(TODAY()&gt;BD!$C639,OR(BD!$D639="PENDENTE",BD!$D639="")),"VENCIDO",""))</f>
        <v/>
      </c>
      <c r="O639" s="82" t="str">
        <f ca="1">IF(N639 = "VENCIDO",BD!$B639,"")</f>
        <v/>
      </c>
      <c r="P639" s="82" t="str">
        <f ca="1">IF(N639 = "VENCIDO",BD!$C639,"")</f>
        <v/>
      </c>
      <c r="Q639" s="83" t="str">
        <f ca="1">IF(N639 = "VENCIDO",BD!$E639,"")</f>
        <v/>
      </c>
      <c r="R639" s="83" t="str">
        <f ca="1">IF(N639 = "VENCIDO",BD!$F639,"")</f>
        <v/>
      </c>
      <c r="S639" s="85" t="str">
        <f ca="1">IF(N639 = "VENCIDO",BD!$G639,"")</f>
        <v/>
      </c>
      <c r="T639" s="83" t="str">
        <f ca="1">IF(AND(TODAY()&gt;BD!$C639, OR(BD!$D639="PENDENTE", BD!$D639="")), TODAY()-BD!$C639, "")</f>
        <v/>
      </c>
    </row>
    <row r="640" spans="1:20" ht="14.25" customHeight="1" x14ac:dyDescent="0.35">
      <c r="A640" s="32"/>
      <c r="B640" s="82">
        <f>'SET-26'!A49</f>
        <v>0</v>
      </c>
      <c r="C640" s="82">
        <f>'SET-26'!B49</f>
        <v>0</v>
      </c>
      <c r="D640" s="82">
        <f>'SET-26'!C49</f>
        <v>0</v>
      </c>
      <c r="E640" s="83">
        <f>'SET-26'!D49</f>
        <v>0</v>
      </c>
      <c r="F640" s="84">
        <f>'SET-26'!E49</f>
        <v>0</v>
      </c>
      <c r="G640" s="85">
        <f>'SET-26'!F49</f>
        <v>0</v>
      </c>
      <c r="H640" s="85">
        <f t="shared" si="0"/>
        <v>0</v>
      </c>
      <c r="I640" s="83" t="s">
        <v>103</v>
      </c>
      <c r="J640" s="83" t="str">
        <f t="shared" si="1"/>
        <v/>
      </c>
      <c r="K640" s="85">
        <f t="shared" si="2"/>
        <v>0</v>
      </c>
      <c r="L640" s="83" t="str">
        <f t="shared" si="3"/>
        <v/>
      </c>
      <c r="M640" s="83">
        <f>'SET-26'!H49</f>
        <v>0</v>
      </c>
      <c r="N640" s="92" t="str">
        <f ca="1">IF(BD!$C640="","",IF(AND(TODAY()&gt;BD!$C640,OR(BD!$D640="PENDENTE",BD!$D640="")),"VENCIDO",""))</f>
        <v/>
      </c>
      <c r="O640" s="82" t="str">
        <f ca="1">IF(N640 = "VENCIDO",BD!$B640,"")</f>
        <v/>
      </c>
      <c r="P640" s="82" t="str">
        <f ca="1">IF(N640 = "VENCIDO",BD!$C640,"")</f>
        <v/>
      </c>
      <c r="Q640" s="83" t="str">
        <f ca="1">IF(N640 = "VENCIDO",BD!$E640,"")</f>
        <v/>
      </c>
      <c r="R640" s="83" t="str">
        <f ca="1">IF(N640 = "VENCIDO",BD!$F640,"")</f>
        <v/>
      </c>
      <c r="S640" s="85" t="str">
        <f ca="1">IF(N640 = "VENCIDO",BD!$G640,"")</f>
        <v/>
      </c>
      <c r="T640" s="83" t="str">
        <f ca="1">IF(AND(TODAY()&gt;BD!$C640, OR(BD!$D640="PENDENTE", BD!$D640="")), TODAY()-BD!$C640, "")</f>
        <v/>
      </c>
    </row>
    <row r="641" spans="1:20" ht="14.25" customHeight="1" x14ac:dyDescent="0.35">
      <c r="A641" s="32"/>
      <c r="B641" s="82">
        <f>'SET-26'!A50</f>
        <v>0</v>
      </c>
      <c r="C641" s="82">
        <f>'SET-26'!B50</f>
        <v>0</v>
      </c>
      <c r="D641" s="82">
        <f>'SET-26'!C50</f>
        <v>0</v>
      </c>
      <c r="E641" s="83">
        <f>'SET-26'!D50</f>
        <v>0</v>
      </c>
      <c r="F641" s="84">
        <f>'SET-26'!E50</f>
        <v>0</v>
      </c>
      <c r="G641" s="85">
        <f>'SET-26'!F50</f>
        <v>0</v>
      </c>
      <c r="H641" s="85">
        <f t="shared" si="0"/>
        <v>0</v>
      </c>
      <c r="I641" s="83" t="s">
        <v>103</v>
      </c>
      <c r="J641" s="83" t="str">
        <f t="shared" si="1"/>
        <v/>
      </c>
      <c r="K641" s="85">
        <f t="shared" si="2"/>
        <v>0</v>
      </c>
      <c r="L641" s="83" t="str">
        <f t="shared" si="3"/>
        <v/>
      </c>
      <c r="M641" s="83">
        <f>'SET-26'!H50</f>
        <v>0</v>
      </c>
      <c r="N641" s="92" t="str">
        <f ca="1">IF(BD!$C641="","",IF(AND(TODAY()&gt;BD!$C641,OR(BD!$D641="PENDENTE",BD!$D641="")),"VENCIDO",""))</f>
        <v/>
      </c>
      <c r="O641" s="82" t="str">
        <f ca="1">IF(N641 = "VENCIDO",BD!$B641,"")</f>
        <v/>
      </c>
      <c r="P641" s="82" t="str">
        <f ca="1">IF(N641 = "VENCIDO",BD!$C641,"")</f>
        <v/>
      </c>
      <c r="Q641" s="83" t="str">
        <f ca="1">IF(N641 = "VENCIDO",BD!$E641,"")</f>
        <v/>
      </c>
      <c r="R641" s="83" t="str">
        <f ca="1">IF(N641 = "VENCIDO",BD!$F641,"")</f>
        <v/>
      </c>
      <c r="S641" s="85" t="str">
        <f ca="1">IF(N641 = "VENCIDO",BD!$G641,"")</f>
        <v/>
      </c>
      <c r="T641" s="83" t="str">
        <f ca="1">IF(AND(TODAY()&gt;BD!$C641, OR(BD!$D641="PENDENTE", BD!$D641="")), TODAY()-BD!$C641, "")</f>
        <v/>
      </c>
    </row>
    <row r="642" spans="1:20" ht="14.25" customHeight="1" x14ac:dyDescent="0.35">
      <c r="A642" s="32"/>
      <c r="B642" s="82">
        <f>'SET-26'!A51</f>
        <v>0</v>
      </c>
      <c r="C642" s="82">
        <f>'SET-26'!B51</f>
        <v>0</v>
      </c>
      <c r="D642" s="82">
        <f>'SET-26'!C51</f>
        <v>0</v>
      </c>
      <c r="E642" s="83">
        <f>'SET-26'!D51</f>
        <v>0</v>
      </c>
      <c r="F642" s="84">
        <f>'SET-26'!E51</f>
        <v>0</v>
      </c>
      <c r="G642" s="85">
        <f>'SET-26'!F51</f>
        <v>0</v>
      </c>
      <c r="H642" s="85">
        <f t="shared" si="0"/>
        <v>0</v>
      </c>
      <c r="I642" s="83" t="s">
        <v>103</v>
      </c>
      <c r="J642" s="83" t="str">
        <f t="shared" si="1"/>
        <v/>
      </c>
      <c r="K642" s="85">
        <f t="shared" si="2"/>
        <v>0</v>
      </c>
      <c r="L642" s="83" t="str">
        <f t="shared" si="3"/>
        <v/>
      </c>
      <c r="M642" s="83">
        <f>'SET-26'!H51</f>
        <v>0</v>
      </c>
      <c r="N642" s="92" t="str">
        <f ca="1">IF(BD!$C642="","",IF(AND(TODAY()&gt;BD!$C642,OR(BD!$D642="PENDENTE",BD!$D642="")),"VENCIDO",""))</f>
        <v/>
      </c>
      <c r="O642" s="82" t="str">
        <f ca="1">IF(N642 = "VENCIDO",BD!$B642,"")</f>
        <v/>
      </c>
      <c r="P642" s="82" t="str">
        <f ca="1">IF(N642 = "VENCIDO",BD!$C642,"")</f>
        <v/>
      </c>
      <c r="Q642" s="83" t="str">
        <f ca="1">IF(N642 = "VENCIDO",BD!$E642,"")</f>
        <v/>
      </c>
      <c r="R642" s="83" t="str">
        <f ca="1">IF(N642 = "VENCIDO",BD!$F642,"")</f>
        <v/>
      </c>
      <c r="S642" s="85" t="str">
        <f ca="1">IF(N642 = "VENCIDO",BD!$G642,"")</f>
        <v/>
      </c>
      <c r="T642" s="83" t="str">
        <f ca="1">IF(AND(TODAY()&gt;BD!$C642, OR(BD!$D642="PENDENTE", BD!$D642="")), TODAY()-BD!$C642, "")</f>
        <v/>
      </c>
    </row>
    <row r="643" spans="1:20" ht="14.25" customHeight="1" x14ac:dyDescent="0.35">
      <c r="A643" s="32"/>
      <c r="B643" s="82">
        <f>'SET-26'!A52</f>
        <v>0</v>
      </c>
      <c r="C643" s="82">
        <f>'SET-26'!B52</f>
        <v>0</v>
      </c>
      <c r="D643" s="82">
        <f>'SET-26'!C52</f>
        <v>0</v>
      </c>
      <c r="E643" s="83">
        <f>'SET-26'!D52</f>
        <v>0</v>
      </c>
      <c r="F643" s="84">
        <f>'SET-26'!E52</f>
        <v>0</v>
      </c>
      <c r="G643" s="85">
        <f>'SET-26'!F52</f>
        <v>0</v>
      </c>
      <c r="H643" s="85">
        <f t="shared" si="0"/>
        <v>0</v>
      </c>
      <c r="I643" s="83" t="s">
        <v>103</v>
      </c>
      <c r="J643" s="83" t="str">
        <f t="shared" si="1"/>
        <v/>
      </c>
      <c r="K643" s="85">
        <f t="shared" si="2"/>
        <v>0</v>
      </c>
      <c r="L643" s="83" t="str">
        <f t="shared" si="3"/>
        <v/>
      </c>
      <c r="M643" s="83">
        <f>'SET-26'!H52</f>
        <v>0</v>
      </c>
      <c r="N643" s="92" t="str">
        <f ca="1">IF(BD!$C643="","",IF(AND(TODAY()&gt;BD!$C643,OR(BD!$D643="PENDENTE",BD!$D643="")),"VENCIDO",""))</f>
        <v/>
      </c>
      <c r="O643" s="82" t="str">
        <f ca="1">IF(N643 = "VENCIDO",BD!$B643,"")</f>
        <v/>
      </c>
      <c r="P643" s="82" t="str">
        <f ca="1">IF(N643 = "VENCIDO",BD!$C643,"")</f>
        <v/>
      </c>
      <c r="Q643" s="83" t="str">
        <f ca="1">IF(N643 = "VENCIDO",BD!$E643,"")</f>
        <v/>
      </c>
      <c r="R643" s="83" t="str">
        <f ca="1">IF(N643 = "VENCIDO",BD!$F643,"")</f>
        <v/>
      </c>
      <c r="S643" s="85" t="str">
        <f ca="1">IF(N643 = "VENCIDO",BD!$G643,"")</f>
        <v/>
      </c>
      <c r="T643" s="83" t="str">
        <f ca="1">IF(AND(TODAY()&gt;BD!$C643, OR(BD!$D643="PENDENTE", BD!$D643="")), TODAY()-BD!$C643, "")</f>
        <v/>
      </c>
    </row>
    <row r="644" spans="1:20" ht="14.25" customHeight="1" x14ac:dyDescent="0.35">
      <c r="A644" s="32"/>
      <c r="B644" s="82">
        <f>'SET-26'!A53</f>
        <v>0</v>
      </c>
      <c r="C644" s="82">
        <f>'SET-26'!B53</f>
        <v>0</v>
      </c>
      <c r="D644" s="82">
        <f>'SET-26'!C53</f>
        <v>0</v>
      </c>
      <c r="E644" s="83">
        <f>'SET-26'!D53</f>
        <v>0</v>
      </c>
      <c r="F644" s="84">
        <f>'SET-26'!E53</f>
        <v>0</v>
      </c>
      <c r="G644" s="85">
        <f>'SET-26'!F53</f>
        <v>0</v>
      </c>
      <c r="H644" s="85">
        <f t="shared" si="0"/>
        <v>0</v>
      </c>
      <c r="I644" s="83" t="s">
        <v>103</v>
      </c>
      <c r="J644" s="83" t="str">
        <f t="shared" si="1"/>
        <v/>
      </c>
      <c r="K644" s="85">
        <f t="shared" si="2"/>
        <v>0</v>
      </c>
      <c r="L644" s="83" t="str">
        <f t="shared" si="3"/>
        <v/>
      </c>
      <c r="M644" s="83">
        <f>'SET-26'!H53</f>
        <v>0</v>
      </c>
      <c r="N644" s="92" t="str">
        <f ca="1">IF(BD!$C644="","",IF(AND(TODAY()&gt;BD!$C644,OR(BD!$D644="PENDENTE",BD!$D644="")),"VENCIDO",""))</f>
        <v/>
      </c>
      <c r="O644" s="82" t="str">
        <f ca="1">IF(N644 = "VENCIDO",BD!$B644,"")</f>
        <v/>
      </c>
      <c r="P644" s="82" t="str">
        <f ca="1">IF(N644 = "VENCIDO",BD!$C644,"")</f>
        <v/>
      </c>
      <c r="Q644" s="83" t="str">
        <f ca="1">IF(N644 = "VENCIDO",BD!$E644,"")</f>
        <v/>
      </c>
      <c r="R644" s="83" t="str">
        <f ca="1">IF(N644 = "VENCIDO",BD!$F644,"")</f>
        <v/>
      </c>
      <c r="S644" s="85" t="str">
        <f ca="1">IF(N644 = "VENCIDO",BD!$G644,"")</f>
        <v/>
      </c>
      <c r="T644" s="83" t="str">
        <f ca="1">IF(AND(TODAY()&gt;BD!$C644, OR(BD!$D644="PENDENTE", BD!$D644="")), TODAY()-BD!$C644, "")</f>
        <v/>
      </c>
    </row>
    <row r="645" spans="1:20" ht="14.25" customHeight="1" x14ac:dyDescent="0.35">
      <c r="A645" s="32"/>
      <c r="B645" s="82">
        <f>'SET-26'!A54</f>
        <v>0</v>
      </c>
      <c r="C645" s="82">
        <f>'SET-26'!B54</f>
        <v>0</v>
      </c>
      <c r="D645" s="82">
        <f>'SET-26'!C54</f>
        <v>0</v>
      </c>
      <c r="E645" s="83">
        <f>'SET-26'!D54</f>
        <v>0</v>
      </c>
      <c r="F645" s="84">
        <f>'SET-26'!E54</f>
        <v>0</v>
      </c>
      <c r="G645" s="85">
        <f>'SET-26'!F54</f>
        <v>0</v>
      </c>
      <c r="H645" s="85">
        <f t="shared" si="0"/>
        <v>0</v>
      </c>
      <c r="I645" s="83" t="s">
        <v>103</v>
      </c>
      <c r="J645" s="83" t="str">
        <f t="shared" si="1"/>
        <v/>
      </c>
      <c r="K645" s="85">
        <f t="shared" si="2"/>
        <v>0</v>
      </c>
      <c r="L645" s="83" t="str">
        <f t="shared" si="3"/>
        <v/>
      </c>
      <c r="M645" s="83">
        <f>'SET-26'!H54</f>
        <v>0</v>
      </c>
      <c r="N645" s="92" t="str">
        <f ca="1">IF(BD!$C645="","",IF(AND(TODAY()&gt;BD!$C645,OR(BD!$D645="PENDENTE",BD!$D645="")),"VENCIDO",""))</f>
        <v/>
      </c>
      <c r="O645" s="82" t="str">
        <f ca="1">IF(N645 = "VENCIDO",BD!$B645,"")</f>
        <v/>
      </c>
      <c r="P645" s="82" t="str">
        <f ca="1">IF(N645 = "VENCIDO",BD!$C645,"")</f>
        <v/>
      </c>
      <c r="Q645" s="83" t="str">
        <f ca="1">IF(N645 = "VENCIDO",BD!$E645,"")</f>
        <v/>
      </c>
      <c r="R645" s="83" t="str">
        <f ca="1">IF(N645 = "VENCIDO",BD!$F645,"")</f>
        <v/>
      </c>
      <c r="S645" s="85" t="str">
        <f ca="1">IF(N645 = "VENCIDO",BD!$G645,"")</f>
        <v/>
      </c>
      <c r="T645" s="83" t="str">
        <f ca="1">IF(AND(TODAY()&gt;BD!$C645, OR(BD!$D645="PENDENTE", BD!$D645="")), TODAY()-BD!$C645, "")</f>
        <v/>
      </c>
    </row>
    <row r="646" spans="1:20" ht="14.25" customHeight="1" x14ac:dyDescent="0.35">
      <c r="A646" s="32"/>
      <c r="B646" s="82">
        <f>'SET-26'!A55</f>
        <v>0</v>
      </c>
      <c r="C646" s="82">
        <f>'SET-26'!B55</f>
        <v>0</v>
      </c>
      <c r="D646" s="82">
        <f>'SET-26'!C55</f>
        <v>0</v>
      </c>
      <c r="E646" s="83">
        <f>'SET-26'!D55</f>
        <v>0</v>
      </c>
      <c r="F646" s="84">
        <f>'SET-26'!E55</f>
        <v>0</v>
      </c>
      <c r="G646" s="85">
        <f>'SET-26'!F55</f>
        <v>0</v>
      </c>
      <c r="H646" s="85">
        <f t="shared" si="0"/>
        <v>0</v>
      </c>
      <c r="I646" s="83" t="s">
        <v>103</v>
      </c>
      <c r="J646" s="83" t="str">
        <f t="shared" si="1"/>
        <v/>
      </c>
      <c r="K646" s="85">
        <f t="shared" si="2"/>
        <v>0</v>
      </c>
      <c r="L646" s="83" t="str">
        <f t="shared" si="3"/>
        <v/>
      </c>
      <c r="M646" s="83">
        <f>'SET-26'!H55</f>
        <v>0</v>
      </c>
      <c r="N646" s="92" t="str">
        <f ca="1">IF(BD!$C646="","",IF(AND(TODAY()&gt;BD!$C646,OR(BD!$D646="PENDENTE",BD!$D646="")),"VENCIDO",""))</f>
        <v/>
      </c>
      <c r="O646" s="82" t="str">
        <f ca="1">IF(N646 = "VENCIDO",BD!$B646,"")</f>
        <v/>
      </c>
      <c r="P646" s="82" t="str">
        <f ca="1">IF(N646 = "VENCIDO",BD!$C646,"")</f>
        <v/>
      </c>
      <c r="Q646" s="83" t="str">
        <f ca="1">IF(N646 = "VENCIDO",BD!$E646,"")</f>
        <v/>
      </c>
      <c r="R646" s="83" t="str">
        <f ca="1">IF(N646 = "VENCIDO",BD!$F646,"")</f>
        <v/>
      </c>
      <c r="S646" s="85" t="str">
        <f ca="1">IF(N646 = "VENCIDO",BD!$G646,"")</f>
        <v/>
      </c>
      <c r="T646" s="83" t="str">
        <f ca="1">IF(AND(TODAY()&gt;BD!$C646, OR(BD!$D646="PENDENTE", BD!$D646="")), TODAY()-BD!$C646, "")</f>
        <v/>
      </c>
    </row>
    <row r="647" spans="1:20" ht="14.25" customHeight="1" x14ac:dyDescent="0.35">
      <c r="A647" s="32"/>
      <c r="B647" s="82">
        <f>'SET-26'!A56</f>
        <v>0</v>
      </c>
      <c r="C647" s="82">
        <f>'SET-26'!B56</f>
        <v>0</v>
      </c>
      <c r="D647" s="82">
        <f>'SET-26'!C56</f>
        <v>0</v>
      </c>
      <c r="E647" s="83">
        <f>'SET-26'!D56</f>
        <v>0</v>
      </c>
      <c r="F647" s="84">
        <f>'SET-26'!E56</f>
        <v>0</v>
      </c>
      <c r="G647" s="85">
        <f>'SET-26'!F56</f>
        <v>0</v>
      </c>
      <c r="H647" s="85">
        <f t="shared" si="0"/>
        <v>0</v>
      </c>
      <c r="I647" s="83" t="s">
        <v>103</v>
      </c>
      <c r="J647" s="83" t="str">
        <f t="shared" si="1"/>
        <v/>
      </c>
      <c r="K647" s="85">
        <f t="shared" si="2"/>
        <v>0</v>
      </c>
      <c r="L647" s="83" t="str">
        <f t="shared" si="3"/>
        <v/>
      </c>
      <c r="M647" s="83">
        <f>'SET-26'!H56</f>
        <v>0</v>
      </c>
      <c r="N647" s="92" t="str">
        <f ca="1">IF(BD!$C647="","",IF(AND(TODAY()&gt;BD!$C647,OR(BD!$D647="PENDENTE",BD!$D647="")),"VENCIDO",""))</f>
        <v/>
      </c>
      <c r="O647" s="82" t="str">
        <f ca="1">IF(N647 = "VENCIDO",BD!$B647,"")</f>
        <v/>
      </c>
      <c r="P647" s="82" t="str">
        <f ca="1">IF(N647 = "VENCIDO",BD!$C647,"")</f>
        <v/>
      </c>
      <c r="Q647" s="83" t="str">
        <f ca="1">IF(N647 = "VENCIDO",BD!$E647,"")</f>
        <v/>
      </c>
      <c r="R647" s="83" t="str">
        <f ca="1">IF(N647 = "VENCIDO",BD!$F647,"")</f>
        <v/>
      </c>
      <c r="S647" s="85" t="str">
        <f ca="1">IF(N647 = "VENCIDO",BD!$G647,"")</f>
        <v/>
      </c>
      <c r="T647" s="83" t="str">
        <f ca="1">IF(AND(TODAY()&gt;BD!$C647, OR(BD!$D647="PENDENTE", BD!$D647="")), TODAY()-BD!$C647, "")</f>
        <v/>
      </c>
    </row>
    <row r="648" spans="1:20" ht="14.25" customHeight="1" x14ac:dyDescent="0.35">
      <c r="A648" s="32"/>
      <c r="B648" s="82">
        <f>'SET-26'!A57</f>
        <v>0</v>
      </c>
      <c r="C648" s="82">
        <f>'SET-26'!B57</f>
        <v>0</v>
      </c>
      <c r="D648" s="82">
        <f>'SET-26'!C57</f>
        <v>0</v>
      </c>
      <c r="E648" s="83">
        <f>'SET-26'!D57</f>
        <v>0</v>
      </c>
      <c r="F648" s="84">
        <f>'SET-26'!E57</f>
        <v>0</v>
      </c>
      <c r="G648" s="85">
        <f>'SET-26'!F57</f>
        <v>0</v>
      </c>
      <c r="H648" s="85">
        <f t="shared" si="0"/>
        <v>0</v>
      </c>
      <c r="I648" s="83" t="s">
        <v>103</v>
      </c>
      <c r="J648" s="83" t="str">
        <f t="shared" si="1"/>
        <v/>
      </c>
      <c r="K648" s="85">
        <f t="shared" si="2"/>
        <v>0</v>
      </c>
      <c r="L648" s="83" t="str">
        <f t="shared" si="3"/>
        <v/>
      </c>
      <c r="M648" s="83">
        <f>'SET-26'!H57</f>
        <v>0</v>
      </c>
      <c r="N648" s="92" t="str">
        <f ca="1">IF(BD!$C648="","",IF(AND(TODAY()&gt;BD!$C648,OR(BD!$D648="PENDENTE",BD!$D648="")),"VENCIDO",""))</f>
        <v/>
      </c>
      <c r="O648" s="82" t="str">
        <f ca="1">IF(N648 = "VENCIDO",BD!$B648,"")</f>
        <v/>
      </c>
      <c r="P648" s="82" t="str">
        <f ca="1">IF(N648 = "VENCIDO",BD!$C648,"")</f>
        <v/>
      </c>
      <c r="Q648" s="83" t="str">
        <f ca="1">IF(N648 = "VENCIDO",BD!$E648,"")</f>
        <v/>
      </c>
      <c r="R648" s="83" t="str">
        <f ca="1">IF(N648 = "VENCIDO",BD!$F648,"")</f>
        <v/>
      </c>
      <c r="S648" s="85" t="str">
        <f ca="1">IF(N648 = "VENCIDO",BD!$G648,"")</f>
        <v/>
      </c>
      <c r="T648" s="83" t="str">
        <f ca="1">IF(AND(TODAY()&gt;BD!$C648, OR(BD!$D648="PENDENTE", BD!$D648="")), TODAY()-BD!$C648, "")</f>
        <v/>
      </c>
    </row>
    <row r="649" spans="1:20" ht="14.25" customHeight="1" x14ac:dyDescent="0.35">
      <c r="A649" s="32"/>
      <c r="B649" s="82">
        <f>'SET-26'!A58</f>
        <v>0</v>
      </c>
      <c r="C649" s="82">
        <f>'SET-26'!B58</f>
        <v>0</v>
      </c>
      <c r="D649" s="82">
        <f>'SET-26'!C58</f>
        <v>0</v>
      </c>
      <c r="E649" s="83">
        <f>'SET-26'!D58</f>
        <v>0</v>
      </c>
      <c r="F649" s="84">
        <f>'SET-26'!E58</f>
        <v>0</v>
      </c>
      <c r="G649" s="85">
        <f>'SET-26'!F58</f>
        <v>0</v>
      </c>
      <c r="H649" s="85">
        <f t="shared" si="0"/>
        <v>0</v>
      </c>
      <c r="I649" s="83" t="s">
        <v>103</v>
      </c>
      <c r="J649" s="83" t="str">
        <f t="shared" si="1"/>
        <v/>
      </c>
      <c r="K649" s="85">
        <f t="shared" si="2"/>
        <v>0</v>
      </c>
      <c r="L649" s="83" t="str">
        <f t="shared" si="3"/>
        <v/>
      </c>
      <c r="M649" s="83">
        <f>'SET-26'!H58</f>
        <v>0</v>
      </c>
      <c r="N649" s="92" t="str">
        <f ca="1">IF(BD!$C649="","",IF(AND(TODAY()&gt;BD!$C649,OR(BD!$D649="PENDENTE",BD!$D649="")),"VENCIDO",""))</f>
        <v/>
      </c>
      <c r="O649" s="82" t="str">
        <f ca="1">IF(N649 = "VENCIDO",BD!$B649,"")</f>
        <v/>
      </c>
      <c r="P649" s="82" t="str">
        <f ca="1">IF(N649 = "VENCIDO",BD!$C649,"")</f>
        <v/>
      </c>
      <c r="Q649" s="83" t="str">
        <f ca="1">IF(N649 = "VENCIDO",BD!$E649,"")</f>
        <v/>
      </c>
      <c r="R649" s="83" t="str">
        <f ca="1">IF(N649 = "VENCIDO",BD!$F649,"")</f>
        <v/>
      </c>
      <c r="S649" s="85" t="str">
        <f ca="1">IF(N649 = "VENCIDO",BD!$G649,"")</f>
        <v/>
      </c>
      <c r="T649" s="83" t="str">
        <f ca="1">IF(AND(TODAY()&gt;BD!$C649, OR(BD!$D649="PENDENTE", BD!$D649="")), TODAY()-BD!$C649, "")</f>
        <v/>
      </c>
    </row>
    <row r="650" spans="1:20" ht="14.25" customHeight="1" x14ac:dyDescent="0.35">
      <c r="A650" s="32"/>
      <c r="B650" s="82">
        <f>'SET-26'!A59</f>
        <v>0</v>
      </c>
      <c r="C650" s="82">
        <f>'SET-26'!B59</f>
        <v>0</v>
      </c>
      <c r="D650" s="82">
        <f>'SET-26'!C59</f>
        <v>0</v>
      </c>
      <c r="E650" s="83">
        <f>'SET-26'!D59</f>
        <v>0</v>
      </c>
      <c r="F650" s="84">
        <f>'SET-26'!E59</f>
        <v>0</v>
      </c>
      <c r="G650" s="85">
        <f>'SET-26'!F59</f>
        <v>0</v>
      </c>
      <c r="H650" s="85">
        <f t="shared" si="0"/>
        <v>0</v>
      </c>
      <c r="I650" s="83" t="s">
        <v>103</v>
      </c>
      <c r="J650" s="83" t="str">
        <f t="shared" si="1"/>
        <v/>
      </c>
      <c r="K650" s="85">
        <f t="shared" si="2"/>
        <v>0</v>
      </c>
      <c r="L650" s="83" t="str">
        <f t="shared" si="3"/>
        <v/>
      </c>
      <c r="M650" s="83">
        <f>'SET-26'!H59</f>
        <v>0</v>
      </c>
      <c r="N650" s="92" t="str">
        <f ca="1">IF(BD!$C650="","",IF(AND(TODAY()&gt;BD!$C650,OR(BD!$D650="PENDENTE",BD!$D650="")),"VENCIDO",""))</f>
        <v/>
      </c>
      <c r="O650" s="82" t="str">
        <f ca="1">IF(N650 = "VENCIDO",BD!$B650,"")</f>
        <v/>
      </c>
      <c r="P650" s="82" t="str">
        <f ca="1">IF(N650 = "VENCIDO",BD!$C650,"")</f>
        <v/>
      </c>
      <c r="Q650" s="83" t="str">
        <f ca="1">IF(N650 = "VENCIDO",BD!$E650,"")</f>
        <v/>
      </c>
      <c r="R650" s="83" t="str">
        <f ca="1">IF(N650 = "VENCIDO",BD!$F650,"")</f>
        <v/>
      </c>
      <c r="S650" s="85" t="str">
        <f ca="1">IF(N650 = "VENCIDO",BD!$G650,"")</f>
        <v/>
      </c>
      <c r="T650" s="83" t="str">
        <f ca="1">IF(AND(TODAY()&gt;BD!$C650, OR(BD!$D650="PENDENTE", BD!$D650="")), TODAY()-BD!$C650, "")</f>
        <v/>
      </c>
    </row>
    <row r="651" spans="1:20" ht="14.25" customHeight="1" x14ac:dyDescent="0.35">
      <c r="A651" s="32"/>
      <c r="B651" s="82">
        <f>'SET-26'!A60</f>
        <v>0</v>
      </c>
      <c r="C651" s="82">
        <f>'SET-26'!B60</f>
        <v>0</v>
      </c>
      <c r="D651" s="82">
        <f>'SET-26'!C60</f>
        <v>0</v>
      </c>
      <c r="E651" s="83">
        <f>'SET-26'!D60</f>
        <v>0</v>
      </c>
      <c r="F651" s="84">
        <f>'SET-26'!E60</f>
        <v>0</v>
      </c>
      <c r="G651" s="85">
        <f>'SET-26'!F60</f>
        <v>0</v>
      </c>
      <c r="H651" s="85">
        <f t="shared" si="0"/>
        <v>0</v>
      </c>
      <c r="I651" s="83" t="s">
        <v>103</v>
      </c>
      <c r="J651" s="83" t="str">
        <f t="shared" si="1"/>
        <v/>
      </c>
      <c r="K651" s="85">
        <f t="shared" si="2"/>
        <v>0</v>
      </c>
      <c r="L651" s="83" t="str">
        <f t="shared" si="3"/>
        <v/>
      </c>
      <c r="M651" s="83">
        <f>'SET-26'!H60</f>
        <v>0</v>
      </c>
      <c r="N651" s="92" t="str">
        <f ca="1">IF(BD!$C651="","",IF(AND(TODAY()&gt;BD!$C651,OR(BD!$D651="PENDENTE",BD!$D651="")),"VENCIDO",""))</f>
        <v/>
      </c>
      <c r="O651" s="82" t="str">
        <f ca="1">IF(N651 = "VENCIDO",BD!$B651,"")</f>
        <v/>
      </c>
      <c r="P651" s="82" t="str">
        <f ca="1">IF(N651 = "VENCIDO",BD!$C651,"")</f>
        <v/>
      </c>
      <c r="Q651" s="83" t="str">
        <f ca="1">IF(N651 = "VENCIDO",BD!$E651,"")</f>
        <v/>
      </c>
      <c r="R651" s="83" t="str">
        <f ca="1">IF(N651 = "VENCIDO",BD!$F651,"")</f>
        <v/>
      </c>
      <c r="S651" s="85" t="str">
        <f ca="1">IF(N651 = "VENCIDO",BD!$G651,"")</f>
        <v/>
      </c>
      <c r="T651" s="83" t="str">
        <f ca="1">IF(AND(TODAY()&gt;BD!$C651, OR(BD!$D651="PENDENTE", BD!$D651="")), TODAY()-BD!$C651, "")</f>
        <v/>
      </c>
    </row>
    <row r="652" spans="1:20" ht="14.25" customHeight="1" x14ac:dyDescent="0.35">
      <c r="A652" s="32"/>
      <c r="B652" s="82">
        <f>'SET-26'!A61</f>
        <v>0</v>
      </c>
      <c r="C652" s="82">
        <f>'SET-26'!B61</f>
        <v>0</v>
      </c>
      <c r="D652" s="82">
        <f>'SET-26'!C61</f>
        <v>0</v>
      </c>
      <c r="E652" s="83">
        <f>'SET-26'!D61</f>
        <v>0</v>
      </c>
      <c r="F652" s="84">
        <f>'SET-26'!E61</f>
        <v>0</v>
      </c>
      <c r="G652" s="85">
        <f>'SET-26'!F61</f>
        <v>0</v>
      </c>
      <c r="H652" s="85">
        <f t="shared" si="0"/>
        <v>0</v>
      </c>
      <c r="I652" s="83" t="s">
        <v>103</v>
      </c>
      <c r="J652" s="83" t="str">
        <f t="shared" si="1"/>
        <v/>
      </c>
      <c r="K652" s="85">
        <f t="shared" si="2"/>
        <v>0</v>
      </c>
      <c r="L652" s="83" t="str">
        <f t="shared" si="3"/>
        <v/>
      </c>
      <c r="M652" s="83">
        <f>'SET-26'!H61</f>
        <v>0</v>
      </c>
      <c r="N652" s="92" t="str">
        <f ca="1">IF(BD!$C652="","",IF(AND(TODAY()&gt;BD!$C652,OR(BD!$D652="PENDENTE",BD!$D652="")),"VENCIDO",""))</f>
        <v/>
      </c>
      <c r="O652" s="82" t="str">
        <f ca="1">IF(N652 = "VENCIDO",BD!$B652,"")</f>
        <v/>
      </c>
      <c r="P652" s="82" t="str">
        <f ca="1">IF(N652 = "VENCIDO",BD!$C652,"")</f>
        <v/>
      </c>
      <c r="Q652" s="83" t="str">
        <f ca="1">IF(N652 = "VENCIDO",BD!$E652,"")</f>
        <v/>
      </c>
      <c r="R652" s="83" t="str">
        <f ca="1">IF(N652 = "VENCIDO",BD!$F652,"")</f>
        <v/>
      </c>
      <c r="S652" s="85" t="str">
        <f ca="1">IF(N652 = "VENCIDO",BD!$G652,"")</f>
        <v/>
      </c>
      <c r="T652" s="83" t="str">
        <f ca="1">IF(AND(TODAY()&gt;BD!$C652, OR(BD!$D652="PENDENTE", BD!$D652="")), TODAY()-BD!$C652, "")</f>
        <v/>
      </c>
    </row>
    <row r="653" spans="1:20" ht="14.25" customHeight="1" x14ac:dyDescent="0.35">
      <c r="A653" s="32"/>
      <c r="B653" s="82">
        <f>'SET-26'!A62</f>
        <v>0</v>
      </c>
      <c r="C653" s="82">
        <f>'SET-26'!B62</f>
        <v>0</v>
      </c>
      <c r="D653" s="82">
        <f>'SET-26'!C62</f>
        <v>0</v>
      </c>
      <c r="E653" s="83">
        <f>'SET-26'!D62</f>
        <v>0</v>
      </c>
      <c r="F653" s="84">
        <f>'SET-26'!E62</f>
        <v>0</v>
      </c>
      <c r="G653" s="85">
        <f>'SET-26'!F62</f>
        <v>0</v>
      </c>
      <c r="H653" s="85">
        <f t="shared" si="0"/>
        <v>0</v>
      </c>
      <c r="I653" s="83" t="s">
        <v>103</v>
      </c>
      <c r="J653" s="83" t="str">
        <f t="shared" si="1"/>
        <v/>
      </c>
      <c r="K653" s="85">
        <f t="shared" si="2"/>
        <v>0</v>
      </c>
      <c r="L653" s="83" t="str">
        <f t="shared" si="3"/>
        <v/>
      </c>
      <c r="M653" s="83">
        <f>'SET-26'!H62</f>
        <v>0</v>
      </c>
      <c r="N653" s="92" t="str">
        <f ca="1">IF(BD!$C653="","",IF(AND(TODAY()&gt;BD!$C653,OR(BD!$D653="PENDENTE",BD!$D653="")),"VENCIDO",""))</f>
        <v/>
      </c>
      <c r="O653" s="82" t="str">
        <f ca="1">IF(N653 = "VENCIDO",BD!$B653,"")</f>
        <v/>
      </c>
      <c r="P653" s="82" t="str">
        <f ca="1">IF(N653 = "VENCIDO",BD!$C653,"")</f>
        <v/>
      </c>
      <c r="Q653" s="83" t="str">
        <f ca="1">IF(N653 = "VENCIDO",BD!$E653,"")</f>
        <v/>
      </c>
      <c r="R653" s="83" t="str">
        <f ca="1">IF(N653 = "VENCIDO",BD!$F653,"")</f>
        <v/>
      </c>
      <c r="S653" s="85" t="str">
        <f ca="1">IF(N653 = "VENCIDO",BD!$G653,"")</f>
        <v/>
      </c>
      <c r="T653" s="83" t="str">
        <f ca="1">IF(AND(TODAY()&gt;BD!$C653, OR(BD!$D653="PENDENTE", BD!$D653="")), TODAY()-BD!$C653, "")</f>
        <v/>
      </c>
    </row>
    <row r="654" spans="1:20" ht="14.25" customHeight="1" x14ac:dyDescent="0.35">
      <c r="A654" s="32"/>
      <c r="B654" s="82">
        <f>'SET-26'!A63</f>
        <v>0</v>
      </c>
      <c r="C654" s="82">
        <f>'SET-26'!B63</f>
        <v>0</v>
      </c>
      <c r="D654" s="82">
        <f>'SET-26'!C63</f>
        <v>0</v>
      </c>
      <c r="E654" s="83">
        <f>'SET-26'!D63</f>
        <v>0</v>
      </c>
      <c r="F654" s="84">
        <f>'SET-26'!E63</f>
        <v>0</v>
      </c>
      <c r="G654" s="85">
        <f>'SET-26'!F63</f>
        <v>0</v>
      </c>
      <c r="H654" s="85">
        <f t="shared" si="0"/>
        <v>0</v>
      </c>
      <c r="I654" s="83" t="s">
        <v>103</v>
      </c>
      <c r="J654" s="83" t="str">
        <f t="shared" si="1"/>
        <v/>
      </c>
      <c r="K654" s="85">
        <f t="shared" si="2"/>
        <v>0</v>
      </c>
      <c r="L654" s="83" t="str">
        <f t="shared" si="3"/>
        <v/>
      </c>
      <c r="M654" s="83">
        <f>'SET-26'!H63</f>
        <v>0</v>
      </c>
      <c r="N654" s="92" t="str">
        <f ca="1">IF(BD!$C654="","",IF(AND(TODAY()&gt;BD!$C654,OR(BD!$D654="PENDENTE",BD!$D654="")),"VENCIDO",""))</f>
        <v/>
      </c>
      <c r="O654" s="82" t="str">
        <f ca="1">IF(N654 = "VENCIDO",BD!$B654,"")</f>
        <v/>
      </c>
      <c r="P654" s="82" t="str">
        <f ca="1">IF(N654 = "VENCIDO",BD!$C654,"")</f>
        <v/>
      </c>
      <c r="Q654" s="83" t="str">
        <f ca="1">IF(N654 = "VENCIDO",BD!$E654,"")</f>
        <v/>
      </c>
      <c r="R654" s="83" t="str">
        <f ca="1">IF(N654 = "VENCIDO",BD!$F654,"")</f>
        <v/>
      </c>
      <c r="S654" s="85" t="str">
        <f ca="1">IF(N654 = "VENCIDO",BD!$G654,"")</f>
        <v/>
      </c>
      <c r="T654" s="83" t="str">
        <f ca="1">IF(AND(TODAY()&gt;BD!$C654, OR(BD!$D654="PENDENTE", BD!$D654="")), TODAY()-BD!$C654, "")</f>
        <v/>
      </c>
    </row>
    <row r="655" spans="1:20" ht="14.25" customHeight="1" x14ac:dyDescent="0.35">
      <c r="A655" s="32"/>
      <c r="B655" s="82">
        <f>'SET-26'!A64</f>
        <v>0</v>
      </c>
      <c r="C655" s="82">
        <f>'SET-26'!B64</f>
        <v>0</v>
      </c>
      <c r="D655" s="82">
        <f>'SET-26'!C64</f>
        <v>0</v>
      </c>
      <c r="E655" s="83">
        <f>'SET-26'!D64</f>
        <v>0</v>
      </c>
      <c r="F655" s="84">
        <f>'SET-26'!E64</f>
        <v>0</v>
      </c>
      <c r="G655" s="85">
        <f>'SET-26'!F64</f>
        <v>0</v>
      </c>
      <c r="H655" s="85">
        <f t="shared" si="0"/>
        <v>0</v>
      </c>
      <c r="I655" s="83" t="s">
        <v>103</v>
      </c>
      <c r="J655" s="83" t="str">
        <f t="shared" si="1"/>
        <v/>
      </c>
      <c r="K655" s="85">
        <f t="shared" si="2"/>
        <v>0</v>
      </c>
      <c r="L655" s="83" t="str">
        <f t="shared" si="3"/>
        <v/>
      </c>
      <c r="M655" s="83">
        <f>'SET-26'!H64</f>
        <v>0</v>
      </c>
      <c r="N655" s="92" t="str">
        <f ca="1">IF(BD!$C655="","",IF(AND(TODAY()&gt;BD!$C655,OR(BD!$D655="PENDENTE",BD!$D655="")),"VENCIDO",""))</f>
        <v/>
      </c>
      <c r="O655" s="82" t="str">
        <f ca="1">IF(N655 = "VENCIDO",BD!$B655,"")</f>
        <v/>
      </c>
      <c r="P655" s="82" t="str">
        <f ca="1">IF(N655 = "VENCIDO",BD!$C655,"")</f>
        <v/>
      </c>
      <c r="Q655" s="83" t="str">
        <f ca="1">IF(N655 = "VENCIDO",BD!$E655,"")</f>
        <v/>
      </c>
      <c r="R655" s="83" t="str">
        <f ca="1">IF(N655 = "VENCIDO",BD!$F655,"")</f>
        <v/>
      </c>
      <c r="S655" s="85" t="str">
        <f ca="1">IF(N655 = "VENCIDO",BD!$G655,"")</f>
        <v/>
      </c>
      <c r="T655" s="83" t="str">
        <f ca="1">IF(AND(TODAY()&gt;BD!$C655, OR(BD!$D655="PENDENTE", BD!$D655="")), TODAY()-BD!$C655, "")</f>
        <v/>
      </c>
    </row>
    <row r="656" spans="1:20" ht="14.25" customHeight="1" x14ac:dyDescent="0.35">
      <c r="A656" s="32"/>
      <c r="B656" s="82">
        <f>'SET-26'!A65</f>
        <v>0</v>
      </c>
      <c r="C656" s="82">
        <f>'SET-26'!B65</f>
        <v>0</v>
      </c>
      <c r="D656" s="82">
        <f>'SET-26'!C65</f>
        <v>0</v>
      </c>
      <c r="E656" s="83">
        <f>'SET-26'!D65</f>
        <v>0</v>
      </c>
      <c r="F656" s="84">
        <f>'SET-26'!E65</f>
        <v>0</v>
      </c>
      <c r="G656" s="85">
        <f>'SET-26'!F65</f>
        <v>0</v>
      </c>
      <c r="H656" s="85">
        <f t="shared" si="0"/>
        <v>0</v>
      </c>
      <c r="I656" s="83" t="s">
        <v>103</v>
      </c>
      <c r="J656" s="83" t="str">
        <f t="shared" si="1"/>
        <v/>
      </c>
      <c r="K656" s="85">
        <f t="shared" si="2"/>
        <v>0</v>
      </c>
      <c r="L656" s="83" t="str">
        <f t="shared" si="3"/>
        <v/>
      </c>
      <c r="M656" s="83">
        <f>'SET-26'!H65</f>
        <v>0</v>
      </c>
      <c r="N656" s="92" t="str">
        <f ca="1">IF(BD!$C656="","",IF(AND(TODAY()&gt;BD!$C656,OR(BD!$D656="PENDENTE",BD!$D656="")),"VENCIDO",""))</f>
        <v/>
      </c>
      <c r="O656" s="82" t="str">
        <f ca="1">IF(N656 = "VENCIDO",BD!$B656,"")</f>
        <v/>
      </c>
      <c r="P656" s="82" t="str">
        <f ca="1">IF(N656 = "VENCIDO",BD!$C656,"")</f>
        <v/>
      </c>
      <c r="Q656" s="83" t="str">
        <f ca="1">IF(N656 = "VENCIDO",BD!$E656,"")</f>
        <v/>
      </c>
      <c r="R656" s="83" t="str">
        <f ca="1">IF(N656 = "VENCIDO",BD!$F656,"")</f>
        <v/>
      </c>
      <c r="S656" s="85" t="str">
        <f ca="1">IF(N656 = "VENCIDO",BD!$G656,"")</f>
        <v/>
      </c>
      <c r="T656" s="83" t="str">
        <f ca="1">IF(AND(TODAY()&gt;BD!$C656, OR(BD!$D656="PENDENTE", BD!$D656="")), TODAY()-BD!$C656, "")</f>
        <v/>
      </c>
    </row>
    <row r="657" spans="1:20" ht="14.25" customHeight="1" x14ac:dyDescent="0.35">
      <c r="A657" s="32"/>
      <c r="B657" s="82">
        <f>'SET-26'!A66</f>
        <v>0</v>
      </c>
      <c r="C657" s="82">
        <f>'SET-26'!B66</f>
        <v>0</v>
      </c>
      <c r="D657" s="82">
        <f>'SET-26'!C66</f>
        <v>0</v>
      </c>
      <c r="E657" s="83">
        <f>'SET-26'!D66</f>
        <v>0</v>
      </c>
      <c r="F657" s="84">
        <f>'SET-26'!E66</f>
        <v>0</v>
      </c>
      <c r="G657" s="85">
        <f>'SET-26'!F66</f>
        <v>0</v>
      </c>
      <c r="H657" s="85">
        <f t="shared" si="0"/>
        <v>0</v>
      </c>
      <c r="I657" s="83" t="s">
        <v>103</v>
      </c>
      <c r="J657" s="83" t="str">
        <f t="shared" si="1"/>
        <v/>
      </c>
      <c r="K657" s="85">
        <f t="shared" si="2"/>
        <v>0</v>
      </c>
      <c r="L657" s="83" t="str">
        <f t="shared" si="3"/>
        <v/>
      </c>
      <c r="M657" s="83">
        <f>'SET-26'!H66</f>
        <v>0</v>
      </c>
      <c r="N657" s="92" t="str">
        <f ca="1">IF(BD!$C657="","",IF(AND(TODAY()&gt;BD!$C657,OR(BD!$D657="PENDENTE",BD!$D657="")),"VENCIDO",""))</f>
        <v/>
      </c>
      <c r="O657" s="82" t="str">
        <f ca="1">IF(N657 = "VENCIDO",BD!$B657,"")</f>
        <v/>
      </c>
      <c r="P657" s="82" t="str">
        <f ca="1">IF(N657 = "VENCIDO",BD!$C657,"")</f>
        <v/>
      </c>
      <c r="Q657" s="83" t="str">
        <f ca="1">IF(N657 = "VENCIDO",BD!$E657,"")</f>
        <v/>
      </c>
      <c r="R657" s="83" t="str">
        <f ca="1">IF(N657 = "VENCIDO",BD!$F657,"")</f>
        <v/>
      </c>
      <c r="S657" s="85" t="str">
        <f ca="1">IF(N657 = "VENCIDO",BD!$G657,"")</f>
        <v/>
      </c>
      <c r="T657" s="83" t="str">
        <f ca="1">IF(AND(TODAY()&gt;BD!$C657, OR(BD!$D657="PENDENTE", BD!$D657="")), TODAY()-BD!$C657, "")</f>
        <v/>
      </c>
    </row>
    <row r="658" spans="1:20" ht="14.25" customHeight="1" x14ac:dyDescent="0.35">
      <c r="A658" s="32"/>
      <c r="B658" s="82">
        <f>'SET-26'!A67</f>
        <v>0</v>
      </c>
      <c r="C658" s="82">
        <f>'SET-26'!B67</f>
        <v>0</v>
      </c>
      <c r="D658" s="82">
        <f>'SET-26'!C67</f>
        <v>0</v>
      </c>
      <c r="E658" s="83">
        <f>'SET-26'!D67</f>
        <v>0</v>
      </c>
      <c r="F658" s="84">
        <f>'SET-26'!E67</f>
        <v>0</v>
      </c>
      <c r="G658" s="85">
        <f>'SET-26'!F67</f>
        <v>0</v>
      </c>
      <c r="H658" s="85">
        <f t="shared" si="0"/>
        <v>0</v>
      </c>
      <c r="I658" s="83" t="s">
        <v>103</v>
      </c>
      <c r="J658" s="83" t="str">
        <f t="shared" si="1"/>
        <v/>
      </c>
      <c r="K658" s="85">
        <f t="shared" si="2"/>
        <v>0</v>
      </c>
      <c r="L658" s="83" t="str">
        <f t="shared" si="3"/>
        <v/>
      </c>
      <c r="M658" s="83">
        <f>'SET-26'!H67</f>
        <v>0</v>
      </c>
      <c r="N658" s="92" t="str">
        <f ca="1">IF(BD!$C658="","",IF(AND(TODAY()&gt;BD!$C658,OR(BD!$D658="PENDENTE",BD!$D658="")),"VENCIDO",""))</f>
        <v/>
      </c>
      <c r="O658" s="82" t="str">
        <f ca="1">IF(N658 = "VENCIDO",BD!$B658,"")</f>
        <v/>
      </c>
      <c r="P658" s="82" t="str">
        <f ca="1">IF(N658 = "VENCIDO",BD!$C658,"")</f>
        <v/>
      </c>
      <c r="Q658" s="83" t="str">
        <f ca="1">IF(N658 = "VENCIDO",BD!$E658,"")</f>
        <v/>
      </c>
      <c r="R658" s="83" t="str">
        <f ca="1">IF(N658 = "VENCIDO",BD!$F658,"")</f>
        <v/>
      </c>
      <c r="S658" s="85" t="str">
        <f ca="1">IF(N658 = "VENCIDO",BD!$G658,"")</f>
        <v/>
      </c>
      <c r="T658" s="83" t="str">
        <f ca="1">IF(AND(TODAY()&gt;BD!$C658, OR(BD!$D658="PENDENTE", BD!$D658="")), TODAY()-BD!$C658, "")</f>
        <v/>
      </c>
    </row>
    <row r="659" spans="1:20" ht="14.25" customHeight="1" x14ac:dyDescent="0.35">
      <c r="A659" s="32"/>
      <c r="B659" s="82">
        <f>'SET-26'!A68</f>
        <v>0</v>
      </c>
      <c r="C659" s="82">
        <f>'SET-26'!B68</f>
        <v>0</v>
      </c>
      <c r="D659" s="82">
        <f>'SET-26'!C68</f>
        <v>0</v>
      </c>
      <c r="E659" s="83">
        <f>'SET-26'!D68</f>
        <v>0</v>
      </c>
      <c r="F659" s="84">
        <f>'SET-26'!E68</f>
        <v>0</v>
      </c>
      <c r="G659" s="85">
        <f>'SET-26'!F68</f>
        <v>0</v>
      </c>
      <c r="H659" s="85">
        <f t="shared" si="0"/>
        <v>0</v>
      </c>
      <c r="I659" s="83" t="s">
        <v>103</v>
      </c>
      <c r="J659" s="83" t="str">
        <f t="shared" si="1"/>
        <v/>
      </c>
      <c r="K659" s="85">
        <f t="shared" si="2"/>
        <v>0</v>
      </c>
      <c r="L659" s="83" t="str">
        <f t="shared" si="3"/>
        <v/>
      </c>
      <c r="M659" s="83">
        <f>'SET-26'!H68</f>
        <v>0</v>
      </c>
      <c r="N659" s="92" t="str">
        <f ca="1">IF(BD!$C659="","",IF(AND(TODAY()&gt;BD!$C659,OR(BD!$D659="PENDENTE",BD!$D659="")),"VENCIDO",""))</f>
        <v/>
      </c>
      <c r="O659" s="82" t="str">
        <f ca="1">IF(N659 = "VENCIDO",BD!$B659,"")</f>
        <v/>
      </c>
      <c r="P659" s="82" t="str">
        <f ca="1">IF(N659 = "VENCIDO",BD!$C659,"")</f>
        <v/>
      </c>
      <c r="Q659" s="83" t="str">
        <f ca="1">IF(N659 = "VENCIDO",BD!$E659,"")</f>
        <v/>
      </c>
      <c r="R659" s="83" t="str">
        <f ca="1">IF(N659 = "VENCIDO",BD!$F659,"")</f>
        <v/>
      </c>
      <c r="S659" s="85" t="str">
        <f ca="1">IF(N659 = "VENCIDO",BD!$G659,"")</f>
        <v/>
      </c>
      <c r="T659" s="83" t="str">
        <f ca="1">IF(AND(TODAY()&gt;BD!$C659, OR(BD!$D659="PENDENTE", BD!$D659="")), TODAY()-BD!$C659, "")</f>
        <v/>
      </c>
    </row>
    <row r="660" spans="1:20" ht="14.25" customHeight="1" x14ac:dyDescent="0.35">
      <c r="A660" s="32"/>
      <c r="B660" s="82">
        <f>'SET-26'!A69</f>
        <v>0</v>
      </c>
      <c r="C660" s="82">
        <f>'SET-26'!B69</f>
        <v>0</v>
      </c>
      <c r="D660" s="82">
        <f>'SET-26'!C69</f>
        <v>0</v>
      </c>
      <c r="E660" s="83">
        <f>'SET-26'!D69</f>
        <v>0</v>
      </c>
      <c r="F660" s="84">
        <f>'SET-26'!E69</f>
        <v>0</v>
      </c>
      <c r="G660" s="85">
        <f>'SET-26'!F69</f>
        <v>0</v>
      </c>
      <c r="H660" s="85">
        <f t="shared" si="0"/>
        <v>0</v>
      </c>
      <c r="I660" s="83" t="s">
        <v>103</v>
      </c>
      <c r="J660" s="83" t="str">
        <f t="shared" si="1"/>
        <v/>
      </c>
      <c r="K660" s="85">
        <f t="shared" si="2"/>
        <v>0</v>
      </c>
      <c r="L660" s="83" t="str">
        <f t="shared" si="3"/>
        <v/>
      </c>
      <c r="M660" s="83">
        <f>'SET-26'!H69</f>
        <v>0</v>
      </c>
      <c r="N660" s="92" t="str">
        <f ca="1">IF(BD!$C660="","",IF(AND(TODAY()&gt;BD!$C660,OR(BD!$D660="PENDENTE",BD!$D660="")),"VENCIDO",""))</f>
        <v/>
      </c>
      <c r="O660" s="82" t="str">
        <f ca="1">IF(N660 = "VENCIDO",BD!$B660,"")</f>
        <v/>
      </c>
      <c r="P660" s="82" t="str">
        <f ca="1">IF(N660 = "VENCIDO",BD!$C660,"")</f>
        <v/>
      </c>
      <c r="Q660" s="83" t="str">
        <f ca="1">IF(N660 = "VENCIDO",BD!$E660,"")</f>
        <v/>
      </c>
      <c r="R660" s="83" t="str">
        <f ca="1">IF(N660 = "VENCIDO",BD!$F660,"")</f>
        <v/>
      </c>
      <c r="S660" s="85" t="str">
        <f ca="1">IF(N660 = "VENCIDO",BD!$G660,"")</f>
        <v/>
      </c>
      <c r="T660" s="83" t="str">
        <f ca="1">IF(AND(TODAY()&gt;BD!$C660, OR(BD!$D660="PENDENTE", BD!$D660="")), TODAY()-BD!$C660, "")</f>
        <v/>
      </c>
    </row>
    <row r="661" spans="1:20" ht="14.25" customHeight="1" x14ac:dyDescent="0.35">
      <c r="A661" s="32"/>
      <c r="B661" s="82">
        <f>'SET-26'!A70</f>
        <v>0</v>
      </c>
      <c r="C661" s="82">
        <f>'SET-26'!B70</f>
        <v>0</v>
      </c>
      <c r="D661" s="82">
        <f>'SET-26'!C70</f>
        <v>0</v>
      </c>
      <c r="E661" s="83">
        <f>'SET-26'!D70</f>
        <v>0</v>
      </c>
      <c r="F661" s="84">
        <f>'SET-26'!E70</f>
        <v>0</v>
      </c>
      <c r="G661" s="85">
        <f>'SET-26'!F70</f>
        <v>0</v>
      </c>
      <c r="H661" s="85">
        <f t="shared" si="0"/>
        <v>0</v>
      </c>
      <c r="I661" s="83" t="s">
        <v>103</v>
      </c>
      <c r="J661" s="83" t="str">
        <f t="shared" si="1"/>
        <v/>
      </c>
      <c r="K661" s="85">
        <f t="shared" si="2"/>
        <v>0</v>
      </c>
      <c r="L661" s="83" t="str">
        <f t="shared" si="3"/>
        <v/>
      </c>
      <c r="M661" s="83">
        <f>'SET-26'!H70</f>
        <v>0</v>
      </c>
      <c r="N661" s="92" t="str">
        <f ca="1">IF(BD!$C661="","",IF(AND(TODAY()&gt;BD!$C661,OR(BD!$D661="PENDENTE",BD!$D661="")),"VENCIDO",""))</f>
        <v/>
      </c>
      <c r="O661" s="82" t="str">
        <f ca="1">IF(N661 = "VENCIDO",BD!$B661,"")</f>
        <v/>
      </c>
      <c r="P661" s="82" t="str">
        <f ca="1">IF(N661 = "VENCIDO",BD!$C661,"")</f>
        <v/>
      </c>
      <c r="Q661" s="83" t="str">
        <f ca="1">IF(N661 = "VENCIDO",BD!$E661,"")</f>
        <v/>
      </c>
      <c r="R661" s="83" t="str">
        <f ca="1">IF(N661 = "VENCIDO",BD!$F661,"")</f>
        <v/>
      </c>
      <c r="S661" s="85" t="str">
        <f ca="1">IF(N661 = "VENCIDO",BD!$G661,"")</f>
        <v/>
      </c>
      <c r="T661" s="83" t="str">
        <f ca="1">IF(AND(TODAY()&gt;BD!$C661, OR(BD!$D661="PENDENTE", BD!$D661="")), TODAY()-BD!$C661, "")</f>
        <v/>
      </c>
    </row>
    <row r="662" spans="1:20" ht="14.25" customHeight="1" x14ac:dyDescent="0.35">
      <c r="A662" s="32"/>
      <c r="B662" s="82">
        <f>'SET-26'!A71</f>
        <v>0</v>
      </c>
      <c r="C662" s="82">
        <f>'SET-26'!B71</f>
        <v>0</v>
      </c>
      <c r="D662" s="82">
        <f>'SET-26'!C71</f>
        <v>0</v>
      </c>
      <c r="E662" s="83">
        <f>'SET-26'!D71</f>
        <v>0</v>
      </c>
      <c r="F662" s="84">
        <f>'SET-26'!E71</f>
        <v>0</v>
      </c>
      <c r="G662" s="85">
        <f>'SET-26'!F71</f>
        <v>0</v>
      </c>
      <c r="H662" s="85">
        <f t="shared" si="0"/>
        <v>0</v>
      </c>
      <c r="I662" s="83" t="s">
        <v>103</v>
      </c>
      <c r="J662" s="83" t="str">
        <f t="shared" si="1"/>
        <v/>
      </c>
      <c r="K662" s="85">
        <f t="shared" si="2"/>
        <v>0</v>
      </c>
      <c r="L662" s="83" t="str">
        <f t="shared" si="3"/>
        <v/>
      </c>
      <c r="M662" s="83">
        <f>'SET-26'!H71</f>
        <v>0</v>
      </c>
      <c r="N662" s="92" t="str">
        <f ca="1">IF(BD!$C662="","",IF(AND(TODAY()&gt;BD!$C662,OR(BD!$D662="PENDENTE",BD!$D662="")),"VENCIDO",""))</f>
        <v/>
      </c>
      <c r="O662" s="82" t="str">
        <f ca="1">IF(N662 = "VENCIDO",BD!$B662,"")</f>
        <v/>
      </c>
      <c r="P662" s="82" t="str">
        <f ca="1">IF(N662 = "VENCIDO",BD!$C662,"")</f>
        <v/>
      </c>
      <c r="Q662" s="83" t="str">
        <f ca="1">IF(N662 = "VENCIDO",BD!$E662,"")</f>
        <v/>
      </c>
      <c r="R662" s="83" t="str">
        <f ca="1">IF(N662 = "VENCIDO",BD!$F662,"")</f>
        <v/>
      </c>
      <c r="S662" s="85" t="str">
        <f ca="1">IF(N662 = "VENCIDO",BD!$G662,"")</f>
        <v/>
      </c>
      <c r="T662" s="83" t="str">
        <f ca="1">IF(AND(TODAY()&gt;BD!$C662, OR(BD!$D662="PENDENTE", BD!$D662="")), TODAY()-BD!$C662, "")</f>
        <v/>
      </c>
    </row>
    <row r="663" spans="1:20" ht="14.25" customHeight="1" x14ac:dyDescent="0.35">
      <c r="A663" s="32"/>
      <c r="B663" s="82">
        <f>'SET-26'!A72</f>
        <v>0</v>
      </c>
      <c r="C663" s="82">
        <f>'SET-26'!B72</f>
        <v>0</v>
      </c>
      <c r="D663" s="82">
        <f>'SET-26'!C72</f>
        <v>0</v>
      </c>
      <c r="E663" s="83">
        <f>'SET-26'!D72</f>
        <v>0</v>
      </c>
      <c r="F663" s="84">
        <f>'SET-26'!E72</f>
        <v>0</v>
      </c>
      <c r="G663" s="85">
        <f>'SET-26'!F72</f>
        <v>0</v>
      </c>
      <c r="H663" s="85">
        <f t="shared" si="0"/>
        <v>0</v>
      </c>
      <c r="I663" s="83" t="s">
        <v>103</v>
      </c>
      <c r="J663" s="83" t="str">
        <f t="shared" si="1"/>
        <v/>
      </c>
      <c r="K663" s="85">
        <f t="shared" si="2"/>
        <v>0</v>
      </c>
      <c r="L663" s="83" t="str">
        <f t="shared" si="3"/>
        <v/>
      </c>
      <c r="M663" s="83">
        <f>'SET-26'!H72</f>
        <v>0</v>
      </c>
      <c r="N663" s="92" t="str">
        <f ca="1">IF(BD!$C663="","",IF(AND(TODAY()&gt;BD!$C663,OR(BD!$D663="PENDENTE",BD!$D663="")),"VENCIDO",""))</f>
        <v/>
      </c>
      <c r="O663" s="82" t="str">
        <f ca="1">IF(N663 = "VENCIDO",BD!$B663,"")</f>
        <v/>
      </c>
      <c r="P663" s="82" t="str">
        <f ca="1">IF(N663 = "VENCIDO",BD!$C663,"")</f>
        <v/>
      </c>
      <c r="Q663" s="83" t="str">
        <f ca="1">IF(N663 = "VENCIDO",BD!$E663,"")</f>
        <v/>
      </c>
      <c r="R663" s="83" t="str">
        <f ca="1">IF(N663 = "VENCIDO",BD!$F663,"")</f>
        <v/>
      </c>
      <c r="S663" s="85" t="str">
        <f ca="1">IF(N663 = "VENCIDO",BD!$G663,"")</f>
        <v/>
      </c>
      <c r="T663" s="83" t="str">
        <f ca="1">IF(AND(TODAY()&gt;BD!$C663, OR(BD!$D663="PENDENTE", BD!$D663="")), TODAY()-BD!$C663, "")</f>
        <v/>
      </c>
    </row>
    <row r="664" spans="1:20" ht="14.25" customHeight="1" x14ac:dyDescent="0.35">
      <c r="A664" s="32"/>
      <c r="B664" s="82">
        <f>'SET-26'!A73</f>
        <v>0</v>
      </c>
      <c r="C664" s="82">
        <f>'SET-26'!B73</f>
        <v>0</v>
      </c>
      <c r="D664" s="82">
        <f>'SET-26'!C73</f>
        <v>0</v>
      </c>
      <c r="E664" s="83">
        <f>'SET-26'!D73</f>
        <v>0</v>
      </c>
      <c r="F664" s="84">
        <f>'SET-26'!E73</f>
        <v>0</v>
      </c>
      <c r="G664" s="85">
        <f>'SET-26'!F73</f>
        <v>0</v>
      </c>
      <c r="H664" s="85">
        <f t="shared" si="0"/>
        <v>0</v>
      </c>
      <c r="I664" s="83" t="s">
        <v>103</v>
      </c>
      <c r="J664" s="83" t="str">
        <f t="shared" si="1"/>
        <v/>
      </c>
      <c r="K664" s="85">
        <f t="shared" si="2"/>
        <v>0</v>
      </c>
      <c r="L664" s="83" t="str">
        <f t="shared" si="3"/>
        <v/>
      </c>
      <c r="M664" s="83">
        <f>'SET-26'!H73</f>
        <v>0</v>
      </c>
      <c r="N664" s="92" t="str">
        <f ca="1">IF(BD!$C664="","",IF(AND(TODAY()&gt;BD!$C664,OR(BD!$D664="PENDENTE",BD!$D664="")),"VENCIDO",""))</f>
        <v/>
      </c>
      <c r="O664" s="82" t="str">
        <f ca="1">IF(N664 = "VENCIDO",BD!$B664,"")</f>
        <v/>
      </c>
      <c r="P664" s="82" t="str">
        <f ca="1">IF(N664 = "VENCIDO",BD!$C664,"")</f>
        <v/>
      </c>
      <c r="Q664" s="83" t="str">
        <f ca="1">IF(N664 = "VENCIDO",BD!$E664,"")</f>
        <v/>
      </c>
      <c r="R664" s="83" t="str">
        <f ca="1">IF(N664 = "VENCIDO",BD!$F664,"")</f>
        <v/>
      </c>
      <c r="S664" s="85" t="str">
        <f ca="1">IF(N664 = "VENCIDO",BD!$G664,"")</f>
        <v/>
      </c>
      <c r="T664" s="83" t="str">
        <f ca="1">IF(AND(TODAY()&gt;BD!$C664, OR(BD!$D664="PENDENTE", BD!$D664="")), TODAY()-BD!$C664, "")</f>
        <v/>
      </c>
    </row>
    <row r="665" spans="1:20" ht="14.25" customHeight="1" x14ac:dyDescent="0.35">
      <c r="A665" s="32"/>
      <c r="B665" s="82">
        <f>'SET-26'!A74</f>
        <v>0</v>
      </c>
      <c r="C665" s="82">
        <f>'SET-26'!B74</f>
        <v>0</v>
      </c>
      <c r="D665" s="82">
        <f>'SET-26'!C74</f>
        <v>0</v>
      </c>
      <c r="E665" s="83">
        <f>'SET-26'!D74</f>
        <v>0</v>
      </c>
      <c r="F665" s="84">
        <f>'SET-26'!E74</f>
        <v>0</v>
      </c>
      <c r="G665" s="85">
        <f>'SET-26'!F74</f>
        <v>0</v>
      </c>
      <c r="H665" s="85">
        <f t="shared" si="0"/>
        <v>0</v>
      </c>
      <c r="I665" s="83" t="s">
        <v>103</v>
      </c>
      <c r="J665" s="83" t="str">
        <f t="shared" si="1"/>
        <v/>
      </c>
      <c r="K665" s="85">
        <f t="shared" si="2"/>
        <v>0</v>
      </c>
      <c r="L665" s="83" t="str">
        <f t="shared" si="3"/>
        <v/>
      </c>
      <c r="M665" s="83">
        <f>'SET-26'!H74</f>
        <v>0</v>
      </c>
      <c r="N665" s="92" t="str">
        <f ca="1">IF(BD!$C665="","",IF(AND(TODAY()&gt;BD!$C665,OR(BD!$D665="PENDENTE",BD!$D665="")),"VENCIDO",""))</f>
        <v/>
      </c>
      <c r="O665" s="82" t="str">
        <f ca="1">IF(N665 = "VENCIDO",BD!$B665,"")</f>
        <v/>
      </c>
      <c r="P665" s="82" t="str">
        <f ca="1">IF(N665 = "VENCIDO",BD!$C665,"")</f>
        <v/>
      </c>
      <c r="Q665" s="83" t="str">
        <f ca="1">IF(N665 = "VENCIDO",BD!$E665,"")</f>
        <v/>
      </c>
      <c r="R665" s="83" t="str">
        <f ca="1">IF(N665 = "VENCIDO",BD!$F665,"")</f>
        <v/>
      </c>
      <c r="S665" s="85" t="str">
        <f ca="1">IF(N665 = "VENCIDO",BD!$G665,"")</f>
        <v/>
      </c>
      <c r="T665" s="83" t="str">
        <f ca="1">IF(AND(TODAY()&gt;BD!$C665, OR(BD!$D665="PENDENTE", BD!$D665="")), TODAY()-BD!$C665, "")</f>
        <v/>
      </c>
    </row>
    <row r="666" spans="1:20" ht="14.25" customHeight="1" x14ac:dyDescent="0.35">
      <c r="A666" s="32"/>
      <c r="B666" s="82">
        <f>'SET-26'!A75</f>
        <v>0</v>
      </c>
      <c r="C666" s="82">
        <f>'SET-26'!B75</f>
        <v>0</v>
      </c>
      <c r="D666" s="82">
        <f>'SET-26'!C75</f>
        <v>0</v>
      </c>
      <c r="E666" s="83">
        <f>'SET-26'!D75</f>
        <v>0</v>
      </c>
      <c r="F666" s="84">
        <f>'SET-26'!E75</f>
        <v>0</v>
      </c>
      <c r="G666" s="85">
        <f>'SET-26'!F75</f>
        <v>0</v>
      </c>
      <c r="H666" s="85">
        <f t="shared" si="0"/>
        <v>0</v>
      </c>
      <c r="I666" s="83" t="s">
        <v>103</v>
      </c>
      <c r="J666" s="83" t="str">
        <f t="shared" si="1"/>
        <v/>
      </c>
      <c r="K666" s="85">
        <f t="shared" si="2"/>
        <v>0</v>
      </c>
      <c r="L666" s="83" t="str">
        <f t="shared" si="3"/>
        <v/>
      </c>
      <c r="M666" s="83">
        <f>'SET-26'!H75</f>
        <v>0</v>
      </c>
      <c r="N666" s="92" t="str">
        <f ca="1">IF(BD!$C666="","",IF(AND(TODAY()&gt;BD!$C666,OR(BD!$D666="PENDENTE",BD!$D666="")),"VENCIDO",""))</f>
        <v/>
      </c>
      <c r="O666" s="82" t="str">
        <f ca="1">IF(N666 = "VENCIDO",BD!$B666,"")</f>
        <v/>
      </c>
      <c r="P666" s="82" t="str">
        <f ca="1">IF(N666 = "VENCIDO",BD!$C666,"")</f>
        <v/>
      </c>
      <c r="Q666" s="83" t="str">
        <f ca="1">IF(N666 = "VENCIDO",BD!$E666,"")</f>
        <v/>
      </c>
      <c r="R666" s="83" t="str">
        <f ca="1">IF(N666 = "VENCIDO",BD!$F666,"")</f>
        <v/>
      </c>
      <c r="S666" s="85" t="str">
        <f ca="1">IF(N666 = "VENCIDO",BD!$G666,"")</f>
        <v/>
      </c>
      <c r="T666" s="83" t="str">
        <f ca="1">IF(AND(TODAY()&gt;BD!$C666, OR(BD!$D666="PENDENTE", BD!$D666="")), TODAY()-BD!$C666, "")</f>
        <v/>
      </c>
    </row>
    <row r="667" spans="1:20" ht="14.25" customHeight="1" x14ac:dyDescent="0.35">
      <c r="A667" s="32"/>
      <c r="B667" s="82">
        <f>'SET-26'!A76</f>
        <v>0</v>
      </c>
      <c r="C667" s="82">
        <f>'SET-26'!B76</f>
        <v>0</v>
      </c>
      <c r="D667" s="82">
        <f>'SET-26'!C76</f>
        <v>0</v>
      </c>
      <c r="E667" s="83">
        <f>'SET-26'!D76</f>
        <v>0</v>
      </c>
      <c r="F667" s="84">
        <f>'SET-26'!E76</f>
        <v>0</v>
      </c>
      <c r="G667" s="85">
        <f>'SET-26'!F76</f>
        <v>0</v>
      </c>
      <c r="H667" s="85">
        <f t="shared" si="0"/>
        <v>0</v>
      </c>
      <c r="I667" s="83" t="s">
        <v>103</v>
      </c>
      <c r="J667" s="83" t="str">
        <f t="shared" si="1"/>
        <v/>
      </c>
      <c r="K667" s="85">
        <f t="shared" si="2"/>
        <v>0</v>
      </c>
      <c r="L667" s="83" t="str">
        <f t="shared" si="3"/>
        <v/>
      </c>
      <c r="M667" s="83">
        <f>'SET-26'!H76</f>
        <v>0</v>
      </c>
      <c r="N667" s="92" t="str">
        <f ca="1">IF(BD!$C667="","",IF(AND(TODAY()&gt;BD!$C667,OR(BD!$D667="PENDENTE",BD!$D667="")),"VENCIDO",""))</f>
        <v/>
      </c>
      <c r="O667" s="82" t="str">
        <f ca="1">IF(N667 = "VENCIDO",BD!$B667,"")</f>
        <v/>
      </c>
      <c r="P667" s="82" t="str">
        <f ca="1">IF(N667 = "VENCIDO",BD!$C667,"")</f>
        <v/>
      </c>
      <c r="Q667" s="83" t="str">
        <f ca="1">IF(N667 = "VENCIDO",BD!$E667,"")</f>
        <v/>
      </c>
      <c r="R667" s="83" t="str">
        <f ca="1">IF(N667 = "VENCIDO",BD!$F667,"")</f>
        <v/>
      </c>
      <c r="S667" s="85" t="str">
        <f ca="1">IF(N667 = "VENCIDO",BD!$G667,"")</f>
        <v/>
      </c>
      <c r="T667" s="83" t="str">
        <f ca="1">IF(AND(TODAY()&gt;BD!$C667, OR(BD!$D667="PENDENTE", BD!$D667="")), TODAY()-BD!$C667, "")</f>
        <v/>
      </c>
    </row>
    <row r="668" spans="1:20" ht="14.25" customHeight="1" x14ac:dyDescent="0.35">
      <c r="A668" s="32"/>
      <c r="B668" s="82">
        <f>'OUT-26'!A3</f>
        <v>0</v>
      </c>
      <c r="C668" s="82">
        <f>'OUT-26'!B3</f>
        <v>0</v>
      </c>
      <c r="D668" s="82">
        <f>'OUT-26'!C3</f>
        <v>0</v>
      </c>
      <c r="E668" s="83">
        <f>'OUT-26'!D3</f>
        <v>0</v>
      </c>
      <c r="F668" s="84">
        <f>'OUT-26'!E3</f>
        <v>0</v>
      </c>
      <c r="G668" s="85">
        <f>'OUT-26'!F3</f>
        <v>0</v>
      </c>
      <c r="H668" s="85">
        <f t="shared" si="0"/>
        <v>0</v>
      </c>
      <c r="I668" s="83" t="s">
        <v>104</v>
      </c>
      <c r="J668" s="83" t="str">
        <f t="shared" si="1"/>
        <v/>
      </c>
      <c r="K668" s="85">
        <f t="shared" si="2"/>
        <v>0</v>
      </c>
      <c r="L668" s="83" t="str">
        <f t="shared" si="3"/>
        <v/>
      </c>
      <c r="M668" s="83">
        <f>'OUT-26'!H3</f>
        <v>0</v>
      </c>
      <c r="N668" s="92" t="str">
        <f ca="1">IF(BD!$C668="","",IF(AND(TODAY()&gt;BD!$C668,OR(BD!$D668="PENDENTE",BD!$D668="")),"VENCIDO",""))</f>
        <v/>
      </c>
      <c r="O668" s="82" t="str">
        <f ca="1">IF(N668 = "VENCIDO",BD!$B668,"")</f>
        <v/>
      </c>
      <c r="P668" s="82" t="str">
        <f ca="1">IF(N668 = "VENCIDO",BD!$C668,"")</f>
        <v/>
      </c>
      <c r="Q668" s="83" t="str">
        <f ca="1">IF(N668 = "VENCIDO",BD!$E668,"")</f>
        <v/>
      </c>
      <c r="R668" s="83" t="str">
        <f ca="1">IF(N668 = "VENCIDO",BD!$F668,"")</f>
        <v/>
      </c>
      <c r="S668" s="85" t="str">
        <f ca="1">IF(N668 = "VENCIDO",BD!$G668,"")</f>
        <v/>
      </c>
      <c r="T668" s="83" t="str">
        <f ca="1">IF(AND(TODAY()&gt;BD!$C668, OR(BD!$D668="PENDENTE", BD!$D668="")), TODAY()-BD!$C668, "")</f>
        <v/>
      </c>
    </row>
    <row r="669" spans="1:20" ht="14.25" customHeight="1" x14ac:dyDescent="0.35">
      <c r="A669" s="32"/>
      <c r="B669" s="82">
        <f>'OUT-26'!A4</f>
        <v>0</v>
      </c>
      <c r="C669" s="82">
        <f>'OUT-26'!B4</f>
        <v>0</v>
      </c>
      <c r="D669" s="82">
        <f>'OUT-26'!C4</f>
        <v>0</v>
      </c>
      <c r="E669" s="83">
        <f>'OUT-26'!D4</f>
        <v>0</v>
      </c>
      <c r="F669" s="84">
        <f>'OUT-26'!E4</f>
        <v>0</v>
      </c>
      <c r="G669" s="85">
        <f>'OUT-26'!F4</f>
        <v>0</v>
      </c>
      <c r="H669" s="85">
        <f t="shared" si="0"/>
        <v>0</v>
      </c>
      <c r="I669" s="83" t="s">
        <v>104</v>
      </c>
      <c r="J669" s="83" t="str">
        <f t="shared" si="1"/>
        <v/>
      </c>
      <c r="K669" s="85">
        <f t="shared" si="2"/>
        <v>0</v>
      </c>
      <c r="L669" s="83" t="str">
        <f t="shared" si="3"/>
        <v/>
      </c>
      <c r="M669" s="83">
        <f>'OUT-26'!H4</f>
        <v>0</v>
      </c>
      <c r="N669" s="92" t="str">
        <f ca="1">IF(BD!$C669="","",IF(AND(TODAY()&gt;BD!$C669,OR(BD!$D669="PENDENTE",BD!$D669="")),"VENCIDO",""))</f>
        <v/>
      </c>
      <c r="O669" s="82" t="str">
        <f ca="1">IF(N669 = "VENCIDO",BD!$B669,"")</f>
        <v/>
      </c>
      <c r="P669" s="82" t="str">
        <f ca="1">IF(N669 = "VENCIDO",BD!$C669,"")</f>
        <v/>
      </c>
      <c r="Q669" s="83" t="str">
        <f ca="1">IF(N669 = "VENCIDO",BD!$E669,"")</f>
        <v/>
      </c>
      <c r="R669" s="83" t="str">
        <f ca="1">IF(N669 = "VENCIDO",BD!$F669,"")</f>
        <v/>
      </c>
      <c r="S669" s="85" t="str">
        <f ca="1">IF(N669 = "VENCIDO",BD!$G669,"")</f>
        <v/>
      </c>
      <c r="T669" s="83" t="str">
        <f ca="1">IF(AND(TODAY()&gt;BD!$C669, OR(BD!$D669="PENDENTE", BD!$D669="")), TODAY()-BD!$C669, "")</f>
        <v/>
      </c>
    </row>
    <row r="670" spans="1:20" ht="14.25" customHeight="1" x14ac:dyDescent="0.35">
      <c r="A670" s="32"/>
      <c r="B670" s="82">
        <f>'OUT-26'!A5</f>
        <v>0</v>
      </c>
      <c r="C670" s="82">
        <f>'OUT-26'!B5</f>
        <v>0</v>
      </c>
      <c r="D670" s="82">
        <f>'OUT-26'!C5</f>
        <v>0</v>
      </c>
      <c r="E670" s="83">
        <f>'OUT-26'!D5</f>
        <v>0</v>
      </c>
      <c r="F670" s="84">
        <f>'OUT-26'!E5</f>
        <v>0</v>
      </c>
      <c r="G670" s="85">
        <f>'OUT-26'!F5</f>
        <v>0</v>
      </c>
      <c r="H670" s="85">
        <f t="shared" si="0"/>
        <v>0</v>
      </c>
      <c r="I670" s="83" t="s">
        <v>104</v>
      </c>
      <c r="J670" s="83" t="str">
        <f t="shared" si="1"/>
        <v/>
      </c>
      <c r="K670" s="85">
        <f t="shared" si="2"/>
        <v>0</v>
      </c>
      <c r="L670" s="83" t="str">
        <f t="shared" si="3"/>
        <v/>
      </c>
      <c r="M670" s="83">
        <f>'OUT-26'!H5</f>
        <v>0</v>
      </c>
      <c r="N670" s="92" t="str">
        <f ca="1">IF(BD!$C670="","",IF(AND(TODAY()&gt;BD!$C670,OR(BD!$D670="PENDENTE",BD!$D670="")),"VENCIDO",""))</f>
        <v/>
      </c>
      <c r="O670" s="82" t="str">
        <f ca="1">IF(N670 = "VENCIDO",BD!$B670,"")</f>
        <v/>
      </c>
      <c r="P670" s="82" t="str">
        <f ca="1">IF(N670 = "VENCIDO",BD!$C670,"")</f>
        <v/>
      </c>
      <c r="Q670" s="83" t="str">
        <f ca="1">IF(N670 = "VENCIDO",BD!$E670,"")</f>
        <v/>
      </c>
      <c r="R670" s="83" t="str">
        <f ca="1">IF(N670 = "VENCIDO",BD!$F670,"")</f>
        <v/>
      </c>
      <c r="S670" s="85" t="str">
        <f ca="1">IF(N670 = "VENCIDO",BD!$G670,"")</f>
        <v/>
      </c>
      <c r="T670" s="83" t="str">
        <f ca="1">IF(AND(TODAY()&gt;BD!$C670, OR(BD!$D670="PENDENTE", BD!$D670="")), TODAY()-BD!$C670, "")</f>
        <v/>
      </c>
    </row>
    <row r="671" spans="1:20" ht="14.25" customHeight="1" x14ac:dyDescent="0.35">
      <c r="A671" s="32"/>
      <c r="B671" s="82">
        <f>'OUT-26'!A6</f>
        <v>0</v>
      </c>
      <c r="C671" s="82">
        <f>'OUT-26'!B6</f>
        <v>0</v>
      </c>
      <c r="D671" s="82">
        <f>'OUT-26'!C6</f>
        <v>0</v>
      </c>
      <c r="E671" s="83">
        <f>'OUT-26'!D6</f>
        <v>0</v>
      </c>
      <c r="F671" s="84">
        <f>'OUT-26'!E6</f>
        <v>0</v>
      </c>
      <c r="G671" s="85">
        <f>'OUT-26'!F6</f>
        <v>0</v>
      </c>
      <c r="H671" s="85">
        <f t="shared" si="0"/>
        <v>0</v>
      </c>
      <c r="I671" s="83" t="s">
        <v>104</v>
      </c>
      <c r="J671" s="83" t="str">
        <f t="shared" si="1"/>
        <v/>
      </c>
      <c r="K671" s="85">
        <f t="shared" si="2"/>
        <v>0</v>
      </c>
      <c r="L671" s="83" t="str">
        <f t="shared" si="3"/>
        <v/>
      </c>
      <c r="M671" s="83">
        <f>'OUT-26'!H6</f>
        <v>0</v>
      </c>
      <c r="N671" s="92" t="str">
        <f ca="1">IF(BD!$C671="","",IF(AND(TODAY()&gt;BD!$C671,OR(BD!$D671="PENDENTE",BD!$D671="")),"VENCIDO",""))</f>
        <v/>
      </c>
      <c r="O671" s="82" t="str">
        <f ca="1">IF(N671 = "VENCIDO",BD!$B671,"")</f>
        <v/>
      </c>
      <c r="P671" s="82" t="str">
        <f ca="1">IF(N671 = "VENCIDO",BD!$C671,"")</f>
        <v/>
      </c>
      <c r="Q671" s="83" t="str">
        <f ca="1">IF(N671 = "VENCIDO",BD!$E671,"")</f>
        <v/>
      </c>
      <c r="R671" s="83" t="str">
        <f ca="1">IF(N671 = "VENCIDO",BD!$F671,"")</f>
        <v/>
      </c>
      <c r="S671" s="85" t="str">
        <f ca="1">IF(N671 = "VENCIDO",BD!$G671,"")</f>
        <v/>
      </c>
      <c r="T671" s="83" t="str">
        <f ca="1">IF(AND(TODAY()&gt;BD!$C671, OR(BD!$D671="PENDENTE", BD!$D671="")), TODAY()-BD!$C671, "")</f>
        <v/>
      </c>
    </row>
    <row r="672" spans="1:20" ht="14.25" customHeight="1" x14ac:dyDescent="0.35">
      <c r="A672" s="32"/>
      <c r="B672" s="82">
        <f>'OUT-26'!A7</f>
        <v>0</v>
      </c>
      <c r="C672" s="82">
        <f>'OUT-26'!B7</f>
        <v>0</v>
      </c>
      <c r="D672" s="82">
        <f>'OUT-26'!C7</f>
        <v>0</v>
      </c>
      <c r="E672" s="83">
        <f>'OUT-26'!D7</f>
        <v>0</v>
      </c>
      <c r="F672" s="84">
        <f>'OUT-26'!E7</f>
        <v>0</v>
      </c>
      <c r="G672" s="85">
        <f>'OUT-26'!F7</f>
        <v>0</v>
      </c>
      <c r="H672" s="85">
        <f t="shared" si="0"/>
        <v>0</v>
      </c>
      <c r="I672" s="83" t="s">
        <v>104</v>
      </c>
      <c r="J672" s="83" t="str">
        <f t="shared" si="1"/>
        <v/>
      </c>
      <c r="K672" s="85">
        <f t="shared" si="2"/>
        <v>0</v>
      </c>
      <c r="L672" s="83" t="str">
        <f t="shared" si="3"/>
        <v/>
      </c>
      <c r="M672" s="83">
        <f>'OUT-26'!H7</f>
        <v>0</v>
      </c>
      <c r="N672" s="92" t="str">
        <f ca="1">IF(BD!$C672="","",IF(AND(TODAY()&gt;BD!$C672,OR(BD!$D672="PENDENTE",BD!$D672="")),"VENCIDO",""))</f>
        <v/>
      </c>
      <c r="O672" s="82" t="str">
        <f ca="1">IF(N672 = "VENCIDO",BD!$B672,"")</f>
        <v/>
      </c>
      <c r="P672" s="82" t="str">
        <f ca="1">IF(N672 = "VENCIDO",BD!$C672,"")</f>
        <v/>
      </c>
      <c r="Q672" s="83" t="str">
        <f ca="1">IF(N672 = "VENCIDO",BD!$E672,"")</f>
        <v/>
      </c>
      <c r="R672" s="83" t="str">
        <f ca="1">IF(N672 = "VENCIDO",BD!$F672,"")</f>
        <v/>
      </c>
      <c r="S672" s="85" t="str">
        <f ca="1">IF(N672 = "VENCIDO",BD!$G672,"")</f>
        <v/>
      </c>
      <c r="T672" s="83" t="str">
        <f ca="1">IF(AND(TODAY()&gt;BD!$C672, OR(BD!$D672="PENDENTE", BD!$D672="")), TODAY()-BD!$C672, "")</f>
        <v/>
      </c>
    </row>
    <row r="673" spans="1:20" ht="14.25" customHeight="1" x14ac:dyDescent="0.35">
      <c r="A673" s="32"/>
      <c r="B673" s="82">
        <f>'OUT-26'!A8</f>
        <v>0</v>
      </c>
      <c r="C673" s="82">
        <f>'OUT-26'!B8</f>
        <v>0</v>
      </c>
      <c r="D673" s="82">
        <f>'OUT-26'!C8</f>
        <v>0</v>
      </c>
      <c r="E673" s="83">
        <f>'OUT-26'!D8</f>
        <v>0</v>
      </c>
      <c r="F673" s="84">
        <f>'OUT-26'!E8</f>
        <v>0</v>
      </c>
      <c r="G673" s="85">
        <f>'OUT-26'!F8</f>
        <v>0</v>
      </c>
      <c r="H673" s="85">
        <f t="shared" si="0"/>
        <v>0</v>
      </c>
      <c r="I673" s="83" t="s">
        <v>104</v>
      </c>
      <c r="J673" s="83" t="str">
        <f t="shared" si="1"/>
        <v/>
      </c>
      <c r="K673" s="85">
        <f t="shared" si="2"/>
        <v>0</v>
      </c>
      <c r="L673" s="83" t="str">
        <f t="shared" si="3"/>
        <v/>
      </c>
      <c r="M673" s="83">
        <f>'OUT-26'!H8</f>
        <v>0</v>
      </c>
      <c r="N673" s="92" t="str">
        <f ca="1">IF(BD!$C673="","",IF(AND(TODAY()&gt;BD!$C673,OR(BD!$D673="PENDENTE",BD!$D673="")),"VENCIDO",""))</f>
        <v/>
      </c>
      <c r="O673" s="82" t="str">
        <f ca="1">IF(N673 = "VENCIDO",BD!$B673,"")</f>
        <v/>
      </c>
      <c r="P673" s="82" t="str">
        <f ca="1">IF(N673 = "VENCIDO",BD!$C673,"")</f>
        <v/>
      </c>
      <c r="Q673" s="83" t="str">
        <f ca="1">IF(N673 = "VENCIDO",BD!$E673,"")</f>
        <v/>
      </c>
      <c r="R673" s="83" t="str">
        <f ca="1">IF(N673 = "VENCIDO",BD!$F673,"")</f>
        <v/>
      </c>
      <c r="S673" s="85" t="str">
        <f ca="1">IF(N673 = "VENCIDO",BD!$G673,"")</f>
        <v/>
      </c>
      <c r="T673" s="83" t="str">
        <f ca="1">IF(AND(TODAY()&gt;BD!$C673, OR(BD!$D673="PENDENTE", BD!$D673="")), TODAY()-BD!$C673, "")</f>
        <v/>
      </c>
    </row>
    <row r="674" spans="1:20" ht="14.25" customHeight="1" x14ac:dyDescent="0.35">
      <c r="A674" s="32"/>
      <c r="B674" s="82">
        <f>'OUT-26'!A9</f>
        <v>0</v>
      </c>
      <c r="C674" s="82">
        <f>'OUT-26'!B9</f>
        <v>0</v>
      </c>
      <c r="D674" s="82">
        <f>'OUT-26'!C9</f>
        <v>0</v>
      </c>
      <c r="E674" s="83">
        <f>'OUT-26'!D9</f>
        <v>0</v>
      </c>
      <c r="F674" s="84">
        <f>'OUT-26'!E9</f>
        <v>0</v>
      </c>
      <c r="G674" s="85">
        <f>'OUT-26'!F9</f>
        <v>0</v>
      </c>
      <c r="H674" s="85">
        <f t="shared" si="0"/>
        <v>0</v>
      </c>
      <c r="I674" s="83" t="s">
        <v>104</v>
      </c>
      <c r="J674" s="83" t="str">
        <f t="shared" si="1"/>
        <v/>
      </c>
      <c r="K674" s="85">
        <f t="shared" si="2"/>
        <v>0</v>
      </c>
      <c r="L674" s="83" t="str">
        <f t="shared" si="3"/>
        <v/>
      </c>
      <c r="M674" s="83">
        <f>'OUT-26'!H9</f>
        <v>0</v>
      </c>
      <c r="N674" s="92" t="str">
        <f ca="1">IF(BD!$C674="","",IF(AND(TODAY()&gt;BD!$C674,OR(BD!$D674="PENDENTE",BD!$D674="")),"VENCIDO",""))</f>
        <v/>
      </c>
      <c r="O674" s="82" t="str">
        <f ca="1">IF(N674 = "VENCIDO",BD!$B674,"")</f>
        <v/>
      </c>
      <c r="P674" s="82" t="str">
        <f ca="1">IF(N674 = "VENCIDO",BD!$C674,"")</f>
        <v/>
      </c>
      <c r="Q674" s="83" t="str">
        <f ca="1">IF(N674 = "VENCIDO",BD!$E674,"")</f>
        <v/>
      </c>
      <c r="R674" s="83" t="str">
        <f ca="1">IF(N674 = "VENCIDO",BD!$F674,"")</f>
        <v/>
      </c>
      <c r="S674" s="85" t="str">
        <f ca="1">IF(N674 = "VENCIDO",BD!$G674,"")</f>
        <v/>
      </c>
      <c r="T674" s="83" t="str">
        <f ca="1">IF(AND(TODAY()&gt;BD!$C674, OR(BD!$D674="PENDENTE", BD!$D674="")), TODAY()-BD!$C674, "")</f>
        <v/>
      </c>
    </row>
    <row r="675" spans="1:20" ht="14.25" customHeight="1" x14ac:dyDescent="0.35">
      <c r="A675" s="32"/>
      <c r="B675" s="82">
        <f>'OUT-26'!A10</f>
        <v>0</v>
      </c>
      <c r="C675" s="82">
        <f>'OUT-26'!B10</f>
        <v>0</v>
      </c>
      <c r="D675" s="82">
        <f>'OUT-26'!C10</f>
        <v>0</v>
      </c>
      <c r="E675" s="83">
        <f>'OUT-26'!D10</f>
        <v>0</v>
      </c>
      <c r="F675" s="84">
        <f>'OUT-26'!E10</f>
        <v>0</v>
      </c>
      <c r="G675" s="85">
        <f>'OUT-26'!F10</f>
        <v>0</v>
      </c>
      <c r="H675" s="85">
        <f t="shared" si="0"/>
        <v>0</v>
      </c>
      <c r="I675" s="83" t="s">
        <v>104</v>
      </c>
      <c r="J675" s="83" t="str">
        <f t="shared" si="1"/>
        <v/>
      </c>
      <c r="K675" s="85">
        <f t="shared" si="2"/>
        <v>0</v>
      </c>
      <c r="L675" s="83" t="str">
        <f t="shared" si="3"/>
        <v/>
      </c>
      <c r="M675" s="83">
        <f>'OUT-26'!H10</f>
        <v>0</v>
      </c>
      <c r="N675" s="92" t="str">
        <f ca="1">IF(BD!$C675="","",IF(AND(TODAY()&gt;BD!$C675,OR(BD!$D675="PENDENTE",BD!$D675="")),"VENCIDO",""))</f>
        <v/>
      </c>
      <c r="O675" s="82" t="str">
        <f ca="1">IF(N675 = "VENCIDO",BD!$B675,"")</f>
        <v/>
      </c>
      <c r="P675" s="82" t="str">
        <f ca="1">IF(N675 = "VENCIDO",BD!$C675,"")</f>
        <v/>
      </c>
      <c r="Q675" s="83" t="str">
        <f ca="1">IF(N675 = "VENCIDO",BD!$E675,"")</f>
        <v/>
      </c>
      <c r="R675" s="83" t="str">
        <f ca="1">IF(N675 = "VENCIDO",BD!$F675,"")</f>
        <v/>
      </c>
      <c r="S675" s="85" t="str">
        <f ca="1">IF(N675 = "VENCIDO",BD!$G675,"")</f>
        <v/>
      </c>
      <c r="T675" s="83" t="str">
        <f ca="1">IF(AND(TODAY()&gt;BD!$C675, OR(BD!$D675="PENDENTE", BD!$D675="")), TODAY()-BD!$C675, "")</f>
        <v/>
      </c>
    </row>
    <row r="676" spans="1:20" ht="14.25" customHeight="1" x14ac:dyDescent="0.35">
      <c r="A676" s="32"/>
      <c r="B676" s="82">
        <f>'OUT-26'!A11</f>
        <v>0</v>
      </c>
      <c r="C676" s="82">
        <f>'OUT-26'!B11</f>
        <v>0</v>
      </c>
      <c r="D676" s="82">
        <f>'OUT-26'!C11</f>
        <v>0</v>
      </c>
      <c r="E676" s="83">
        <f>'OUT-26'!D11</f>
        <v>0</v>
      </c>
      <c r="F676" s="84">
        <f>'OUT-26'!E11</f>
        <v>0</v>
      </c>
      <c r="G676" s="85">
        <f>'OUT-26'!F11</f>
        <v>0</v>
      </c>
      <c r="H676" s="85">
        <f t="shared" si="0"/>
        <v>0</v>
      </c>
      <c r="I676" s="83" t="s">
        <v>104</v>
      </c>
      <c r="J676" s="83" t="str">
        <f t="shared" si="1"/>
        <v/>
      </c>
      <c r="K676" s="85">
        <f t="shared" si="2"/>
        <v>0</v>
      </c>
      <c r="L676" s="83" t="str">
        <f t="shared" si="3"/>
        <v/>
      </c>
      <c r="M676" s="83">
        <f>'OUT-26'!H11</f>
        <v>0</v>
      </c>
      <c r="N676" s="92" t="str">
        <f ca="1">IF(BD!$C676="","",IF(AND(TODAY()&gt;BD!$C676,OR(BD!$D676="PENDENTE",BD!$D676="")),"VENCIDO",""))</f>
        <v/>
      </c>
      <c r="O676" s="82" t="str">
        <f ca="1">IF(N676 = "VENCIDO",BD!$B676,"")</f>
        <v/>
      </c>
      <c r="P676" s="82" t="str">
        <f ca="1">IF(N676 = "VENCIDO",BD!$C676,"")</f>
        <v/>
      </c>
      <c r="Q676" s="83" t="str">
        <f ca="1">IF(N676 = "VENCIDO",BD!$E676,"")</f>
        <v/>
      </c>
      <c r="R676" s="83" t="str">
        <f ca="1">IF(N676 = "VENCIDO",BD!$F676,"")</f>
        <v/>
      </c>
      <c r="S676" s="85" t="str">
        <f ca="1">IF(N676 = "VENCIDO",BD!$G676,"")</f>
        <v/>
      </c>
      <c r="T676" s="83" t="str">
        <f ca="1">IF(AND(TODAY()&gt;BD!$C676, OR(BD!$D676="PENDENTE", BD!$D676="")), TODAY()-BD!$C676, "")</f>
        <v/>
      </c>
    </row>
    <row r="677" spans="1:20" ht="14.25" customHeight="1" x14ac:dyDescent="0.35">
      <c r="A677" s="32"/>
      <c r="B677" s="82">
        <f>'OUT-26'!A12</f>
        <v>0</v>
      </c>
      <c r="C677" s="82">
        <f>'OUT-26'!B12</f>
        <v>0</v>
      </c>
      <c r="D677" s="82">
        <f>'OUT-26'!C12</f>
        <v>0</v>
      </c>
      <c r="E677" s="83">
        <f>'OUT-26'!D12</f>
        <v>0</v>
      </c>
      <c r="F677" s="84">
        <f>'OUT-26'!E12</f>
        <v>0</v>
      </c>
      <c r="G677" s="85">
        <f>'OUT-26'!F12</f>
        <v>0</v>
      </c>
      <c r="H677" s="85">
        <f t="shared" si="0"/>
        <v>0</v>
      </c>
      <c r="I677" s="83" t="s">
        <v>104</v>
      </c>
      <c r="J677" s="83" t="str">
        <f t="shared" si="1"/>
        <v/>
      </c>
      <c r="K677" s="85">
        <f t="shared" si="2"/>
        <v>0</v>
      </c>
      <c r="L677" s="83" t="str">
        <f t="shared" si="3"/>
        <v/>
      </c>
      <c r="M677" s="83">
        <f>'OUT-26'!H12</f>
        <v>0</v>
      </c>
      <c r="N677" s="92" t="str">
        <f ca="1">IF(BD!$C677="","",IF(AND(TODAY()&gt;BD!$C677,OR(BD!$D677="PENDENTE",BD!$D677="")),"VENCIDO",""))</f>
        <v/>
      </c>
      <c r="O677" s="82" t="str">
        <f ca="1">IF(N677 = "VENCIDO",BD!$B677,"")</f>
        <v/>
      </c>
      <c r="P677" s="82" t="str">
        <f ca="1">IF(N677 = "VENCIDO",BD!$C677,"")</f>
        <v/>
      </c>
      <c r="Q677" s="83" t="str">
        <f ca="1">IF(N677 = "VENCIDO",BD!$E677,"")</f>
        <v/>
      </c>
      <c r="R677" s="83" t="str">
        <f ca="1">IF(N677 = "VENCIDO",BD!$F677,"")</f>
        <v/>
      </c>
      <c r="S677" s="85" t="str">
        <f ca="1">IF(N677 = "VENCIDO",BD!$G677,"")</f>
        <v/>
      </c>
      <c r="T677" s="83" t="str">
        <f ca="1">IF(AND(TODAY()&gt;BD!$C677, OR(BD!$D677="PENDENTE", BD!$D677="")), TODAY()-BD!$C677, "")</f>
        <v/>
      </c>
    </row>
    <row r="678" spans="1:20" ht="14.25" customHeight="1" x14ac:dyDescent="0.35">
      <c r="A678" s="32"/>
      <c r="B678" s="82">
        <f>'OUT-26'!A13</f>
        <v>0</v>
      </c>
      <c r="C678" s="82">
        <f>'OUT-26'!B13</f>
        <v>0</v>
      </c>
      <c r="D678" s="82">
        <f>'OUT-26'!C13</f>
        <v>0</v>
      </c>
      <c r="E678" s="83">
        <f>'OUT-26'!D13</f>
        <v>0</v>
      </c>
      <c r="F678" s="84">
        <f>'OUT-26'!E13</f>
        <v>0</v>
      </c>
      <c r="G678" s="85">
        <f>'OUT-26'!F13</f>
        <v>0</v>
      </c>
      <c r="H678" s="85">
        <f t="shared" si="0"/>
        <v>0</v>
      </c>
      <c r="I678" s="83" t="s">
        <v>104</v>
      </c>
      <c r="J678" s="83" t="str">
        <f t="shared" si="1"/>
        <v/>
      </c>
      <c r="K678" s="85">
        <f t="shared" si="2"/>
        <v>0</v>
      </c>
      <c r="L678" s="83" t="str">
        <f t="shared" si="3"/>
        <v/>
      </c>
      <c r="M678" s="83">
        <f>'OUT-26'!H13</f>
        <v>0</v>
      </c>
      <c r="N678" s="92" t="str">
        <f ca="1">IF(BD!$C678="","",IF(AND(TODAY()&gt;BD!$C678,OR(BD!$D678="PENDENTE",BD!$D678="")),"VENCIDO",""))</f>
        <v/>
      </c>
      <c r="O678" s="82" t="str">
        <f ca="1">IF(N678 = "VENCIDO",BD!$B678,"")</f>
        <v/>
      </c>
      <c r="P678" s="82" t="str">
        <f ca="1">IF(N678 = "VENCIDO",BD!$C678,"")</f>
        <v/>
      </c>
      <c r="Q678" s="83" t="str">
        <f ca="1">IF(N678 = "VENCIDO",BD!$E678,"")</f>
        <v/>
      </c>
      <c r="R678" s="83" t="str">
        <f ca="1">IF(N678 = "VENCIDO",BD!$F678,"")</f>
        <v/>
      </c>
      <c r="S678" s="85" t="str">
        <f ca="1">IF(N678 = "VENCIDO",BD!$G678,"")</f>
        <v/>
      </c>
      <c r="T678" s="83" t="str">
        <f ca="1">IF(AND(TODAY()&gt;BD!$C678, OR(BD!$D678="PENDENTE", BD!$D678="")), TODAY()-BD!$C678, "")</f>
        <v/>
      </c>
    </row>
    <row r="679" spans="1:20" ht="14.25" customHeight="1" x14ac:dyDescent="0.35">
      <c r="A679" s="32"/>
      <c r="B679" s="82">
        <f>'OUT-26'!A14</f>
        <v>0</v>
      </c>
      <c r="C679" s="82">
        <f>'OUT-26'!B14</f>
        <v>0</v>
      </c>
      <c r="D679" s="82">
        <f>'OUT-26'!C14</f>
        <v>0</v>
      </c>
      <c r="E679" s="83">
        <f>'OUT-26'!D14</f>
        <v>0</v>
      </c>
      <c r="F679" s="84">
        <f>'OUT-26'!E14</f>
        <v>0</v>
      </c>
      <c r="G679" s="85">
        <f>'OUT-26'!F14</f>
        <v>0</v>
      </c>
      <c r="H679" s="85">
        <f t="shared" si="0"/>
        <v>0</v>
      </c>
      <c r="I679" s="83" t="s">
        <v>104</v>
      </c>
      <c r="J679" s="83" t="str">
        <f t="shared" si="1"/>
        <v/>
      </c>
      <c r="K679" s="85">
        <f t="shared" si="2"/>
        <v>0</v>
      </c>
      <c r="L679" s="83" t="str">
        <f t="shared" si="3"/>
        <v/>
      </c>
      <c r="M679" s="83">
        <f>'OUT-26'!H14</f>
        <v>0</v>
      </c>
      <c r="N679" s="92" t="str">
        <f ca="1">IF(BD!$C679="","",IF(AND(TODAY()&gt;BD!$C679,OR(BD!$D679="PENDENTE",BD!$D679="")),"VENCIDO",""))</f>
        <v/>
      </c>
      <c r="O679" s="82" t="str">
        <f ca="1">IF(N679 = "VENCIDO",BD!$B679,"")</f>
        <v/>
      </c>
      <c r="P679" s="82" t="str">
        <f ca="1">IF(N679 = "VENCIDO",BD!$C679,"")</f>
        <v/>
      </c>
      <c r="Q679" s="83" t="str">
        <f ca="1">IF(N679 = "VENCIDO",BD!$E679,"")</f>
        <v/>
      </c>
      <c r="R679" s="83" t="str">
        <f ca="1">IF(N679 = "VENCIDO",BD!$F679,"")</f>
        <v/>
      </c>
      <c r="S679" s="85" t="str">
        <f ca="1">IF(N679 = "VENCIDO",BD!$G679,"")</f>
        <v/>
      </c>
      <c r="T679" s="83" t="str">
        <f ca="1">IF(AND(TODAY()&gt;BD!$C679, OR(BD!$D679="PENDENTE", BD!$D679="")), TODAY()-BD!$C679, "")</f>
        <v/>
      </c>
    </row>
    <row r="680" spans="1:20" ht="14.25" customHeight="1" x14ac:dyDescent="0.35">
      <c r="A680" s="32"/>
      <c r="B680" s="82">
        <f>'OUT-26'!A15</f>
        <v>0</v>
      </c>
      <c r="C680" s="82">
        <f>'OUT-26'!B15</f>
        <v>0</v>
      </c>
      <c r="D680" s="82">
        <f>'OUT-26'!C15</f>
        <v>0</v>
      </c>
      <c r="E680" s="83">
        <f>'OUT-26'!D15</f>
        <v>0</v>
      </c>
      <c r="F680" s="84">
        <f>'OUT-26'!E15</f>
        <v>0</v>
      </c>
      <c r="G680" s="85">
        <f>'OUT-26'!F15</f>
        <v>0</v>
      </c>
      <c r="H680" s="85">
        <f t="shared" si="0"/>
        <v>0</v>
      </c>
      <c r="I680" s="83" t="s">
        <v>104</v>
      </c>
      <c r="J680" s="83" t="str">
        <f t="shared" si="1"/>
        <v/>
      </c>
      <c r="K680" s="85">
        <f t="shared" si="2"/>
        <v>0</v>
      </c>
      <c r="L680" s="83" t="str">
        <f t="shared" si="3"/>
        <v/>
      </c>
      <c r="M680" s="83">
        <f>'OUT-26'!H15</f>
        <v>0</v>
      </c>
      <c r="N680" s="92" t="str">
        <f ca="1">IF(BD!$C680="","",IF(AND(TODAY()&gt;BD!$C680,OR(BD!$D680="PENDENTE",BD!$D680="")),"VENCIDO",""))</f>
        <v/>
      </c>
      <c r="O680" s="82" t="str">
        <f ca="1">IF(N680 = "VENCIDO",BD!$B680,"")</f>
        <v/>
      </c>
      <c r="P680" s="82" t="str">
        <f ca="1">IF(N680 = "VENCIDO",BD!$C680,"")</f>
        <v/>
      </c>
      <c r="Q680" s="83" t="str">
        <f ca="1">IF(N680 = "VENCIDO",BD!$E680,"")</f>
        <v/>
      </c>
      <c r="R680" s="83" t="str">
        <f ca="1">IF(N680 = "VENCIDO",BD!$F680,"")</f>
        <v/>
      </c>
      <c r="S680" s="85" t="str">
        <f ca="1">IF(N680 = "VENCIDO",BD!$G680,"")</f>
        <v/>
      </c>
      <c r="T680" s="83" t="str">
        <f ca="1">IF(AND(TODAY()&gt;BD!$C680, OR(BD!$D680="PENDENTE", BD!$D680="")), TODAY()-BD!$C680, "")</f>
        <v/>
      </c>
    </row>
    <row r="681" spans="1:20" ht="14.25" customHeight="1" x14ac:dyDescent="0.35">
      <c r="A681" s="32"/>
      <c r="B681" s="82">
        <f>'OUT-26'!A16</f>
        <v>0</v>
      </c>
      <c r="C681" s="82">
        <f>'OUT-26'!B16</f>
        <v>0</v>
      </c>
      <c r="D681" s="82">
        <f>'OUT-26'!C16</f>
        <v>0</v>
      </c>
      <c r="E681" s="83">
        <f>'OUT-26'!D16</f>
        <v>0</v>
      </c>
      <c r="F681" s="84">
        <f>'OUT-26'!E16</f>
        <v>0</v>
      </c>
      <c r="G681" s="85">
        <f>'OUT-26'!F16</f>
        <v>0</v>
      </c>
      <c r="H681" s="85">
        <f t="shared" si="0"/>
        <v>0</v>
      </c>
      <c r="I681" s="83" t="s">
        <v>104</v>
      </c>
      <c r="J681" s="83" t="str">
        <f t="shared" si="1"/>
        <v/>
      </c>
      <c r="K681" s="85">
        <f t="shared" si="2"/>
        <v>0</v>
      </c>
      <c r="L681" s="83" t="str">
        <f t="shared" si="3"/>
        <v/>
      </c>
      <c r="M681" s="83">
        <f>'OUT-26'!H16</f>
        <v>0</v>
      </c>
      <c r="N681" s="92" t="str">
        <f ca="1">IF(BD!$C681="","",IF(AND(TODAY()&gt;BD!$C681,OR(BD!$D681="PENDENTE",BD!$D681="")),"VENCIDO",""))</f>
        <v/>
      </c>
      <c r="O681" s="82" t="str">
        <f ca="1">IF(N681 = "VENCIDO",BD!$B681,"")</f>
        <v/>
      </c>
      <c r="P681" s="82" t="str">
        <f ca="1">IF(N681 = "VENCIDO",BD!$C681,"")</f>
        <v/>
      </c>
      <c r="Q681" s="83" t="str">
        <f ca="1">IF(N681 = "VENCIDO",BD!$E681,"")</f>
        <v/>
      </c>
      <c r="R681" s="83" t="str">
        <f ca="1">IF(N681 = "VENCIDO",BD!$F681,"")</f>
        <v/>
      </c>
      <c r="S681" s="85" t="str">
        <f ca="1">IF(N681 = "VENCIDO",BD!$G681,"")</f>
        <v/>
      </c>
      <c r="T681" s="83" t="str">
        <f ca="1">IF(AND(TODAY()&gt;BD!$C681, OR(BD!$D681="PENDENTE", BD!$D681="")), TODAY()-BD!$C681, "")</f>
        <v/>
      </c>
    </row>
    <row r="682" spans="1:20" ht="14.25" customHeight="1" x14ac:dyDescent="0.35">
      <c r="A682" s="32"/>
      <c r="B682" s="82">
        <f>'OUT-26'!A17</f>
        <v>0</v>
      </c>
      <c r="C682" s="82">
        <f>'OUT-26'!B17</f>
        <v>0</v>
      </c>
      <c r="D682" s="82">
        <f>'OUT-26'!C17</f>
        <v>0</v>
      </c>
      <c r="E682" s="83">
        <f>'OUT-26'!D17</f>
        <v>0</v>
      </c>
      <c r="F682" s="84">
        <f>'OUT-26'!E17</f>
        <v>0</v>
      </c>
      <c r="G682" s="85">
        <f>'OUT-26'!F17</f>
        <v>0</v>
      </c>
      <c r="H682" s="85">
        <f t="shared" si="0"/>
        <v>0</v>
      </c>
      <c r="I682" s="83" t="s">
        <v>104</v>
      </c>
      <c r="J682" s="83" t="str">
        <f t="shared" si="1"/>
        <v/>
      </c>
      <c r="K682" s="85">
        <f t="shared" si="2"/>
        <v>0</v>
      </c>
      <c r="L682" s="83" t="str">
        <f t="shared" si="3"/>
        <v/>
      </c>
      <c r="M682" s="83">
        <f>'OUT-26'!H17</f>
        <v>0</v>
      </c>
      <c r="N682" s="92" t="str">
        <f ca="1">IF(BD!$C682="","",IF(AND(TODAY()&gt;BD!$C682,OR(BD!$D682="PENDENTE",BD!$D682="")),"VENCIDO",""))</f>
        <v/>
      </c>
      <c r="O682" s="82" t="str">
        <f ca="1">IF(N682 = "VENCIDO",BD!$B682,"")</f>
        <v/>
      </c>
      <c r="P682" s="82" t="str">
        <f ca="1">IF(N682 = "VENCIDO",BD!$C682,"")</f>
        <v/>
      </c>
      <c r="Q682" s="83" t="str">
        <f ca="1">IF(N682 = "VENCIDO",BD!$E682,"")</f>
        <v/>
      </c>
      <c r="R682" s="83" t="str">
        <f ca="1">IF(N682 = "VENCIDO",BD!$F682,"")</f>
        <v/>
      </c>
      <c r="S682" s="85" t="str">
        <f ca="1">IF(N682 = "VENCIDO",BD!$G682,"")</f>
        <v/>
      </c>
      <c r="T682" s="83" t="str">
        <f ca="1">IF(AND(TODAY()&gt;BD!$C682, OR(BD!$D682="PENDENTE", BD!$D682="")), TODAY()-BD!$C682, "")</f>
        <v/>
      </c>
    </row>
    <row r="683" spans="1:20" ht="14.25" customHeight="1" x14ac:dyDescent="0.35">
      <c r="A683" s="32"/>
      <c r="B683" s="82">
        <f>'OUT-26'!A18</f>
        <v>0</v>
      </c>
      <c r="C683" s="82">
        <f>'OUT-26'!B18</f>
        <v>0</v>
      </c>
      <c r="D683" s="82">
        <f>'OUT-26'!C18</f>
        <v>0</v>
      </c>
      <c r="E683" s="83">
        <f>'OUT-26'!D18</f>
        <v>0</v>
      </c>
      <c r="F683" s="84">
        <f>'OUT-26'!E18</f>
        <v>0</v>
      </c>
      <c r="G683" s="85">
        <f>'OUT-26'!F18</f>
        <v>0</v>
      </c>
      <c r="H683" s="85">
        <f t="shared" si="0"/>
        <v>0</v>
      </c>
      <c r="I683" s="83" t="s">
        <v>104</v>
      </c>
      <c r="J683" s="83" t="str">
        <f t="shared" si="1"/>
        <v/>
      </c>
      <c r="K683" s="85">
        <f t="shared" si="2"/>
        <v>0</v>
      </c>
      <c r="L683" s="83" t="str">
        <f t="shared" si="3"/>
        <v/>
      </c>
      <c r="M683" s="83">
        <f>'OUT-26'!H18</f>
        <v>0</v>
      </c>
      <c r="N683" s="92" t="str">
        <f ca="1">IF(BD!$C683="","",IF(AND(TODAY()&gt;BD!$C683,OR(BD!$D683="PENDENTE",BD!$D683="")),"VENCIDO",""))</f>
        <v/>
      </c>
      <c r="O683" s="82" t="str">
        <f ca="1">IF(N683 = "VENCIDO",BD!$B683,"")</f>
        <v/>
      </c>
      <c r="P683" s="82" t="str">
        <f ca="1">IF(N683 = "VENCIDO",BD!$C683,"")</f>
        <v/>
      </c>
      <c r="Q683" s="83" t="str">
        <f ca="1">IF(N683 = "VENCIDO",BD!$E683,"")</f>
        <v/>
      </c>
      <c r="R683" s="83" t="str">
        <f ca="1">IF(N683 = "VENCIDO",BD!$F683,"")</f>
        <v/>
      </c>
      <c r="S683" s="85" t="str">
        <f ca="1">IF(N683 = "VENCIDO",BD!$G683,"")</f>
        <v/>
      </c>
      <c r="T683" s="83" t="str">
        <f ca="1">IF(AND(TODAY()&gt;BD!$C683, OR(BD!$D683="PENDENTE", BD!$D683="")), TODAY()-BD!$C683, "")</f>
        <v/>
      </c>
    </row>
    <row r="684" spans="1:20" ht="14.25" customHeight="1" x14ac:dyDescent="0.35">
      <c r="A684" s="32"/>
      <c r="B684" s="82">
        <f>'OUT-26'!A19</f>
        <v>0</v>
      </c>
      <c r="C684" s="82">
        <f>'OUT-26'!B19</f>
        <v>0</v>
      </c>
      <c r="D684" s="82">
        <f>'OUT-26'!C19</f>
        <v>0</v>
      </c>
      <c r="E684" s="83">
        <f>'OUT-26'!D19</f>
        <v>0</v>
      </c>
      <c r="F684" s="84">
        <f>'OUT-26'!E19</f>
        <v>0</v>
      </c>
      <c r="G684" s="85">
        <f>'OUT-26'!F19</f>
        <v>0</v>
      </c>
      <c r="H684" s="85">
        <f t="shared" si="0"/>
        <v>0</v>
      </c>
      <c r="I684" s="83" t="s">
        <v>104</v>
      </c>
      <c r="J684" s="83" t="str">
        <f t="shared" si="1"/>
        <v/>
      </c>
      <c r="K684" s="85">
        <f t="shared" si="2"/>
        <v>0</v>
      </c>
      <c r="L684" s="83" t="str">
        <f t="shared" si="3"/>
        <v/>
      </c>
      <c r="M684" s="83">
        <f>'OUT-26'!H19</f>
        <v>0</v>
      </c>
      <c r="N684" s="92" t="str">
        <f ca="1">IF(BD!$C684="","",IF(AND(TODAY()&gt;BD!$C684,OR(BD!$D684="PENDENTE",BD!$D684="")),"VENCIDO",""))</f>
        <v/>
      </c>
      <c r="O684" s="82" t="str">
        <f ca="1">IF(N684 = "VENCIDO",BD!$B684,"")</f>
        <v/>
      </c>
      <c r="P684" s="82" t="str">
        <f ca="1">IF(N684 = "VENCIDO",BD!$C684,"")</f>
        <v/>
      </c>
      <c r="Q684" s="83" t="str">
        <f ca="1">IF(N684 = "VENCIDO",BD!$E684,"")</f>
        <v/>
      </c>
      <c r="R684" s="83" t="str">
        <f ca="1">IF(N684 = "VENCIDO",BD!$F684,"")</f>
        <v/>
      </c>
      <c r="S684" s="85" t="str">
        <f ca="1">IF(N684 = "VENCIDO",BD!$G684,"")</f>
        <v/>
      </c>
      <c r="T684" s="83" t="str">
        <f ca="1">IF(AND(TODAY()&gt;BD!$C684, OR(BD!$D684="PENDENTE", BD!$D684="")), TODAY()-BD!$C684, "")</f>
        <v/>
      </c>
    </row>
    <row r="685" spans="1:20" ht="14.25" customHeight="1" x14ac:dyDescent="0.35">
      <c r="A685" s="32"/>
      <c r="B685" s="82">
        <f>'OUT-26'!A20</f>
        <v>0</v>
      </c>
      <c r="C685" s="82">
        <f>'OUT-26'!B20</f>
        <v>0</v>
      </c>
      <c r="D685" s="82">
        <f>'OUT-26'!C20</f>
        <v>0</v>
      </c>
      <c r="E685" s="83">
        <f>'OUT-26'!D20</f>
        <v>0</v>
      </c>
      <c r="F685" s="84">
        <f>'OUT-26'!E20</f>
        <v>0</v>
      </c>
      <c r="G685" s="85">
        <f>'OUT-26'!F20</f>
        <v>0</v>
      </c>
      <c r="H685" s="85">
        <f t="shared" si="0"/>
        <v>0</v>
      </c>
      <c r="I685" s="83" t="s">
        <v>104</v>
      </c>
      <c r="J685" s="83" t="str">
        <f t="shared" si="1"/>
        <v/>
      </c>
      <c r="K685" s="85">
        <f t="shared" si="2"/>
        <v>0</v>
      </c>
      <c r="L685" s="83" t="str">
        <f t="shared" si="3"/>
        <v/>
      </c>
      <c r="M685" s="83">
        <f>'OUT-26'!H20</f>
        <v>0</v>
      </c>
      <c r="N685" s="92" t="str">
        <f ca="1">IF(BD!$C685="","",IF(AND(TODAY()&gt;BD!$C685,OR(BD!$D685="PENDENTE",BD!$D685="")),"VENCIDO",""))</f>
        <v/>
      </c>
      <c r="O685" s="82" t="str">
        <f ca="1">IF(N685 = "VENCIDO",BD!$B685,"")</f>
        <v/>
      </c>
      <c r="P685" s="82" t="str">
        <f ca="1">IF(N685 = "VENCIDO",BD!$C685,"")</f>
        <v/>
      </c>
      <c r="Q685" s="83" t="str">
        <f ca="1">IF(N685 = "VENCIDO",BD!$E685,"")</f>
        <v/>
      </c>
      <c r="R685" s="83" t="str">
        <f ca="1">IF(N685 = "VENCIDO",BD!$F685,"")</f>
        <v/>
      </c>
      <c r="S685" s="85" t="str">
        <f ca="1">IF(N685 = "VENCIDO",BD!$G685,"")</f>
        <v/>
      </c>
      <c r="T685" s="83" t="str">
        <f ca="1">IF(AND(TODAY()&gt;BD!$C685, OR(BD!$D685="PENDENTE", BD!$D685="")), TODAY()-BD!$C685, "")</f>
        <v/>
      </c>
    </row>
    <row r="686" spans="1:20" ht="14.25" customHeight="1" x14ac:dyDescent="0.35">
      <c r="A686" s="32"/>
      <c r="B686" s="82">
        <f>'OUT-26'!A21</f>
        <v>0</v>
      </c>
      <c r="C686" s="82">
        <f>'OUT-26'!B21</f>
        <v>0</v>
      </c>
      <c r="D686" s="82">
        <f>'OUT-26'!C21</f>
        <v>0</v>
      </c>
      <c r="E686" s="83">
        <f>'OUT-26'!D21</f>
        <v>0</v>
      </c>
      <c r="F686" s="84">
        <f>'OUT-26'!E21</f>
        <v>0</v>
      </c>
      <c r="G686" s="85">
        <f>'OUT-26'!F21</f>
        <v>0</v>
      </c>
      <c r="H686" s="85">
        <f t="shared" si="0"/>
        <v>0</v>
      </c>
      <c r="I686" s="83" t="s">
        <v>104</v>
      </c>
      <c r="J686" s="83" t="str">
        <f t="shared" si="1"/>
        <v/>
      </c>
      <c r="K686" s="85">
        <f t="shared" si="2"/>
        <v>0</v>
      </c>
      <c r="L686" s="83" t="str">
        <f t="shared" si="3"/>
        <v/>
      </c>
      <c r="M686" s="83">
        <f>'OUT-26'!H21</f>
        <v>0</v>
      </c>
      <c r="N686" s="92" t="str">
        <f ca="1">IF(BD!$C686="","",IF(AND(TODAY()&gt;BD!$C686,OR(BD!$D686="PENDENTE",BD!$D686="")),"VENCIDO",""))</f>
        <v/>
      </c>
      <c r="O686" s="82" t="str">
        <f ca="1">IF(N686 = "VENCIDO",BD!$B686,"")</f>
        <v/>
      </c>
      <c r="P686" s="82" t="str">
        <f ca="1">IF(N686 = "VENCIDO",BD!$C686,"")</f>
        <v/>
      </c>
      <c r="Q686" s="83" t="str">
        <f ca="1">IF(N686 = "VENCIDO",BD!$E686,"")</f>
        <v/>
      </c>
      <c r="R686" s="83" t="str">
        <f ca="1">IF(N686 = "VENCIDO",BD!$F686,"")</f>
        <v/>
      </c>
      <c r="S686" s="85" t="str">
        <f ca="1">IF(N686 = "VENCIDO",BD!$G686,"")</f>
        <v/>
      </c>
      <c r="T686" s="83" t="str">
        <f ca="1">IF(AND(TODAY()&gt;BD!$C686, OR(BD!$D686="PENDENTE", BD!$D686="")), TODAY()-BD!$C686, "")</f>
        <v/>
      </c>
    </row>
    <row r="687" spans="1:20" ht="14.25" customHeight="1" x14ac:dyDescent="0.35">
      <c r="A687" s="32"/>
      <c r="B687" s="82">
        <f>'OUT-26'!A22</f>
        <v>0</v>
      </c>
      <c r="C687" s="82">
        <f>'OUT-26'!B22</f>
        <v>0</v>
      </c>
      <c r="D687" s="82">
        <f>'OUT-26'!C22</f>
        <v>0</v>
      </c>
      <c r="E687" s="83">
        <f>'OUT-26'!D22</f>
        <v>0</v>
      </c>
      <c r="F687" s="84">
        <f>'OUT-26'!E22</f>
        <v>0</v>
      </c>
      <c r="G687" s="85">
        <f>'OUT-26'!F22</f>
        <v>0</v>
      </c>
      <c r="H687" s="85">
        <f t="shared" si="0"/>
        <v>0</v>
      </c>
      <c r="I687" s="83" t="s">
        <v>104</v>
      </c>
      <c r="J687" s="83" t="str">
        <f t="shared" si="1"/>
        <v/>
      </c>
      <c r="K687" s="85">
        <f t="shared" si="2"/>
        <v>0</v>
      </c>
      <c r="L687" s="83" t="str">
        <f t="shared" si="3"/>
        <v/>
      </c>
      <c r="M687" s="83">
        <f>'OUT-26'!H22</f>
        <v>0</v>
      </c>
      <c r="N687" s="92" t="str">
        <f ca="1">IF(BD!$C687="","",IF(AND(TODAY()&gt;BD!$C687,OR(BD!$D687="PENDENTE",BD!$D687="")),"VENCIDO",""))</f>
        <v/>
      </c>
      <c r="O687" s="82" t="str">
        <f ca="1">IF(N687 = "VENCIDO",BD!$B687,"")</f>
        <v/>
      </c>
      <c r="P687" s="82" t="str">
        <f ca="1">IF(N687 = "VENCIDO",BD!$C687,"")</f>
        <v/>
      </c>
      <c r="Q687" s="83" t="str">
        <f ca="1">IF(N687 = "VENCIDO",BD!$E687,"")</f>
        <v/>
      </c>
      <c r="R687" s="83" t="str">
        <f ca="1">IF(N687 = "VENCIDO",BD!$F687,"")</f>
        <v/>
      </c>
      <c r="S687" s="85" t="str">
        <f ca="1">IF(N687 = "VENCIDO",BD!$G687,"")</f>
        <v/>
      </c>
      <c r="T687" s="83" t="str">
        <f ca="1">IF(AND(TODAY()&gt;BD!$C687, OR(BD!$D687="PENDENTE", BD!$D687="")), TODAY()-BD!$C687, "")</f>
        <v/>
      </c>
    </row>
    <row r="688" spans="1:20" ht="14.25" customHeight="1" x14ac:dyDescent="0.35">
      <c r="A688" s="32"/>
      <c r="B688" s="82">
        <f>'OUT-26'!A23</f>
        <v>0</v>
      </c>
      <c r="C688" s="82">
        <f>'OUT-26'!B23</f>
        <v>0</v>
      </c>
      <c r="D688" s="82">
        <f>'OUT-26'!C23</f>
        <v>0</v>
      </c>
      <c r="E688" s="83">
        <f>'OUT-26'!D23</f>
        <v>0</v>
      </c>
      <c r="F688" s="84">
        <f>'OUT-26'!E23</f>
        <v>0</v>
      </c>
      <c r="G688" s="85">
        <f>'OUT-26'!F23</f>
        <v>0</v>
      </c>
      <c r="H688" s="85">
        <f t="shared" si="0"/>
        <v>0</v>
      </c>
      <c r="I688" s="83" t="s">
        <v>104</v>
      </c>
      <c r="J688" s="83" t="str">
        <f t="shared" si="1"/>
        <v/>
      </c>
      <c r="K688" s="85">
        <f t="shared" si="2"/>
        <v>0</v>
      </c>
      <c r="L688" s="83" t="str">
        <f t="shared" si="3"/>
        <v/>
      </c>
      <c r="M688" s="83">
        <f>'OUT-26'!H23</f>
        <v>0</v>
      </c>
      <c r="N688" s="92" t="str">
        <f ca="1">IF(BD!$C688="","",IF(AND(TODAY()&gt;BD!$C688,OR(BD!$D688="PENDENTE",BD!$D688="")),"VENCIDO",""))</f>
        <v/>
      </c>
      <c r="O688" s="82" t="str">
        <f ca="1">IF(N688 = "VENCIDO",BD!$B688,"")</f>
        <v/>
      </c>
      <c r="P688" s="82" t="str">
        <f ca="1">IF(N688 = "VENCIDO",BD!$C688,"")</f>
        <v/>
      </c>
      <c r="Q688" s="83" t="str">
        <f ca="1">IF(N688 = "VENCIDO",BD!$E688,"")</f>
        <v/>
      </c>
      <c r="R688" s="83" t="str">
        <f ca="1">IF(N688 = "VENCIDO",BD!$F688,"")</f>
        <v/>
      </c>
      <c r="S688" s="85" t="str">
        <f ca="1">IF(N688 = "VENCIDO",BD!$G688,"")</f>
        <v/>
      </c>
      <c r="T688" s="83" t="str">
        <f ca="1">IF(AND(TODAY()&gt;BD!$C688, OR(BD!$D688="PENDENTE", BD!$D688="")), TODAY()-BD!$C688, "")</f>
        <v/>
      </c>
    </row>
    <row r="689" spans="1:20" ht="14.25" customHeight="1" x14ac:dyDescent="0.35">
      <c r="A689" s="32"/>
      <c r="B689" s="82">
        <f>'OUT-26'!A24</f>
        <v>0</v>
      </c>
      <c r="C689" s="82">
        <f>'OUT-26'!B24</f>
        <v>0</v>
      </c>
      <c r="D689" s="82">
        <f>'OUT-26'!C24</f>
        <v>0</v>
      </c>
      <c r="E689" s="83">
        <f>'OUT-26'!D24</f>
        <v>0</v>
      </c>
      <c r="F689" s="84">
        <f>'OUT-26'!E24</f>
        <v>0</v>
      </c>
      <c r="G689" s="85">
        <f>'OUT-26'!F24</f>
        <v>0</v>
      </c>
      <c r="H689" s="85">
        <f t="shared" si="0"/>
        <v>0</v>
      </c>
      <c r="I689" s="83" t="s">
        <v>104</v>
      </c>
      <c r="J689" s="83" t="str">
        <f t="shared" si="1"/>
        <v/>
      </c>
      <c r="K689" s="85">
        <f t="shared" si="2"/>
        <v>0</v>
      </c>
      <c r="L689" s="83" t="str">
        <f t="shared" si="3"/>
        <v/>
      </c>
      <c r="M689" s="83">
        <f>'OUT-26'!H24</f>
        <v>0</v>
      </c>
      <c r="N689" s="92" t="str">
        <f ca="1">IF(BD!$C689="","",IF(AND(TODAY()&gt;BD!$C689,OR(BD!$D689="PENDENTE",BD!$D689="")),"VENCIDO",""))</f>
        <v/>
      </c>
      <c r="O689" s="82" t="str">
        <f ca="1">IF(N689 = "VENCIDO",BD!$B689,"")</f>
        <v/>
      </c>
      <c r="P689" s="82" t="str">
        <f ca="1">IF(N689 = "VENCIDO",BD!$C689,"")</f>
        <v/>
      </c>
      <c r="Q689" s="83" t="str">
        <f ca="1">IF(N689 = "VENCIDO",BD!$E689,"")</f>
        <v/>
      </c>
      <c r="R689" s="83" t="str">
        <f ca="1">IF(N689 = "VENCIDO",BD!$F689,"")</f>
        <v/>
      </c>
      <c r="S689" s="85" t="str">
        <f ca="1">IF(N689 = "VENCIDO",BD!$G689,"")</f>
        <v/>
      </c>
      <c r="T689" s="83" t="str">
        <f ca="1">IF(AND(TODAY()&gt;BD!$C689, OR(BD!$D689="PENDENTE", BD!$D689="")), TODAY()-BD!$C689, "")</f>
        <v/>
      </c>
    </row>
    <row r="690" spans="1:20" ht="14.25" customHeight="1" x14ac:dyDescent="0.35">
      <c r="A690" s="32"/>
      <c r="B690" s="82">
        <f>'OUT-26'!A25</f>
        <v>0</v>
      </c>
      <c r="C690" s="82">
        <f>'OUT-26'!B25</f>
        <v>0</v>
      </c>
      <c r="D690" s="82">
        <f>'OUT-26'!C25</f>
        <v>0</v>
      </c>
      <c r="E690" s="93">
        <f>'OUT-26'!D25</f>
        <v>0</v>
      </c>
      <c r="F690" s="84">
        <f>'OUT-26'!E25</f>
        <v>0</v>
      </c>
      <c r="G690" s="85">
        <f>'OUT-26'!F25</f>
        <v>0</v>
      </c>
      <c r="H690" s="85">
        <f t="shared" si="0"/>
        <v>0</v>
      </c>
      <c r="I690" s="83" t="s">
        <v>104</v>
      </c>
      <c r="J690" s="83" t="str">
        <f t="shared" si="1"/>
        <v/>
      </c>
      <c r="K690" s="85">
        <f t="shared" si="2"/>
        <v>0</v>
      </c>
      <c r="L690" s="83" t="str">
        <f t="shared" si="3"/>
        <v/>
      </c>
      <c r="M690" s="83">
        <f>'OUT-26'!H25</f>
        <v>0</v>
      </c>
      <c r="N690" s="92" t="str">
        <f ca="1">IF(BD!$C690="","",IF(AND(TODAY()&gt;BD!$C690,OR(BD!$D690="PENDENTE",BD!$D690="")),"VENCIDO",""))</f>
        <v/>
      </c>
      <c r="O690" s="82" t="str">
        <f ca="1">IF(N690 = "VENCIDO",BD!$B690,"")</f>
        <v/>
      </c>
      <c r="P690" s="82" t="str">
        <f ca="1">IF(N690 = "VENCIDO",BD!$C690,"")</f>
        <v/>
      </c>
      <c r="Q690" s="83" t="str">
        <f ca="1">IF(N690 = "VENCIDO",BD!$E690,"")</f>
        <v/>
      </c>
      <c r="R690" s="83" t="str">
        <f ca="1">IF(N690 = "VENCIDO",BD!$F690,"")</f>
        <v/>
      </c>
      <c r="S690" s="85" t="str">
        <f ca="1">IF(N690 = "VENCIDO",BD!$G690,"")</f>
        <v/>
      </c>
      <c r="T690" s="83" t="str">
        <f ca="1">IF(AND(TODAY()&gt;BD!$C690, OR(BD!$D690="PENDENTE", BD!$D690="")), TODAY()-BD!$C690, "")</f>
        <v/>
      </c>
    </row>
    <row r="691" spans="1:20" ht="14.25" customHeight="1" x14ac:dyDescent="0.35">
      <c r="A691" s="32"/>
      <c r="B691" s="82">
        <f>'OUT-26'!A26</f>
        <v>0</v>
      </c>
      <c r="C691" s="82">
        <f>'OUT-26'!B26</f>
        <v>0</v>
      </c>
      <c r="D691" s="82">
        <f>'OUT-26'!C26</f>
        <v>0</v>
      </c>
      <c r="E691" s="83">
        <f>'OUT-26'!D26</f>
        <v>0</v>
      </c>
      <c r="F691" s="84">
        <f>'OUT-26'!E26</f>
        <v>0</v>
      </c>
      <c r="G691" s="85">
        <f>'OUT-26'!F26</f>
        <v>0</v>
      </c>
      <c r="H691" s="85">
        <f t="shared" si="0"/>
        <v>0</v>
      </c>
      <c r="I691" s="83" t="s">
        <v>104</v>
      </c>
      <c r="J691" s="83" t="str">
        <f t="shared" si="1"/>
        <v/>
      </c>
      <c r="K691" s="85">
        <f t="shared" si="2"/>
        <v>0</v>
      </c>
      <c r="L691" s="83" t="str">
        <f t="shared" si="3"/>
        <v/>
      </c>
      <c r="M691" s="83">
        <f>'OUT-26'!H26</f>
        <v>0</v>
      </c>
      <c r="N691" s="92" t="str">
        <f ca="1">IF(BD!$C691="","",IF(AND(TODAY()&gt;BD!$C691,OR(BD!$D691="PENDENTE",BD!$D691="")),"VENCIDO",""))</f>
        <v/>
      </c>
      <c r="O691" s="82" t="str">
        <f ca="1">IF(N691 = "VENCIDO",BD!$B691,"")</f>
        <v/>
      </c>
      <c r="P691" s="82" t="str">
        <f ca="1">IF(N691 = "VENCIDO",BD!$C691,"")</f>
        <v/>
      </c>
      <c r="Q691" s="83" t="str">
        <f ca="1">IF(N691 = "VENCIDO",BD!$E691,"")</f>
        <v/>
      </c>
      <c r="R691" s="83" t="str">
        <f ca="1">IF(N691 = "VENCIDO",BD!$F691,"")</f>
        <v/>
      </c>
      <c r="S691" s="85" t="str">
        <f ca="1">IF(N691 = "VENCIDO",BD!$G691,"")</f>
        <v/>
      </c>
      <c r="T691" s="83" t="str">
        <f ca="1">IF(AND(TODAY()&gt;BD!$C691, OR(BD!$D691="PENDENTE", BD!$D691="")), TODAY()-BD!$C691, "")</f>
        <v/>
      </c>
    </row>
    <row r="692" spans="1:20" ht="14.25" customHeight="1" x14ac:dyDescent="0.35">
      <c r="A692" s="32"/>
      <c r="B692" s="82">
        <f>'OUT-26'!A27</f>
        <v>0</v>
      </c>
      <c r="C692" s="82">
        <f>'OUT-26'!B27</f>
        <v>0</v>
      </c>
      <c r="D692" s="82">
        <f>'OUT-26'!C27</f>
        <v>0</v>
      </c>
      <c r="E692" s="83">
        <f>'OUT-26'!D27</f>
        <v>0</v>
      </c>
      <c r="F692" s="84">
        <f>'OUT-26'!E27</f>
        <v>0</v>
      </c>
      <c r="G692" s="85">
        <f>'OUT-26'!F27</f>
        <v>0</v>
      </c>
      <c r="H692" s="85">
        <f t="shared" si="0"/>
        <v>0</v>
      </c>
      <c r="I692" s="83" t="s">
        <v>104</v>
      </c>
      <c r="J692" s="83" t="str">
        <f t="shared" si="1"/>
        <v/>
      </c>
      <c r="K692" s="85">
        <f t="shared" si="2"/>
        <v>0</v>
      </c>
      <c r="L692" s="83" t="str">
        <f t="shared" si="3"/>
        <v/>
      </c>
      <c r="M692" s="83">
        <f>'OUT-26'!H27</f>
        <v>0</v>
      </c>
      <c r="N692" s="92" t="str">
        <f ca="1">IF(BD!$C692="","",IF(AND(TODAY()&gt;BD!$C692,OR(BD!$D692="PENDENTE",BD!$D692="")),"VENCIDO",""))</f>
        <v/>
      </c>
      <c r="O692" s="82" t="str">
        <f ca="1">IF(N692 = "VENCIDO",BD!$B692,"")</f>
        <v/>
      </c>
      <c r="P692" s="82" t="str">
        <f ca="1">IF(N692 = "VENCIDO",BD!$C692,"")</f>
        <v/>
      </c>
      <c r="Q692" s="83" t="str">
        <f ca="1">IF(N692 = "VENCIDO",BD!$E692,"")</f>
        <v/>
      </c>
      <c r="R692" s="83" t="str">
        <f ca="1">IF(N692 = "VENCIDO",BD!$F692,"")</f>
        <v/>
      </c>
      <c r="S692" s="85" t="str">
        <f ca="1">IF(N692 = "VENCIDO",BD!$G692,"")</f>
        <v/>
      </c>
      <c r="T692" s="83" t="str">
        <f ca="1">IF(AND(TODAY()&gt;BD!$C692, OR(BD!$D692="PENDENTE", BD!$D692="")), TODAY()-BD!$C692, "")</f>
        <v/>
      </c>
    </row>
    <row r="693" spans="1:20" ht="14.25" customHeight="1" x14ac:dyDescent="0.35">
      <c r="A693" s="32"/>
      <c r="B693" s="82">
        <f>'OUT-26'!A28</f>
        <v>0</v>
      </c>
      <c r="C693" s="82">
        <f>'OUT-26'!B28</f>
        <v>0</v>
      </c>
      <c r="D693" s="82">
        <f>'OUT-26'!C28</f>
        <v>0</v>
      </c>
      <c r="E693" s="83">
        <f>'OUT-26'!D28</f>
        <v>0</v>
      </c>
      <c r="F693" s="84">
        <f>'OUT-26'!E28</f>
        <v>0</v>
      </c>
      <c r="G693" s="85">
        <f>'OUT-26'!F28</f>
        <v>0</v>
      </c>
      <c r="H693" s="85">
        <f t="shared" si="0"/>
        <v>0</v>
      </c>
      <c r="I693" s="83" t="s">
        <v>104</v>
      </c>
      <c r="J693" s="83" t="str">
        <f t="shared" si="1"/>
        <v/>
      </c>
      <c r="K693" s="85">
        <f t="shared" si="2"/>
        <v>0</v>
      </c>
      <c r="L693" s="83" t="str">
        <f t="shared" si="3"/>
        <v/>
      </c>
      <c r="M693" s="83">
        <f>'OUT-26'!H28</f>
        <v>0</v>
      </c>
      <c r="N693" s="92" t="str">
        <f ca="1">IF(BD!$C693="","",IF(AND(TODAY()&gt;BD!$C693,OR(BD!$D693="PENDENTE",BD!$D693="")),"VENCIDO",""))</f>
        <v/>
      </c>
      <c r="O693" s="82" t="str">
        <f ca="1">IF(N693 = "VENCIDO",BD!$B693,"")</f>
        <v/>
      </c>
      <c r="P693" s="82" t="str">
        <f ca="1">IF(N693 = "VENCIDO",BD!$C693,"")</f>
        <v/>
      </c>
      <c r="Q693" s="83" t="str">
        <f ca="1">IF(N693 = "VENCIDO",BD!$E693,"")</f>
        <v/>
      </c>
      <c r="R693" s="83" t="str">
        <f ca="1">IF(N693 = "VENCIDO",BD!$F693,"")</f>
        <v/>
      </c>
      <c r="S693" s="85" t="str">
        <f ca="1">IF(N693 = "VENCIDO",BD!$G693,"")</f>
        <v/>
      </c>
      <c r="T693" s="83" t="str">
        <f ca="1">IF(AND(TODAY()&gt;BD!$C693, OR(BD!$D693="PENDENTE", BD!$D693="")), TODAY()-BD!$C693, "")</f>
        <v/>
      </c>
    </row>
    <row r="694" spans="1:20" ht="14.25" customHeight="1" x14ac:dyDescent="0.35">
      <c r="A694" s="32"/>
      <c r="B694" s="82">
        <f>'OUT-26'!A29</f>
        <v>0</v>
      </c>
      <c r="C694" s="82">
        <f>'OUT-26'!B29</f>
        <v>0</v>
      </c>
      <c r="D694" s="82">
        <f>'OUT-26'!C29</f>
        <v>0</v>
      </c>
      <c r="E694" s="83">
        <f>'OUT-26'!D29</f>
        <v>0</v>
      </c>
      <c r="F694" s="84">
        <f>'OUT-26'!E29</f>
        <v>0</v>
      </c>
      <c r="G694" s="85">
        <f>'OUT-26'!F29</f>
        <v>0</v>
      </c>
      <c r="H694" s="85">
        <f t="shared" si="0"/>
        <v>0</v>
      </c>
      <c r="I694" s="83" t="s">
        <v>104</v>
      </c>
      <c r="J694" s="83" t="str">
        <f t="shared" si="1"/>
        <v/>
      </c>
      <c r="K694" s="85">
        <f t="shared" si="2"/>
        <v>0</v>
      </c>
      <c r="L694" s="83" t="str">
        <f t="shared" si="3"/>
        <v/>
      </c>
      <c r="M694" s="83">
        <f>'OUT-26'!H29</f>
        <v>0</v>
      </c>
      <c r="N694" s="92" t="str">
        <f ca="1">IF(BD!$C694="","",IF(AND(TODAY()&gt;BD!$C694,OR(BD!$D694="PENDENTE",BD!$D694="")),"VENCIDO",""))</f>
        <v/>
      </c>
      <c r="O694" s="82" t="str">
        <f ca="1">IF(N694 = "VENCIDO",BD!$B694,"")</f>
        <v/>
      </c>
      <c r="P694" s="82" t="str">
        <f ca="1">IF(N694 = "VENCIDO",BD!$C694,"")</f>
        <v/>
      </c>
      <c r="Q694" s="83" t="str">
        <f ca="1">IF(N694 = "VENCIDO",BD!$E694,"")</f>
        <v/>
      </c>
      <c r="R694" s="83" t="str">
        <f ca="1">IF(N694 = "VENCIDO",BD!$F694,"")</f>
        <v/>
      </c>
      <c r="S694" s="85" t="str">
        <f ca="1">IF(N694 = "VENCIDO",BD!$G694,"")</f>
        <v/>
      </c>
      <c r="T694" s="83" t="str">
        <f ca="1">IF(AND(TODAY()&gt;BD!$C694, OR(BD!$D694="PENDENTE", BD!$D694="")), TODAY()-BD!$C694, "")</f>
        <v/>
      </c>
    </row>
    <row r="695" spans="1:20" ht="14.25" customHeight="1" x14ac:dyDescent="0.35">
      <c r="A695" s="32"/>
      <c r="B695" s="82">
        <f>'OUT-26'!A30</f>
        <v>0</v>
      </c>
      <c r="C695" s="82">
        <f>'OUT-26'!B30</f>
        <v>0</v>
      </c>
      <c r="D695" s="82">
        <f>'OUT-26'!C30</f>
        <v>0</v>
      </c>
      <c r="E695" s="83">
        <f>'OUT-26'!D30</f>
        <v>0</v>
      </c>
      <c r="F695" s="84">
        <f>'OUT-26'!E30</f>
        <v>0</v>
      </c>
      <c r="G695" s="85">
        <f>'OUT-26'!F30</f>
        <v>0</v>
      </c>
      <c r="H695" s="85">
        <f t="shared" si="0"/>
        <v>0</v>
      </c>
      <c r="I695" s="83" t="s">
        <v>104</v>
      </c>
      <c r="J695" s="83" t="str">
        <f t="shared" si="1"/>
        <v/>
      </c>
      <c r="K695" s="85">
        <f t="shared" si="2"/>
        <v>0</v>
      </c>
      <c r="L695" s="83" t="str">
        <f t="shared" si="3"/>
        <v/>
      </c>
      <c r="M695" s="83">
        <f>'OUT-26'!H30</f>
        <v>0</v>
      </c>
      <c r="N695" s="92" t="str">
        <f ca="1">IF(BD!$C695="","",IF(AND(TODAY()&gt;BD!$C695,OR(BD!$D695="PENDENTE",BD!$D695="")),"VENCIDO",""))</f>
        <v/>
      </c>
      <c r="O695" s="82" t="str">
        <f ca="1">IF(N695 = "VENCIDO",BD!$B695,"")</f>
        <v/>
      </c>
      <c r="P695" s="82" t="str">
        <f ca="1">IF(N695 = "VENCIDO",BD!$C695,"")</f>
        <v/>
      </c>
      <c r="Q695" s="83" t="str">
        <f ca="1">IF(N695 = "VENCIDO",BD!$E695,"")</f>
        <v/>
      </c>
      <c r="R695" s="83" t="str">
        <f ca="1">IF(N695 = "VENCIDO",BD!$F695,"")</f>
        <v/>
      </c>
      <c r="S695" s="85" t="str">
        <f ca="1">IF(N695 = "VENCIDO",BD!$G695,"")</f>
        <v/>
      </c>
      <c r="T695" s="83" t="str">
        <f ca="1">IF(AND(TODAY()&gt;BD!$C695, OR(BD!$D695="PENDENTE", BD!$D695="")), TODAY()-BD!$C695, "")</f>
        <v/>
      </c>
    </row>
    <row r="696" spans="1:20" ht="14.25" customHeight="1" x14ac:dyDescent="0.35">
      <c r="A696" s="32"/>
      <c r="B696" s="82">
        <f>'OUT-26'!A31</f>
        <v>0</v>
      </c>
      <c r="C696" s="82">
        <f>'OUT-26'!B31</f>
        <v>0</v>
      </c>
      <c r="D696" s="82">
        <f>'OUT-26'!C31</f>
        <v>0</v>
      </c>
      <c r="E696" s="83">
        <f>'OUT-26'!D31</f>
        <v>0</v>
      </c>
      <c r="F696" s="84">
        <f>'OUT-26'!E31</f>
        <v>0</v>
      </c>
      <c r="G696" s="85">
        <f>'OUT-26'!F31</f>
        <v>0</v>
      </c>
      <c r="H696" s="85">
        <f t="shared" si="0"/>
        <v>0</v>
      </c>
      <c r="I696" s="83" t="s">
        <v>104</v>
      </c>
      <c r="J696" s="83" t="str">
        <f t="shared" si="1"/>
        <v/>
      </c>
      <c r="K696" s="85">
        <f t="shared" si="2"/>
        <v>0</v>
      </c>
      <c r="L696" s="83" t="str">
        <f t="shared" si="3"/>
        <v/>
      </c>
      <c r="M696" s="83">
        <f>'OUT-26'!H31</f>
        <v>0</v>
      </c>
      <c r="N696" s="92" t="str">
        <f ca="1">IF(BD!$C696="","",IF(AND(TODAY()&gt;BD!$C696,OR(BD!$D696="PENDENTE",BD!$D696="")),"VENCIDO",""))</f>
        <v/>
      </c>
      <c r="O696" s="82" t="str">
        <f ca="1">IF(N696 = "VENCIDO",BD!$B696,"")</f>
        <v/>
      </c>
      <c r="P696" s="82" t="str">
        <f ca="1">IF(N696 = "VENCIDO",BD!$C696,"")</f>
        <v/>
      </c>
      <c r="Q696" s="83" t="str">
        <f ca="1">IF(N696 = "VENCIDO",BD!$E696,"")</f>
        <v/>
      </c>
      <c r="R696" s="83" t="str">
        <f ca="1">IF(N696 = "VENCIDO",BD!$F696,"")</f>
        <v/>
      </c>
      <c r="S696" s="85" t="str">
        <f ca="1">IF(N696 = "VENCIDO",BD!$G696,"")</f>
        <v/>
      </c>
      <c r="T696" s="83" t="str">
        <f ca="1">IF(AND(TODAY()&gt;BD!$C696, OR(BD!$D696="PENDENTE", BD!$D696="")), TODAY()-BD!$C696, "")</f>
        <v/>
      </c>
    </row>
    <row r="697" spans="1:20" ht="14.25" customHeight="1" x14ac:dyDescent="0.35">
      <c r="A697" s="32"/>
      <c r="B697" s="82">
        <f>'OUT-26'!A32</f>
        <v>0</v>
      </c>
      <c r="C697" s="82">
        <f>'OUT-26'!B32</f>
        <v>0</v>
      </c>
      <c r="D697" s="82">
        <f>'OUT-26'!C32</f>
        <v>0</v>
      </c>
      <c r="E697" s="83">
        <f>'OUT-26'!D32</f>
        <v>0</v>
      </c>
      <c r="F697" s="84">
        <f>'OUT-26'!E32</f>
        <v>0</v>
      </c>
      <c r="G697" s="85">
        <f>'OUT-26'!F32</f>
        <v>0</v>
      </c>
      <c r="H697" s="85">
        <f t="shared" si="0"/>
        <v>0</v>
      </c>
      <c r="I697" s="83" t="s">
        <v>104</v>
      </c>
      <c r="J697" s="83" t="str">
        <f t="shared" si="1"/>
        <v/>
      </c>
      <c r="K697" s="85">
        <f t="shared" si="2"/>
        <v>0</v>
      </c>
      <c r="L697" s="83" t="str">
        <f t="shared" si="3"/>
        <v/>
      </c>
      <c r="M697" s="83">
        <f>'OUT-26'!H32</f>
        <v>0</v>
      </c>
      <c r="N697" s="92" t="str">
        <f ca="1">IF(BD!$C697="","",IF(AND(TODAY()&gt;BD!$C697,OR(BD!$D697="PENDENTE",BD!$D697="")),"VENCIDO",""))</f>
        <v/>
      </c>
      <c r="O697" s="82" t="str">
        <f ca="1">IF(N697 = "VENCIDO",BD!$B697,"")</f>
        <v/>
      </c>
      <c r="P697" s="82" t="str">
        <f ca="1">IF(N697 = "VENCIDO",BD!$C697,"")</f>
        <v/>
      </c>
      <c r="Q697" s="83" t="str">
        <f ca="1">IF(N697 = "VENCIDO",BD!$E697,"")</f>
        <v/>
      </c>
      <c r="R697" s="83" t="str">
        <f ca="1">IF(N697 = "VENCIDO",BD!$F697,"")</f>
        <v/>
      </c>
      <c r="S697" s="85" t="str">
        <f ca="1">IF(N697 = "VENCIDO",BD!$G697,"")</f>
        <v/>
      </c>
      <c r="T697" s="83" t="str">
        <f ca="1">IF(AND(TODAY()&gt;BD!$C697, OR(BD!$D697="PENDENTE", BD!$D697="")), TODAY()-BD!$C697, "")</f>
        <v/>
      </c>
    </row>
    <row r="698" spans="1:20" ht="14.25" customHeight="1" x14ac:dyDescent="0.35">
      <c r="A698" s="32"/>
      <c r="B698" s="82">
        <f>'OUT-26'!A33</f>
        <v>0</v>
      </c>
      <c r="C698" s="82">
        <f>'OUT-26'!B33</f>
        <v>0</v>
      </c>
      <c r="D698" s="82">
        <f>'OUT-26'!C33</f>
        <v>0</v>
      </c>
      <c r="E698" s="83">
        <f>'OUT-26'!D33</f>
        <v>0</v>
      </c>
      <c r="F698" s="84">
        <f>'OUT-26'!E33</f>
        <v>0</v>
      </c>
      <c r="G698" s="85">
        <f>'OUT-26'!F33</f>
        <v>0</v>
      </c>
      <c r="H698" s="85">
        <f t="shared" si="0"/>
        <v>0</v>
      </c>
      <c r="I698" s="83" t="s">
        <v>104</v>
      </c>
      <c r="J698" s="83" t="str">
        <f t="shared" si="1"/>
        <v/>
      </c>
      <c r="K698" s="85">
        <f t="shared" si="2"/>
        <v>0</v>
      </c>
      <c r="L698" s="83" t="str">
        <f t="shared" si="3"/>
        <v/>
      </c>
      <c r="M698" s="83">
        <f>'OUT-26'!H33</f>
        <v>0</v>
      </c>
      <c r="N698" s="92" t="str">
        <f ca="1">IF(BD!$C698="","",IF(AND(TODAY()&gt;BD!$C698,OR(BD!$D698="PENDENTE",BD!$D698="")),"VENCIDO",""))</f>
        <v/>
      </c>
      <c r="O698" s="82" t="str">
        <f ca="1">IF(N698 = "VENCIDO",BD!$B698,"")</f>
        <v/>
      </c>
      <c r="P698" s="82" t="str">
        <f ca="1">IF(N698 = "VENCIDO",BD!$C698,"")</f>
        <v/>
      </c>
      <c r="Q698" s="83" t="str">
        <f ca="1">IF(N698 = "VENCIDO",BD!$E698,"")</f>
        <v/>
      </c>
      <c r="R698" s="83" t="str">
        <f ca="1">IF(N698 = "VENCIDO",BD!$F698,"")</f>
        <v/>
      </c>
      <c r="S698" s="85" t="str">
        <f ca="1">IF(N698 = "VENCIDO",BD!$G698,"")</f>
        <v/>
      </c>
      <c r="T698" s="83" t="str">
        <f ca="1">IF(AND(TODAY()&gt;BD!$C698, OR(BD!$D698="PENDENTE", BD!$D698="")), TODAY()-BD!$C698, "")</f>
        <v/>
      </c>
    </row>
    <row r="699" spans="1:20" ht="14.25" customHeight="1" x14ac:dyDescent="0.35">
      <c r="A699" s="32"/>
      <c r="B699" s="82">
        <f>'OUT-26'!A34</f>
        <v>0</v>
      </c>
      <c r="C699" s="82">
        <f>'OUT-26'!B34</f>
        <v>0</v>
      </c>
      <c r="D699" s="82">
        <f>'OUT-26'!C34</f>
        <v>0</v>
      </c>
      <c r="E699" s="83">
        <f>'OUT-26'!D34</f>
        <v>0</v>
      </c>
      <c r="F699" s="84">
        <f>'OUT-26'!E34</f>
        <v>0</v>
      </c>
      <c r="G699" s="85">
        <f>'OUT-26'!F34</f>
        <v>0</v>
      </c>
      <c r="H699" s="85">
        <f t="shared" si="0"/>
        <v>0</v>
      </c>
      <c r="I699" s="83" t="s">
        <v>104</v>
      </c>
      <c r="J699" s="83" t="str">
        <f t="shared" si="1"/>
        <v/>
      </c>
      <c r="K699" s="85">
        <f t="shared" si="2"/>
        <v>0</v>
      </c>
      <c r="L699" s="83" t="str">
        <f t="shared" si="3"/>
        <v/>
      </c>
      <c r="M699" s="83">
        <f>'OUT-26'!H34</f>
        <v>0</v>
      </c>
      <c r="N699" s="92" t="str">
        <f ca="1">IF(BD!$C699="","",IF(AND(TODAY()&gt;BD!$C699,OR(BD!$D699="PENDENTE",BD!$D699="")),"VENCIDO",""))</f>
        <v/>
      </c>
      <c r="O699" s="82" t="str">
        <f ca="1">IF(N699 = "VENCIDO",BD!$B699,"")</f>
        <v/>
      </c>
      <c r="P699" s="82" t="str">
        <f ca="1">IF(N699 = "VENCIDO",BD!$C699,"")</f>
        <v/>
      </c>
      <c r="Q699" s="83" t="str">
        <f ca="1">IF(N699 = "VENCIDO",BD!$E699,"")</f>
        <v/>
      </c>
      <c r="R699" s="83" t="str">
        <f ca="1">IF(N699 = "VENCIDO",BD!$F699,"")</f>
        <v/>
      </c>
      <c r="S699" s="85" t="str">
        <f ca="1">IF(N699 = "VENCIDO",BD!$G699,"")</f>
        <v/>
      </c>
      <c r="T699" s="83" t="str">
        <f ca="1">IF(AND(TODAY()&gt;BD!$C699, OR(BD!$D699="PENDENTE", BD!$D699="")), TODAY()-BD!$C699, "")</f>
        <v/>
      </c>
    </row>
    <row r="700" spans="1:20" ht="14.25" customHeight="1" x14ac:dyDescent="0.35">
      <c r="A700" s="32"/>
      <c r="B700" s="82">
        <f>'OUT-26'!A35</f>
        <v>0</v>
      </c>
      <c r="C700" s="82">
        <f>'OUT-26'!B35</f>
        <v>0</v>
      </c>
      <c r="D700" s="82">
        <f>'OUT-26'!C35</f>
        <v>0</v>
      </c>
      <c r="E700" s="93">
        <f>'OUT-26'!D35</f>
        <v>0</v>
      </c>
      <c r="F700" s="84">
        <f>'OUT-26'!E35</f>
        <v>0</v>
      </c>
      <c r="G700" s="85">
        <f>'OUT-26'!F35</f>
        <v>0</v>
      </c>
      <c r="H700" s="85">
        <f t="shared" si="0"/>
        <v>0</v>
      </c>
      <c r="I700" s="83" t="s">
        <v>104</v>
      </c>
      <c r="J700" s="83" t="str">
        <f t="shared" si="1"/>
        <v/>
      </c>
      <c r="K700" s="85">
        <f t="shared" si="2"/>
        <v>0</v>
      </c>
      <c r="L700" s="83" t="str">
        <f t="shared" si="3"/>
        <v/>
      </c>
      <c r="M700" s="83">
        <f>'OUT-26'!H35</f>
        <v>0</v>
      </c>
      <c r="N700" s="92" t="str">
        <f ca="1">IF(BD!$C700="","",IF(AND(TODAY()&gt;BD!$C700,OR(BD!$D700="PENDENTE",BD!$D700="")),"VENCIDO",""))</f>
        <v/>
      </c>
      <c r="O700" s="82" t="str">
        <f ca="1">IF(N700 = "VENCIDO",BD!$B700,"")</f>
        <v/>
      </c>
      <c r="P700" s="82" t="str">
        <f ca="1">IF(N700 = "VENCIDO",BD!$C700,"")</f>
        <v/>
      </c>
      <c r="Q700" s="83" t="str">
        <f ca="1">IF(N700 = "VENCIDO",BD!$E700,"")</f>
        <v/>
      </c>
      <c r="R700" s="83" t="str">
        <f ca="1">IF(N700 = "VENCIDO",BD!$F700,"")</f>
        <v/>
      </c>
      <c r="S700" s="85" t="str">
        <f ca="1">IF(N700 = "VENCIDO",BD!$G700,"")</f>
        <v/>
      </c>
      <c r="T700" s="83" t="str">
        <f ca="1">IF(AND(TODAY()&gt;BD!$C700, OR(BD!$D700="PENDENTE", BD!$D700="")), TODAY()-BD!$C700, "")</f>
        <v/>
      </c>
    </row>
    <row r="701" spans="1:20" ht="14.25" customHeight="1" x14ac:dyDescent="0.35">
      <c r="A701" s="32"/>
      <c r="B701" s="82">
        <f>'OUT-26'!A36</f>
        <v>0</v>
      </c>
      <c r="C701" s="82">
        <f>'OUT-26'!B36</f>
        <v>0</v>
      </c>
      <c r="D701" s="82">
        <f>'OUT-26'!C36</f>
        <v>0</v>
      </c>
      <c r="E701" s="93">
        <f>'OUT-26'!D36</f>
        <v>0</v>
      </c>
      <c r="F701" s="84">
        <f>'OUT-26'!E36</f>
        <v>0</v>
      </c>
      <c r="G701" s="85">
        <f>'OUT-26'!F36</f>
        <v>0</v>
      </c>
      <c r="H701" s="85">
        <f t="shared" si="0"/>
        <v>0</v>
      </c>
      <c r="I701" s="83" t="s">
        <v>104</v>
      </c>
      <c r="J701" s="83" t="str">
        <f t="shared" si="1"/>
        <v/>
      </c>
      <c r="K701" s="85">
        <f t="shared" si="2"/>
        <v>0</v>
      </c>
      <c r="L701" s="83" t="str">
        <f t="shared" si="3"/>
        <v/>
      </c>
      <c r="M701" s="83">
        <f>'OUT-26'!H36</f>
        <v>0</v>
      </c>
      <c r="N701" s="92" t="str">
        <f ca="1">IF(BD!$C701="","",IF(AND(TODAY()&gt;BD!$C701,OR(BD!$D701="PENDENTE",BD!$D701="")),"VENCIDO",""))</f>
        <v/>
      </c>
      <c r="O701" s="82" t="str">
        <f ca="1">IF(N701 = "VENCIDO",BD!$B701,"")</f>
        <v/>
      </c>
      <c r="P701" s="82" t="str">
        <f ca="1">IF(N701 = "VENCIDO",BD!$C701,"")</f>
        <v/>
      </c>
      <c r="Q701" s="83" t="str">
        <f ca="1">IF(N701 = "VENCIDO",BD!$E701,"")</f>
        <v/>
      </c>
      <c r="R701" s="83" t="str">
        <f ca="1">IF(N701 = "VENCIDO",BD!$F701,"")</f>
        <v/>
      </c>
      <c r="S701" s="85" t="str">
        <f ca="1">IF(N701 = "VENCIDO",BD!$G701,"")</f>
        <v/>
      </c>
      <c r="T701" s="83" t="str">
        <f ca="1">IF(AND(TODAY()&gt;BD!$C701, OR(BD!$D701="PENDENTE", BD!$D701="")), TODAY()-BD!$C701, "")</f>
        <v/>
      </c>
    </row>
    <row r="702" spans="1:20" ht="14.25" customHeight="1" x14ac:dyDescent="0.35">
      <c r="A702" s="32"/>
      <c r="B702" s="82">
        <f>'OUT-26'!A37</f>
        <v>0</v>
      </c>
      <c r="C702" s="82">
        <f>'OUT-26'!B37</f>
        <v>0</v>
      </c>
      <c r="D702" s="82">
        <f>'OUT-26'!C37</f>
        <v>0</v>
      </c>
      <c r="E702" s="83">
        <f>'OUT-26'!D37</f>
        <v>0</v>
      </c>
      <c r="F702" s="84">
        <f>'OUT-26'!E37</f>
        <v>0</v>
      </c>
      <c r="G702" s="85">
        <f>'OUT-26'!F37</f>
        <v>0</v>
      </c>
      <c r="H702" s="85">
        <f t="shared" si="0"/>
        <v>0</v>
      </c>
      <c r="I702" s="83" t="s">
        <v>104</v>
      </c>
      <c r="J702" s="83" t="str">
        <f t="shared" si="1"/>
        <v/>
      </c>
      <c r="K702" s="85">
        <f t="shared" si="2"/>
        <v>0</v>
      </c>
      <c r="L702" s="83" t="str">
        <f t="shared" si="3"/>
        <v/>
      </c>
      <c r="M702" s="83">
        <f>'OUT-26'!H37</f>
        <v>0</v>
      </c>
      <c r="N702" s="92" t="str">
        <f ca="1">IF(BD!$C702="","",IF(AND(TODAY()&gt;BD!$C702,OR(BD!$D702="PENDENTE",BD!$D702="")),"VENCIDO",""))</f>
        <v/>
      </c>
      <c r="O702" s="82" t="str">
        <f ca="1">IF(N702 = "VENCIDO",BD!$B702,"")</f>
        <v/>
      </c>
      <c r="P702" s="82" t="str">
        <f ca="1">IF(N702 = "VENCIDO",BD!$C702,"")</f>
        <v/>
      </c>
      <c r="Q702" s="83" t="str">
        <f ca="1">IF(N702 = "VENCIDO",BD!$E702,"")</f>
        <v/>
      </c>
      <c r="R702" s="83" t="str">
        <f ca="1">IF(N702 = "VENCIDO",BD!$F702,"")</f>
        <v/>
      </c>
      <c r="S702" s="85" t="str">
        <f ca="1">IF(N702 = "VENCIDO",BD!$G702,"")</f>
        <v/>
      </c>
      <c r="T702" s="83" t="str">
        <f ca="1">IF(AND(TODAY()&gt;BD!$C702, OR(BD!$D702="PENDENTE", BD!$D702="")), TODAY()-BD!$C702, "")</f>
        <v/>
      </c>
    </row>
    <row r="703" spans="1:20" ht="14.25" customHeight="1" x14ac:dyDescent="0.35">
      <c r="A703" s="32"/>
      <c r="B703" s="82">
        <f>'OUT-26'!A38</f>
        <v>0</v>
      </c>
      <c r="C703" s="82">
        <f>'OUT-26'!B38</f>
        <v>0</v>
      </c>
      <c r="D703" s="82">
        <f>'OUT-26'!C38</f>
        <v>0</v>
      </c>
      <c r="E703" s="83">
        <f>'OUT-26'!D38</f>
        <v>0</v>
      </c>
      <c r="F703" s="84">
        <f>'OUT-26'!E38</f>
        <v>0</v>
      </c>
      <c r="G703" s="85">
        <f>'OUT-26'!F38</f>
        <v>0</v>
      </c>
      <c r="H703" s="85">
        <f t="shared" si="0"/>
        <v>0</v>
      </c>
      <c r="I703" s="83" t="s">
        <v>104</v>
      </c>
      <c r="J703" s="83" t="str">
        <f t="shared" si="1"/>
        <v/>
      </c>
      <c r="K703" s="85">
        <f t="shared" si="2"/>
        <v>0</v>
      </c>
      <c r="L703" s="83" t="str">
        <f t="shared" si="3"/>
        <v/>
      </c>
      <c r="M703" s="83">
        <f>'OUT-26'!H38</f>
        <v>0</v>
      </c>
      <c r="N703" s="92" t="str">
        <f ca="1">IF(BD!$C703="","",IF(AND(TODAY()&gt;BD!$C703,OR(BD!$D703="PENDENTE",BD!$D703="")),"VENCIDO",""))</f>
        <v/>
      </c>
      <c r="O703" s="82" t="str">
        <f ca="1">IF(N703 = "VENCIDO",BD!$B703,"")</f>
        <v/>
      </c>
      <c r="P703" s="82" t="str">
        <f ca="1">IF(N703 = "VENCIDO",BD!$C703,"")</f>
        <v/>
      </c>
      <c r="Q703" s="83" t="str">
        <f ca="1">IF(N703 = "VENCIDO",BD!$E703,"")</f>
        <v/>
      </c>
      <c r="R703" s="83" t="str">
        <f ca="1">IF(N703 = "VENCIDO",BD!$F703,"")</f>
        <v/>
      </c>
      <c r="S703" s="85" t="str">
        <f ca="1">IF(N703 = "VENCIDO",BD!$G703,"")</f>
        <v/>
      </c>
      <c r="T703" s="83" t="str">
        <f ca="1">IF(AND(TODAY()&gt;BD!$C703, OR(BD!$D703="PENDENTE", BD!$D703="")), TODAY()-BD!$C703, "")</f>
        <v/>
      </c>
    </row>
    <row r="704" spans="1:20" ht="14.25" customHeight="1" x14ac:dyDescent="0.35">
      <c r="A704" s="32"/>
      <c r="B704" s="82">
        <f>'OUT-26'!A39</f>
        <v>0</v>
      </c>
      <c r="C704" s="82">
        <f>'OUT-26'!B39</f>
        <v>0</v>
      </c>
      <c r="D704" s="82">
        <f>'OUT-26'!C39</f>
        <v>0</v>
      </c>
      <c r="E704" s="83">
        <f>'OUT-26'!D39</f>
        <v>0</v>
      </c>
      <c r="F704" s="84">
        <f>'OUT-26'!E39</f>
        <v>0</v>
      </c>
      <c r="G704" s="85">
        <f>'OUT-26'!F39</f>
        <v>0</v>
      </c>
      <c r="H704" s="85">
        <f t="shared" si="0"/>
        <v>0</v>
      </c>
      <c r="I704" s="83" t="s">
        <v>104</v>
      </c>
      <c r="J704" s="83" t="str">
        <f t="shared" si="1"/>
        <v/>
      </c>
      <c r="K704" s="85">
        <f t="shared" si="2"/>
        <v>0</v>
      </c>
      <c r="L704" s="83" t="str">
        <f t="shared" si="3"/>
        <v/>
      </c>
      <c r="M704" s="83">
        <f>'OUT-26'!H39</f>
        <v>0</v>
      </c>
      <c r="N704" s="92" t="str">
        <f ca="1">IF(BD!$C704="","",IF(AND(TODAY()&gt;BD!$C704,OR(BD!$D704="PENDENTE",BD!$D704="")),"VENCIDO",""))</f>
        <v/>
      </c>
      <c r="O704" s="82" t="str">
        <f ca="1">IF(N704 = "VENCIDO",BD!$B704,"")</f>
        <v/>
      </c>
      <c r="P704" s="82" t="str">
        <f ca="1">IF(N704 = "VENCIDO",BD!$C704,"")</f>
        <v/>
      </c>
      <c r="Q704" s="83" t="str">
        <f ca="1">IF(N704 = "VENCIDO",BD!$E704,"")</f>
        <v/>
      </c>
      <c r="R704" s="83" t="str">
        <f ca="1">IF(N704 = "VENCIDO",BD!$F704,"")</f>
        <v/>
      </c>
      <c r="S704" s="85" t="str">
        <f ca="1">IF(N704 = "VENCIDO",BD!$G704,"")</f>
        <v/>
      </c>
      <c r="T704" s="83" t="str">
        <f ca="1">IF(AND(TODAY()&gt;BD!$C704, OR(BD!$D704="PENDENTE", BD!$D704="")), TODAY()-BD!$C704, "")</f>
        <v/>
      </c>
    </row>
    <row r="705" spans="1:20" ht="14.25" customHeight="1" x14ac:dyDescent="0.35">
      <c r="A705" s="32"/>
      <c r="B705" s="82">
        <f>'OUT-26'!A40</f>
        <v>0</v>
      </c>
      <c r="C705" s="82">
        <f>'OUT-26'!B40</f>
        <v>0</v>
      </c>
      <c r="D705" s="82">
        <f>'OUT-26'!C40</f>
        <v>0</v>
      </c>
      <c r="E705" s="83">
        <f>'OUT-26'!D40</f>
        <v>0</v>
      </c>
      <c r="F705" s="84">
        <f>'OUT-26'!E40</f>
        <v>0</v>
      </c>
      <c r="G705" s="85">
        <f>'OUT-26'!F40</f>
        <v>0</v>
      </c>
      <c r="H705" s="85">
        <f t="shared" si="0"/>
        <v>0</v>
      </c>
      <c r="I705" s="83" t="s">
        <v>104</v>
      </c>
      <c r="J705" s="83" t="str">
        <f t="shared" si="1"/>
        <v/>
      </c>
      <c r="K705" s="85">
        <f t="shared" si="2"/>
        <v>0</v>
      </c>
      <c r="L705" s="83" t="str">
        <f t="shared" si="3"/>
        <v/>
      </c>
      <c r="M705" s="83">
        <f>'OUT-26'!H40</f>
        <v>0</v>
      </c>
      <c r="N705" s="92" t="str">
        <f ca="1">IF(BD!$C705="","",IF(AND(TODAY()&gt;BD!$C705,OR(BD!$D705="PENDENTE",BD!$D705="")),"VENCIDO",""))</f>
        <v/>
      </c>
      <c r="O705" s="82" t="str">
        <f ca="1">IF(N705 = "VENCIDO",BD!$B705,"")</f>
        <v/>
      </c>
      <c r="P705" s="82" t="str">
        <f ca="1">IF(N705 = "VENCIDO",BD!$C705,"")</f>
        <v/>
      </c>
      <c r="Q705" s="83" t="str">
        <f ca="1">IF(N705 = "VENCIDO",BD!$E705,"")</f>
        <v/>
      </c>
      <c r="R705" s="83" t="str">
        <f ca="1">IF(N705 = "VENCIDO",BD!$F705,"")</f>
        <v/>
      </c>
      <c r="S705" s="85" t="str">
        <f ca="1">IF(N705 = "VENCIDO",BD!$G705,"")</f>
        <v/>
      </c>
      <c r="T705" s="83" t="str">
        <f ca="1">IF(AND(TODAY()&gt;BD!$C705, OR(BD!$D705="PENDENTE", BD!$D705="")), TODAY()-BD!$C705, "")</f>
        <v/>
      </c>
    </row>
    <row r="706" spans="1:20" ht="14.25" customHeight="1" x14ac:dyDescent="0.35">
      <c r="A706" s="32"/>
      <c r="B706" s="82">
        <f>'OUT-26'!A41</f>
        <v>0</v>
      </c>
      <c r="C706" s="82">
        <f>'OUT-26'!B41</f>
        <v>0</v>
      </c>
      <c r="D706" s="82">
        <f>'OUT-26'!C41</f>
        <v>0</v>
      </c>
      <c r="E706" s="83">
        <f>'OUT-26'!D41</f>
        <v>0</v>
      </c>
      <c r="F706" s="84">
        <f>'OUT-26'!E41</f>
        <v>0</v>
      </c>
      <c r="G706" s="85">
        <f>'OUT-26'!F41</f>
        <v>0</v>
      </c>
      <c r="H706" s="85">
        <f t="shared" si="0"/>
        <v>0</v>
      </c>
      <c r="I706" s="83" t="s">
        <v>104</v>
      </c>
      <c r="J706" s="83" t="str">
        <f t="shared" si="1"/>
        <v/>
      </c>
      <c r="K706" s="85">
        <f t="shared" si="2"/>
        <v>0</v>
      </c>
      <c r="L706" s="83" t="str">
        <f t="shared" si="3"/>
        <v/>
      </c>
      <c r="M706" s="83">
        <f>'OUT-26'!H41</f>
        <v>0</v>
      </c>
      <c r="N706" s="92" t="str">
        <f ca="1">IF(BD!$C706="","",IF(AND(TODAY()&gt;BD!$C706,OR(BD!$D706="PENDENTE",BD!$D706="")),"VENCIDO",""))</f>
        <v/>
      </c>
      <c r="O706" s="82" t="str">
        <f ca="1">IF(N706 = "VENCIDO",BD!$B706,"")</f>
        <v/>
      </c>
      <c r="P706" s="82" t="str">
        <f ca="1">IF(N706 = "VENCIDO",BD!$C706,"")</f>
        <v/>
      </c>
      <c r="Q706" s="83" t="str">
        <f ca="1">IF(N706 = "VENCIDO",BD!$E706,"")</f>
        <v/>
      </c>
      <c r="R706" s="83" t="str">
        <f ca="1">IF(N706 = "VENCIDO",BD!$F706,"")</f>
        <v/>
      </c>
      <c r="S706" s="85" t="str">
        <f ca="1">IF(N706 = "VENCIDO",BD!$G706,"")</f>
        <v/>
      </c>
      <c r="T706" s="83" t="str">
        <f ca="1">IF(AND(TODAY()&gt;BD!$C706, OR(BD!$D706="PENDENTE", BD!$D706="")), TODAY()-BD!$C706, "")</f>
        <v/>
      </c>
    </row>
    <row r="707" spans="1:20" ht="14.25" customHeight="1" x14ac:dyDescent="0.35">
      <c r="A707" s="32"/>
      <c r="B707" s="82">
        <f>'OUT-26'!A42</f>
        <v>0</v>
      </c>
      <c r="C707" s="82">
        <f>'OUT-26'!B42</f>
        <v>0</v>
      </c>
      <c r="D707" s="82">
        <f>'OUT-26'!C42</f>
        <v>0</v>
      </c>
      <c r="E707" s="83">
        <f>'OUT-26'!D42</f>
        <v>0</v>
      </c>
      <c r="F707" s="84">
        <f>'OUT-26'!E42</f>
        <v>0</v>
      </c>
      <c r="G707" s="85">
        <f>'OUT-26'!F42</f>
        <v>0</v>
      </c>
      <c r="H707" s="85">
        <f t="shared" si="0"/>
        <v>0</v>
      </c>
      <c r="I707" s="83" t="s">
        <v>104</v>
      </c>
      <c r="J707" s="83" t="str">
        <f t="shared" si="1"/>
        <v/>
      </c>
      <c r="K707" s="85">
        <f t="shared" si="2"/>
        <v>0</v>
      </c>
      <c r="L707" s="83" t="str">
        <f t="shared" si="3"/>
        <v/>
      </c>
      <c r="M707" s="83">
        <f>'OUT-26'!H42</f>
        <v>0</v>
      </c>
      <c r="N707" s="92" t="str">
        <f ca="1">IF(BD!$C707="","",IF(AND(TODAY()&gt;BD!$C707,OR(BD!$D707="PENDENTE",BD!$D707="")),"VENCIDO",""))</f>
        <v/>
      </c>
      <c r="O707" s="82" t="str">
        <f ca="1">IF(N707 = "VENCIDO",BD!$B707,"")</f>
        <v/>
      </c>
      <c r="P707" s="82" t="str">
        <f ca="1">IF(N707 = "VENCIDO",BD!$C707,"")</f>
        <v/>
      </c>
      <c r="Q707" s="83" t="str">
        <f ca="1">IF(N707 = "VENCIDO",BD!$E707,"")</f>
        <v/>
      </c>
      <c r="R707" s="83" t="str">
        <f ca="1">IF(N707 = "VENCIDO",BD!$F707,"")</f>
        <v/>
      </c>
      <c r="S707" s="85" t="str">
        <f ca="1">IF(N707 = "VENCIDO",BD!$G707,"")</f>
        <v/>
      </c>
      <c r="T707" s="83" t="str">
        <f ca="1">IF(AND(TODAY()&gt;BD!$C707, OR(BD!$D707="PENDENTE", BD!$D707="")), TODAY()-BD!$C707, "")</f>
        <v/>
      </c>
    </row>
    <row r="708" spans="1:20" ht="14.25" customHeight="1" x14ac:dyDescent="0.35">
      <c r="A708" s="32"/>
      <c r="B708" s="82">
        <f>'OUT-26'!A43</f>
        <v>0</v>
      </c>
      <c r="C708" s="82">
        <f>'OUT-26'!B43</f>
        <v>0</v>
      </c>
      <c r="D708" s="82">
        <f>'OUT-26'!C43</f>
        <v>0</v>
      </c>
      <c r="E708" s="83">
        <f>'OUT-26'!D43</f>
        <v>0</v>
      </c>
      <c r="F708" s="84">
        <f>'OUT-26'!E43</f>
        <v>0</v>
      </c>
      <c r="G708" s="85">
        <f>'OUT-26'!F43</f>
        <v>0</v>
      </c>
      <c r="H708" s="85">
        <f t="shared" si="0"/>
        <v>0</v>
      </c>
      <c r="I708" s="83" t="s">
        <v>104</v>
      </c>
      <c r="J708" s="83" t="str">
        <f t="shared" si="1"/>
        <v/>
      </c>
      <c r="K708" s="85">
        <f t="shared" si="2"/>
        <v>0</v>
      </c>
      <c r="L708" s="83" t="str">
        <f t="shared" si="3"/>
        <v/>
      </c>
      <c r="M708" s="83">
        <f>'OUT-26'!H43</f>
        <v>0</v>
      </c>
      <c r="N708" s="92" t="str">
        <f ca="1">IF(BD!$C708="","",IF(AND(TODAY()&gt;BD!$C708,OR(BD!$D708="PENDENTE",BD!$D708="")),"VENCIDO",""))</f>
        <v/>
      </c>
      <c r="O708" s="82" t="str">
        <f ca="1">IF(N708 = "VENCIDO",BD!$B708,"")</f>
        <v/>
      </c>
      <c r="P708" s="82" t="str">
        <f ca="1">IF(N708 = "VENCIDO",BD!$C708,"")</f>
        <v/>
      </c>
      <c r="Q708" s="83" t="str">
        <f ca="1">IF(N708 = "VENCIDO",BD!$E708,"")</f>
        <v/>
      </c>
      <c r="R708" s="83" t="str">
        <f ca="1">IF(N708 = "VENCIDO",BD!$F708,"")</f>
        <v/>
      </c>
      <c r="S708" s="85" t="str">
        <f ca="1">IF(N708 = "VENCIDO",BD!$G708,"")</f>
        <v/>
      </c>
      <c r="T708" s="83" t="str">
        <f ca="1">IF(AND(TODAY()&gt;BD!$C708, OR(BD!$D708="PENDENTE", BD!$D708="")), TODAY()-BD!$C708, "")</f>
        <v/>
      </c>
    </row>
    <row r="709" spans="1:20" ht="14.25" customHeight="1" x14ac:dyDescent="0.35">
      <c r="A709" s="32"/>
      <c r="B709" s="82">
        <f>'OUT-26'!A44</f>
        <v>0</v>
      </c>
      <c r="C709" s="82">
        <f>'OUT-26'!B44</f>
        <v>0</v>
      </c>
      <c r="D709" s="82">
        <f>'OUT-26'!C44</f>
        <v>0</v>
      </c>
      <c r="E709" s="83">
        <f>'OUT-26'!D44</f>
        <v>0</v>
      </c>
      <c r="F709" s="84">
        <f>'OUT-26'!E44</f>
        <v>0</v>
      </c>
      <c r="G709" s="85">
        <f>'OUT-26'!F44</f>
        <v>0</v>
      </c>
      <c r="H709" s="85">
        <f t="shared" si="0"/>
        <v>0</v>
      </c>
      <c r="I709" s="83" t="s">
        <v>104</v>
      </c>
      <c r="J709" s="83" t="str">
        <f t="shared" si="1"/>
        <v/>
      </c>
      <c r="K709" s="85">
        <f t="shared" si="2"/>
        <v>0</v>
      </c>
      <c r="L709" s="83" t="str">
        <f t="shared" si="3"/>
        <v/>
      </c>
      <c r="M709" s="83">
        <f>'OUT-26'!H44</f>
        <v>0</v>
      </c>
      <c r="N709" s="92" t="str">
        <f ca="1">IF(BD!$C709="","",IF(AND(TODAY()&gt;BD!$C709,OR(BD!$D709="PENDENTE",BD!$D709="")),"VENCIDO",""))</f>
        <v/>
      </c>
      <c r="O709" s="82" t="str">
        <f ca="1">IF(N709 = "VENCIDO",BD!$B709,"")</f>
        <v/>
      </c>
      <c r="P709" s="82" t="str">
        <f ca="1">IF(N709 = "VENCIDO",BD!$C709,"")</f>
        <v/>
      </c>
      <c r="Q709" s="83" t="str">
        <f ca="1">IF(N709 = "VENCIDO",BD!$E709,"")</f>
        <v/>
      </c>
      <c r="R709" s="83" t="str">
        <f ca="1">IF(N709 = "VENCIDO",BD!$F709,"")</f>
        <v/>
      </c>
      <c r="S709" s="85" t="str">
        <f ca="1">IF(N709 = "VENCIDO",BD!$G709,"")</f>
        <v/>
      </c>
      <c r="T709" s="83" t="str">
        <f ca="1">IF(AND(TODAY()&gt;BD!$C709, OR(BD!$D709="PENDENTE", BD!$D709="")), TODAY()-BD!$C709, "")</f>
        <v/>
      </c>
    </row>
    <row r="710" spans="1:20" ht="14.25" customHeight="1" x14ac:dyDescent="0.35">
      <c r="A710" s="32"/>
      <c r="B710" s="82">
        <f>'OUT-26'!A45</f>
        <v>0</v>
      </c>
      <c r="C710" s="82">
        <f>'OUT-26'!B45</f>
        <v>0</v>
      </c>
      <c r="D710" s="82">
        <f>'OUT-26'!C45</f>
        <v>0</v>
      </c>
      <c r="E710" s="83">
        <f>'OUT-26'!D45</f>
        <v>0</v>
      </c>
      <c r="F710" s="84">
        <f>'OUT-26'!E45</f>
        <v>0</v>
      </c>
      <c r="G710" s="85">
        <f>'OUT-26'!F45</f>
        <v>0</v>
      </c>
      <c r="H710" s="85">
        <f t="shared" si="0"/>
        <v>0</v>
      </c>
      <c r="I710" s="83" t="s">
        <v>104</v>
      </c>
      <c r="J710" s="83" t="str">
        <f t="shared" si="1"/>
        <v/>
      </c>
      <c r="K710" s="85">
        <f t="shared" si="2"/>
        <v>0</v>
      </c>
      <c r="L710" s="83" t="str">
        <f t="shared" si="3"/>
        <v/>
      </c>
      <c r="M710" s="83">
        <f>'OUT-26'!H45</f>
        <v>0</v>
      </c>
      <c r="N710" s="92" t="str">
        <f ca="1">IF(BD!$C710="","",IF(AND(TODAY()&gt;BD!$C710,OR(BD!$D710="PENDENTE",BD!$D710="")),"VENCIDO",""))</f>
        <v/>
      </c>
      <c r="O710" s="82" t="str">
        <f ca="1">IF(N710 = "VENCIDO",BD!$B710,"")</f>
        <v/>
      </c>
      <c r="P710" s="82" t="str">
        <f ca="1">IF(N710 = "VENCIDO",BD!$C710,"")</f>
        <v/>
      </c>
      <c r="Q710" s="83" t="str">
        <f ca="1">IF(N710 = "VENCIDO",BD!$E710,"")</f>
        <v/>
      </c>
      <c r="R710" s="83" t="str">
        <f ca="1">IF(N710 = "VENCIDO",BD!$F710,"")</f>
        <v/>
      </c>
      <c r="S710" s="85" t="str">
        <f ca="1">IF(N710 = "VENCIDO",BD!$G710,"")</f>
        <v/>
      </c>
      <c r="T710" s="83" t="str">
        <f ca="1">IF(AND(TODAY()&gt;BD!$C710, OR(BD!$D710="PENDENTE", BD!$D710="")), TODAY()-BD!$C710, "")</f>
        <v/>
      </c>
    </row>
    <row r="711" spans="1:20" ht="14.25" customHeight="1" x14ac:dyDescent="0.35">
      <c r="A711" s="32"/>
      <c r="B711" s="82">
        <f>'OUT-26'!A46</f>
        <v>0</v>
      </c>
      <c r="C711" s="82">
        <f>'OUT-26'!B46</f>
        <v>0</v>
      </c>
      <c r="D711" s="82">
        <f>'OUT-26'!C46</f>
        <v>0</v>
      </c>
      <c r="E711" s="83">
        <f>'OUT-26'!D46</f>
        <v>0</v>
      </c>
      <c r="F711" s="84">
        <f>'OUT-26'!E46</f>
        <v>0</v>
      </c>
      <c r="G711" s="85">
        <f>'OUT-26'!F46</f>
        <v>0</v>
      </c>
      <c r="H711" s="85">
        <f t="shared" si="0"/>
        <v>0</v>
      </c>
      <c r="I711" s="83" t="s">
        <v>104</v>
      </c>
      <c r="J711" s="83" t="str">
        <f t="shared" si="1"/>
        <v/>
      </c>
      <c r="K711" s="85">
        <f t="shared" si="2"/>
        <v>0</v>
      </c>
      <c r="L711" s="83" t="str">
        <f t="shared" si="3"/>
        <v/>
      </c>
      <c r="M711" s="83">
        <f>'OUT-26'!H46</f>
        <v>0</v>
      </c>
      <c r="N711" s="92" t="str">
        <f ca="1">IF(BD!$C711="","",IF(AND(TODAY()&gt;BD!$C711,OR(BD!$D711="PENDENTE",BD!$D711="")),"VENCIDO",""))</f>
        <v/>
      </c>
      <c r="O711" s="82" t="str">
        <f ca="1">IF(N711 = "VENCIDO",BD!$B711,"")</f>
        <v/>
      </c>
      <c r="P711" s="82" t="str">
        <f ca="1">IF(N711 = "VENCIDO",BD!$C711,"")</f>
        <v/>
      </c>
      <c r="Q711" s="83" t="str">
        <f ca="1">IF(N711 = "VENCIDO",BD!$E711,"")</f>
        <v/>
      </c>
      <c r="R711" s="83" t="str">
        <f ca="1">IF(N711 = "VENCIDO",BD!$F711,"")</f>
        <v/>
      </c>
      <c r="S711" s="85" t="str">
        <f ca="1">IF(N711 = "VENCIDO",BD!$G711,"")</f>
        <v/>
      </c>
      <c r="T711" s="83" t="str">
        <f ca="1">IF(AND(TODAY()&gt;BD!$C711, OR(BD!$D711="PENDENTE", BD!$D711="")), TODAY()-BD!$C711, "")</f>
        <v/>
      </c>
    </row>
    <row r="712" spans="1:20" ht="14.25" customHeight="1" x14ac:dyDescent="0.35">
      <c r="A712" s="32"/>
      <c r="B712" s="82">
        <f>'OUT-26'!A47</f>
        <v>0</v>
      </c>
      <c r="C712" s="82">
        <f>'OUT-26'!B47</f>
        <v>0</v>
      </c>
      <c r="D712" s="82">
        <f>'OUT-26'!C47</f>
        <v>0</v>
      </c>
      <c r="E712" s="83">
        <f>'OUT-26'!D47</f>
        <v>0</v>
      </c>
      <c r="F712" s="84">
        <f>'OUT-26'!E47</f>
        <v>0</v>
      </c>
      <c r="G712" s="85">
        <f>'OUT-26'!F47</f>
        <v>0</v>
      </c>
      <c r="H712" s="85">
        <f t="shared" si="0"/>
        <v>0</v>
      </c>
      <c r="I712" s="83" t="s">
        <v>104</v>
      </c>
      <c r="J712" s="83" t="str">
        <f t="shared" si="1"/>
        <v/>
      </c>
      <c r="K712" s="85">
        <f t="shared" si="2"/>
        <v>0</v>
      </c>
      <c r="L712" s="83" t="str">
        <f t="shared" si="3"/>
        <v/>
      </c>
      <c r="M712" s="83">
        <f>'OUT-26'!H47</f>
        <v>0</v>
      </c>
      <c r="N712" s="92" t="str">
        <f ca="1">IF(BD!$C712="","",IF(AND(TODAY()&gt;BD!$C712,OR(BD!$D712="PENDENTE",BD!$D712="")),"VENCIDO",""))</f>
        <v/>
      </c>
      <c r="O712" s="82" t="str">
        <f ca="1">IF(N712 = "VENCIDO",BD!$B712,"")</f>
        <v/>
      </c>
      <c r="P712" s="82" t="str">
        <f ca="1">IF(N712 = "VENCIDO",BD!$C712,"")</f>
        <v/>
      </c>
      <c r="Q712" s="83" t="str">
        <f ca="1">IF(N712 = "VENCIDO",BD!$E712,"")</f>
        <v/>
      </c>
      <c r="R712" s="83" t="str">
        <f ca="1">IF(N712 = "VENCIDO",BD!$F712,"")</f>
        <v/>
      </c>
      <c r="S712" s="85" t="str">
        <f ca="1">IF(N712 = "VENCIDO",BD!$G712,"")</f>
        <v/>
      </c>
      <c r="T712" s="83" t="str">
        <f ca="1">IF(AND(TODAY()&gt;BD!$C712, OR(BD!$D712="PENDENTE", BD!$D712="")), TODAY()-BD!$C712, "")</f>
        <v/>
      </c>
    </row>
    <row r="713" spans="1:20" ht="14.25" customHeight="1" x14ac:dyDescent="0.35">
      <c r="A713" s="32"/>
      <c r="B713" s="82">
        <f>'OUT-26'!A48</f>
        <v>0</v>
      </c>
      <c r="C713" s="82">
        <f>'OUT-26'!B48</f>
        <v>0</v>
      </c>
      <c r="D713" s="82">
        <f>'OUT-26'!C48</f>
        <v>0</v>
      </c>
      <c r="E713" s="83">
        <f>'OUT-26'!D48</f>
        <v>0</v>
      </c>
      <c r="F713" s="84">
        <f>'OUT-26'!E48</f>
        <v>0</v>
      </c>
      <c r="G713" s="85">
        <f>'OUT-26'!F48</f>
        <v>0</v>
      </c>
      <c r="H713" s="85">
        <f t="shared" si="0"/>
        <v>0</v>
      </c>
      <c r="I713" s="83" t="s">
        <v>104</v>
      </c>
      <c r="J713" s="83" t="str">
        <f t="shared" si="1"/>
        <v/>
      </c>
      <c r="K713" s="85">
        <f t="shared" si="2"/>
        <v>0</v>
      </c>
      <c r="L713" s="83" t="str">
        <f t="shared" si="3"/>
        <v/>
      </c>
      <c r="M713" s="83">
        <f>'OUT-26'!H48</f>
        <v>0</v>
      </c>
      <c r="N713" s="92" t="str">
        <f ca="1">IF(BD!$C713="","",IF(AND(TODAY()&gt;BD!$C713,OR(BD!$D713="PENDENTE",BD!$D713="")),"VENCIDO",""))</f>
        <v/>
      </c>
      <c r="O713" s="82" t="str">
        <f ca="1">IF(N713 = "VENCIDO",BD!$B713,"")</f>
        <v/>
      </c>
      <c r="P713" s="82" t="str">
        <f ca="1">IF(N713 = "VENCIDO",BD!$C713,"")</f>
        <v/>
      </c>
      <c r="Q713" s="83" t="str">
        <f ca="1">IF(N713 = "VENCIDO",BD!$E713,"")</f>
        <v/>
      </c>
      <c r="R713" s="83" t="str">
        <f ca="1">IF(N713 = "VENCIDO",BD!$F713,"")</f>
        <v/>
      </c>
      <c r="S713" s="85" t="str">
        <f ca="1">IF(N713 = "VENCIDO",BD!$G713,"")</f>
        <v/>
      </c>
      <c r="T713" s="83" t="str">
        <f ca="1">IF(AND(TODAY()&gt;BD!$C713, OR(BD!$D713="PENDENTE", BD!$D713="")), TODAY()-BD!$C713, "")</f>
        <v/>
      </c>
    </row>
    <row r="714" spans="1:20" ht="14.25" customHeight="1" x14ac:dyDescent="0.35">
      <c r="A714" s="32"/>
      <c r="B714" s="82">
        <f>'OUT-26'!A49</f>
        <v>0</v>
      </c>
      <c r="C714" s="82">
        <f>'OUT-26'!B49</f>
        <v>0</v>
      </c>
      <c r="D714" s="82">
        <f>'OUT-26'!C49</f>
        <v>0</v>
      </c>
      <c r="E714" s="83">
        <f>'OUT-26'!D49</f>
        <v>0</v>
      </c>
      <c r="F714" s="84">
        <f>'OUT-26'!E49</f>
        <v>0</v>
      </c>
      <c r="G714" s="85">
        <f>'OUT-26'!F49</f>
        <v>0</v>
      </c>
      <c r="H714" s="85">
        <f t="shared" si="0"/>
        <v>0</v>
      </c>
      <c r="I714" s="83" t="s">
        <v>104</v>
      </c>
      <c r="J714" s="83" t="str">
        <f t="shared" si="1"/>
        <v/>
      </c>
      <c r="K714" s="85">
        <f t="shared" si="2"/>
        <v>0</v>
      </c>
      <c r="L714" s="83" t="str">
        <f t="shared" si="3"/>
        <v/>
      </c>
      <c r="M714" s="83">
        <f>'OUT-26'!H49</f>
        <v>0</v>
      </c>
      <c r="N714" s="92" t="str">
        <f ca="1">IF(BD!$C714="","",IF(AND(TODAY()&gt;BD!$C714,OR(BD!$D714="PENDENTE",BD!$D714="")),"VENCIDO",""))</f>
        <v/>
      </c>
      <c r="O714" s="82" t="str">
        <f ca="1">IF(N714 = "VENCIDO",BD!$B714,"")</f>
        <v/>
      </c>
      <c r="P714" s="82" t="str">
        <f ca="1">IF(N714 = "VENCIDO",BD!$C714,"")</f>
        <v/>
      </c>
      <c r="Q714" s="83" t="str">
        <f ca="1">IF(N714 = "VENCIDO",BD!$E714,"")</f>
        <v/>
      </c>
      <c r="R714" s="83" t="str">
        <f ca="1">IF(N714 = "VENCIDO",BD!$F714,"")</f>
        <v/>
      </c>
      <c r="S714" s="85" t="str">
        <f ca="1">IF(N714 = "VENCIDO",BD!$G714,"")</f>
        <v/>
      </c>
      <c r="T714" s="83" t="str">
        <f ca="1">IF(AND(TODAY()&gt;BD!$C714, OR(BD!$D714="PENDENTE", BD!$D714="")), TODAY()-BD!$C714, "")</f>
        <v/>
      </c>
    </row>
    <row r="715" spans="1:20" ht="14.25" customHeight="1" x14ac:dyDescent="0.35">
      <c r="A715" s="32"/>
      <c r="B715" s="82">
        <f>'OUT-26'!A50</f>
        <v>0</v>
      </c>
      <c r="C715" s="82">
        <f>'OUT-26'!B50</f>
        <v>0</v>
      </c>
      <c r="D715" s="82">
        <f>'OUT-26'!C50</f>
        <v>0</v>
      </c>
      <c r="E715" s="83">
        <f>'OUT-26'!D50</f>
        <v>0</v>
      </c>
      <c r="F715" s="84">
        <f>'OUT-26'!E50</f>
        <v>0</v>
      </c>
      <c r="G715" s="85">
        <f>'OUT-26'!F50</f>
        <v>0</v>
      </c>
      <c r="H715" s="85">
        <f t="shared" si="0"/>
        <v>0</v>
      </c>
      <c r="I715" s="83" t="s">
        <v>104</v>
      </c>
      <c r="J715" s="83" t="str">
        <f t="shared" si="1"/>
        <v/>
      </c>
      <c r="K715" s="85">
        <f t="shared" si="2"/>
        <v>0</v>
      </c>
      <c r="L715" s="83" t="str">
        <f t="shared" si="3"/>
        <v/>
      </c>
      <c r="M715" s="83">
        <f>'OUT-26'!H50</f>
        <v>0</v>
      </c>
      <c r="N715" s="92" t="str">
        <f ca="1">IF(BD!$C715="","",IF(AND(TODAY()&gt;BD!$C715,OR(BD!$D715="PENDENTE",BD!$D715="")),"VENCIDO",""))</f>
        <v/>
      </c>
      <c r="O715" s="82" t="str">
        <f ca="1">IF(N715 = "VENCIDO",BD!$B715,"")</f>
        <v/>
      </c>
      <c r="P715" s="82" t="str">
        <f ca="1">IF(N715 = "VENCIDO",BD!$C715,"")</f>
        <v/>
      </c>
      <c r="Q715" s="83" t="str">
        <f ca="1">IF(N715 = "VENCIDO",BD!$E715,"")</f>
        <v/>
      </c>
      <c r="R715" s="83" t="str">
        <f ca="1">IF(N715 = "VENCIDO",BD!$F715,"")</f>
        <v/>
      </c>
      <c r="S715" s="85" t="str">
        <f ca="1">IF(N715 = "VENCIDO",BD!$G715,"")</f>
        <v/>
      </c>
      <c r="T715" s="83" t="str">
        <f ca="1">IF(AND(TODAY()&gt;BD!$C715, OR(BD!$D715="PENDENTE", BD!$D715="")), TODAY()-BD!$C715, "")</f>
        <v/>
      </c>
    </row>
    <row r="716" spans="1:20" ht="14.25" customHeight="1" x14ac:dyDescent="0.35">
      <c r="A716" s="32"/>
      <c r="B716" s="82">
        <f>'OUT-26'!A51</f>
        <v>0</v>
      </c>
      <c r="C716" s="82">
        <f>'OUT-26'!B51</f>
        <v>0</v>
      </c>
      <c r="D716" s="82">
        <f>'OUT-26'!C51</f>
        <v>0</v>
      </c>
      <c r="E716" s="83">
        <f>'OUT-26'!D51</f>
        <v>0</v>
      </c>
      <c r="F716" s="84">
        <f>'OUT-26'!E51</f>
        <v>0</v>
      </c>
      <c r="G716" s="85">
        <f>'OUT-26'!F51</f>
        <v>0</v>
      </c>
      <c r="H716" s="85">
        <f t="shared" si="0"/>
        <v>0</v>
      </c>
      <c r="I716" s="83" t="s">
        <v>104</v>
      </c>
      <c r="J716" s="83" t="str">
        <f t="shared" si="1"/>
        <v/>
      </c>
      <c r="K716" s="85">
        <f t="shared" si="2"/>
        <v>0</v>
      </c>
      <c r="L716" s="83" t="str">
        <f t="shared" si="3"/>
        <v/>
      </c>
      <c r="M716" s="83">
        <f>'OUT-26'!H51</f>
        <v>0</v>
      </c>
      <c r="N716" s="92" t="str">
        <f ca="1">IF(BD!$C716="","",IF(AND(TODAY()&gt;BD!$C716,OR(BD!$D716="PENDENTE",BD!$D716="")),"VENCIDO",""))</f>
        <v/>
      </c>
      <c r="O716" s="82" t="str">
        <f ca="1">IF(N716 = "VENCIDO",BD!$B716,"")</f>
        <v/>
      </c>
      <c r="P716" s="82" t="str">
        <f ca="1">IF(N716 = "VENCIDO",BD!$C716,"")</f>
        <v/>
      </c>
      <c r="Q716" s="83" t="str">
        <f ca="1">IF(N716 = "VENCIDO",BD!$E716,"")</f>
        <v/>
      </c>
      <c r="R716" s="83" t="str">
        <f ca="1">IF(N716 = "VENCIDO",BD!$F716,"")</f>
        <v/>
      </c>
      <c r="S716" s="85" t="str">
        <f ca="1">IF(N716 = "VENCIDO",BD!$G716,"")</f>
        <v/>
      </c>
      <c r="T716" s="83" t="str">
        <f ca="1">IF(AND(TODAY()&gt;BD!$C716, OR(BD!$D716="PENDENTE", BD!$D716="")), TODAY()-BD!$C716, "")</f>
        <v/>
      </c>
    </row>
    <row r="717" spans="1:20" ht="14.25" customHeight="1" x14ac:dyDescent="0.35">
      <c r="A717" s="32"/>
      <c r="B717" s="82">
        <f>'OUT-26'!A52</f>
        <v>0</v>
      </c>
      <c r="C717" s="82">
        <f>'OUT-26'!B52</f>
        <v>0</v>
      </c>
      <c r="D717" s="82">
        <f>'OUT-26'!C52</f>
        <v>0</v>
      </c>
      <c r="E717" s="83">
        <f>'OUT-26'!D52</f>
        <v>0</v>
      </c>
      <c r="F717" s="84">
        <f>'OUT-26'!E52</f>
        <v>0</v>
      </c>
      <c r="G717" s="85">
        <f>'OUT-26'!F52</f>
        <v>0</v>
      </c>
      <c r="H717" s="85">
        <f t="shared" si="0"/>
        <v>0</v>
      </c>
      <c r="I717" s="83" t="s">
        <v>104</v>
      </c>
      <c r="J717" s="83" t="str">
        <f t="shared" si="1"/>
        <v/>
      </c>
      <c r="K717" s="85">
        <f t="shared" si="2"/>
        <v>0</v>
      </c>
      <c r="L717" s="83" t="str">
        <f t="shared" si="3"/>
        <v/>
      </c>
      <c r="M717" s="83">
        <f>'OUT-26'!H52</f>
        <v>0</v>
      </c>
      <c r="N717" s="92" t="str">
        <f ca="1">IF(BD!$C717="","",IF(AND(TODAY()&gt;BD!$C717,OR(BD!$D717="PENDENTE",BD!$D717="")),"VENCIDO",""))</f>
        <v/>
      </c>
      <c r="O717" s="82" t="str">
        <f ca="1">IF(N717 = "VENCIDO",BD!$B717,"")</f>
        <v/>
      </c>
      <c r="P717" s="82" t="str">
        <f ca="1">IF(N717 = "VENCIDO",BD!$C717,"")</f>
        <v/>
      </c>
      <c r="Q717" s="83" t="str">
        <f ca="1">IF(N717 = "VENCIDO",BD!$E717,"")</f>
        <v/>
      </c>
      <c r="R717" s="83" t="str">
        <f ca="1">IF(N717 = "VENCIDO",BD!$F717,"")</f>
        <v/>
      </c>
      <c r="S717" s="85" t="str">
        <f ca="1">IF(N717 = "VENCIDO",BD!$G717,"")</f>
        <v/>
      </c>
      <c r="T717" s="83" t="str">
        <f ca="1">IF(AND(TODAY()&gt;BD!$C717, OR(BD!$D717="PENDENTE", BD!$D717="")), TODAY()-BD!$C717, "")</f>
        <v/>
      </c>
    </row>
    <row r="718" spans="1:20" ht="14.25" customHeight="1" x14ac:dyDescent="0.35">
      <c r="A718" s="32"/>
      <c r="B718" s="82">
        <f>'OUT-26'!A53</f>
        <v>0</v>
      </c>
      <c r="C718" s="82">
        <f>'OUT-26'!B53</f>
        <v>0</v>
      </c>
      <c r="D718" s="82">
        <f>'OUT-26'!C53</f>
        <v>0</v>
      </c>
      <c r="E718" s="83">
        <f>'OUT-26'!D53</f>
        <v>0</v>
      </c>
      <c r="F718" s="84">
        <f>'OUT-26'!E53</f>
        <v>0</v>
      </c>
      <c r="G718" s="85">
        <f>'OUT-26'!F53</f>
        <v>0</v>
      </c>
      <c r="H718" s="85">
        <f t="shared" si="0"/>
        <v>0</v>
      </c>
      <c r="I718" s="83" t="s">
        <v>104</v>
      </c>
      <c r="J718" s="83" t="str">
        <f t="shared" si="1"/>
        <v/>
      </c>
      <c r="K718" s="85">
        <f t="shared" si="2"/>
        <v>0</v>
      </c>
      <c r="L718" s="83" t="str">
        <f t="shared" si="3"/>
        <v/>
      </c>
      <c r="M718" s="83">
        <f>'OUT-26'!H53</f>
        <v>0</v>
      </c>
      <c r="N718" s="92" t="str">
        <f ca="1">IF(BD!$C718="","",IF(AND(TODAY()&gt;BD!$C718,OR(BD!$D718="PENDENTE",BD!$D718="")),"VENCIDO",""))</f>
        <v/>
      </c>
      <c r="O718" s="82" t="str">
        <f ca="1">IF(N718 = "VENCIDO",BD!$B718,"")</f>
        <v/>
      </c>
      <c r="P718" s="82" t="str">
        <f ca="1">IF(N718 = "VENCIDO",BD!$C718,"")</f>
        <v/>
      </c>
      <c r="Q718" s="83" t="str">
        <f ca="1">IF(N718 = "VENCIDO",BD!$E718,"")</f>
        <v/>
      </c>
      <c r="R718" s="83" t="str">
        <f ca="1">IF(N718 = "VENCIDO",BD!$F718,"")</f>
        <v/>
      </c>
      <c r="S718" s="85" t="str">
        <f ca="1">IF(N718 = "VENCIDO",BD!$G718,"")</f>
        <v/>
      </c>
      <c r="T718" s="83" t="str">
        <f ca="1">IF(AND(TODAY()&gt;BD!$C718, OR(BD!$D718="PENDENTE", BD!$D718="")), TODAY()-BD!$C718, "")</f>
        <v/>
      </c>
    </row>
    <row r="719" spans="1:20" ht="14.25" customHeight="1" x14ac:dyDescent="0.35">
      <c r="A719" s="32"/>
      <c r="B719" s="82">
        <f>'OUT-26'!A54</f>
        <v>0</v>
      </c>
      <c r="C719" s="82">
        <f>'OUT-26'!B54</f>
        <v>0</v>
      </c>
      <c r="D719" s="82">
        <f>'OUT-26'!C54</f>
        <v>0</v>
      </c>
      <c r="E719" s="83">
        <f>'OUT-26'!D54</f>
        <v>0</v>
      </c>
      <c r="F719" s="84">
        <f>'OUT-26'!E54</f>
        <v>0</v>
      </c>
      <c r="G719" s="85">
        <f>'OUT-26'!F54</f>
        <v>0</v>
      </c>
      <c r="H719" s="85">
        <f t="shared" si="0"/>
        <v>0</v>
      </c>
      <c r="I719" s="83" t="s">
        <v>104</v>
      </c>
      <c r="J719" s="83" t="str">
        <f t="shared" si="1"/>
        <v/>
      </c>
      <c r="K719" s="85">
        <f t="shared" si="2"/>
        <v>0</v>
      </c>
      <c r="L719" s="83" t="str">
        <f t="shared" si="3"/>
        <v/>
      </c>
      <c r="M719" s="83">
        <f>'OUT-26'!H54</f>
        <v>0</v>
      </c>
      <c r="N719" s="92" t="str">
        <f ca="1">IF(BD!$C719="","",IF(AND(TODAY()&gt;BD!$C719,OR(BD!$D719="PENDENTE",BD!$D719="")),"VENCIDO",""))</f>
        <v/>
      </c>
      <c r="O719" s="82" t="str">
        <f ca="1">IF(N719 = "VENCIDO",BD!$B719,"")</f>
        <v/>
      </c>
      <c r="P719" s="82" t="str">
        <f ca="1">IF(N719 = "VENCIDO",BD!$C719,"")</f>
        <v/>
      </c>
      <c r="Q719" s="83" t="str">
        <f ca="1">IF(N719 = "VENCIDO",BD!$E719,"")</f>
        <v/>
      </c>
      <c r="R719" s="83" t="str">
        <f ca="1">IF(N719 = "VENCIDO",BD!$F719,"")</f>
        <v/>
      </c>
      <c r="S719" s="85" t="str">
        <f ca="1">IF(N719 = "VENCIDO",BD!$G719,"")</f>
        <v/>
      </c>
      <c r="T719" s="83" t="str">
        <f ca="1">IF(AND(TODAY()&gt;BD!$C719, OR(BD!$D719="PENDENTE", BD!$D719="")), TODAY()-BD!$C719, "")</f>
        <v/>
      </c>
    </row>
    <row r="720" spans="1:20" ht="14.25" customHeight="1" x14ac:dyDescent="0.35">
      <c r="A720" s="32"/>
      <c r="B720" s="82">
        <f>'OUT-26'!A55</f>
        <v>0</v>
      </c>
      <c r="C720" s="82">
        <f>'OUT-26'!B55</f>
        <v>0</v>
      </c>
      <c r="D720" s="82">
        <f>'OUT-26'!C55</f>
        <v>0</v>
      </c>
      <c r="E720" s="83">
        <f>'OUT-26'!D55</f>
        <v>0</v>
      </c>
      <c r="F720" s="84">
        <f>'OUT-26'!E55</f>
        <v>0</v>
      </c>
      <c r="G720" s="85">
        <f>'OUT-26'!F55</f>
        <v>0</v>
      </c>
      <c r="H720" s="85">
        <f t="shared" si="0"/>
        <v>0</v>
      </c>
      <c r="I720" s="83" t="s">
        <v>104</v>
      </c>
      <c r="J720" s="83" t="str">
        <f t="shared" si="1"/>
        <v/>
      </c>
      <c r="K720" s="85">
        <f t="shared" si="2"/>
        <v>0</v>
      </c>
      <c r="L720" s="83" t="str">
        <f t="shared" si="3"/>
        <v/>
      </c>
      <c r="M720" s="83">
        <f>'OUT-26'!H55</f>
        <v>0</v>
      </c>
      <c r="N720" s="92" t="str">
        <f ca="1">IF(BD!$C720="","",IF(AND(TODAY()&gt;BD!$C720,OR(BD!$D720="PENDENTE",BD!$D720="")),"VENCIDO",""))</f>
        <v/>
      </c>
      <c r="O720" s="82" t="str">
        <f ca="1">IF(N720 = "VENCIDO",BD!$B720,"")</f>
        <v/>
      </c>
      <c r="P720" s="82" t="str">
        <f ca="1">IF(N720 = "VENCIDO",BD!$C720,"")</f>
        <v/>
      </c>
      <c r="Q720" s="83" t="str">
        <f ca="1">IF(N720 = "VENCIDO",BD!$E720,"")</f>
        <v/>
      </c>
      <c r="R720" s="83" t="str">
        <f ca="1">IF(N720 = "VENCIDO",BD!$F720,"")</f>
        <v/>
      </c>
      <c r="S720" s="85" t="str">
        <f ca="1">IF(N720 = "VENCIDO",BD!$G720,"")</f>
        <v/>
      </c>
      <c r="T720" s="83" t="str">
        <f ca="1">IF(AND(TODAY()&gt;BD!$C720, OR(BD!$D720="PENDENTE", BD!$D720="")), TODAY()-BD!$C720, "")</f>
        <v/>
      </c>
    </row>
    <row r="721" spans="1:20" ht="14.25" customHeight="1" x14ac:dyDescent="0.35">
      <c r="A721" s="32"/>
      <c r="B721" s="82">
        <f>'OUT-26'!A56</f>
        <v>0</v>
      </c>
      <c r="C721" s="82">
        <f>'OUT-26'!B56</f>
        <v>0</v>
      </c>
      <c r="D721" s="82">
        <f>'OUT-26'!C56</f>
        <v>0</v>
      </c>
      <c r="E721" s="83">
        <f>'OUT-26'!D56</f>
        <v>0</v>
      </c>
      <c r="F721" s="84">
        <f>'OUT-26'!E56</f>
        <v>0</v>
      </c>
      <c r="G721" s="85">
        <f>'OUT-26'!F56</f>
        <v>0</v>
      </c>
      <c r="H721" s="85">
        <f t="shared" si="0"/>
        <v>0</v>
      </c>
      <c r="I721" s="83" t="s">
        <v>104</v>
      </c>
      <c r="J721" s="83" t="str">
        <f t="shared" si="1"/>
        <v/>
      </c>
      <c r="K721" s="85">
        <f t="shared" si="2"/>
        <v>0</v>
      </c>
      <c r="L721" s="83" t="str">
        <f t="shared" si="3"/>
        <v/>
      </c>
      <c r="M721" s="83">
        <f>'OUT-26'!H56</f>
        <v>0</v>
      </c>
      <c r="N721" s="92" t="str">
        <f ca="1">IF(BD!$C721="","",IF(AND(TODAY()&gt;BD!$C721,OR(BD!$D721="PENDENTE",BD!$D721="")),"VENCIDO",""))</f>
        <v/>
      </c>
      <c r="O721" s="82" t="str">
        <f ca="1">IF(N721 = "VENCIDO",BD!$B721,"")</f>
        <v/>
      </c>
      <c r="P721" s="82" t="str">
        <f ca="1">IF(N721 = "VENCIDO",BD!$C721,"")</f>
        <v/>
      </c>
      <c r="Q721" s="83" t="str">
        <f ca="1">IF(N721 = "VENCIDO",BD!$E721,"")</f>
        <v/>
      </c>
      <c r="R721" s="83" t="str">
        <f ca="1">IF(N721 = "VENCIDO",BD!$F721,"")</f>
        <v/>
      </c>
      <c r="S721" s="85" t="str">
        <f ca="1">IF(N721 = "VENCIDO",BD!$G721,"")</f>
        <v/>
      </c>
      <c r="T721" s="83" t="str">
        <f ca="1">IF(AND(TODAY()&gt;BD!$C721, OR(BD!$D721="PENDENTE", BD!$D721="")), TODAY()-BD!$C721, "")</f>
        <v/>
      </c>
    </row>
    <row r="722" spans="1:20" ht="14.25" customHeight="1" x14ac:dyDescent="0.35">
      <c r="A722" s="32"/>
      <c r="B722" s="82">
        <f>'OUT-26'!A57</f>
        <v>0</v>
      </c>
      <c r="C722" s="82">
        <f>'OUT-26'!B57</f>
        <v>0</v>
      </c>
      <c r="D722" s="82">
        <f>'OUT-26'!C57</f>
        <v>0</v>
      </c>
      <c r="E722" s="83">
        <f>'OUT-26'!D57</f>
        <v>0</v>
      </c>
      <c r="F722" s="84">
        <f>'OUT-26'!E57</f>
        <v>0</v>
      </c>
      <c r="G722" s="85">
        <f>'OUT-26'!F57</f>
        <v>0</v>
      </c>
      <c r="H722" s="85">
        <f t="shared" si="0"/>
        <v>0</v>
      </c>
      <c r="I722" s="83" t="s">
        <v>104</v>
      </c>
      <c r="J722" s="83" t="str">
        <f t="shared" si="1"/>
        <v/>
      </c>
      <c r="K722" s="85">
        <f t="shared" si="2"/>
        <v>0</v>
      </c>
      <c r="L722" s="83" t="str">
        <f t="shared" si="3"/>
        <v/>
      </c>
      <c r="M722" s="83">
        <f>'OUT-26'!H57</f>
        <v>0</v>
      </c>
      <c r="N722" s="92" t="str">
        <f ca="1">IF(BD!$C722="","",IF(AND(TODAY()&gt;BD!$C722,OR(BD!$D722="PENDENTE",BD!$D722="")),"VENCIDO",""))</f>
        <v/>
      </c>
      <c r="O722" s="82" t="str">
        <f ca="1">IF(N722 = "VENCIDO",BD!$B722,"")</f>
        <v/>
      </c>
      <c r="P722" s="82" t="str">
        <f ca="1">IF(N722 = "VENCIDO",BD!$C722,"")</f>
        <v/>
      </c>
      <c r="Q722" s="83" t="str">
        <f ca="1">IF(N722 = "VENCIDO",BD!$E722,"")</f>
        <v/>
      </c>
      <c r="R722" s="83" t="str">
        <f ca="1">IF(N722 = "VENCIDO",BD!$F722,"")</f>
        <v/>
      </c>
      <c r="S722" s="85" t="str">
        <f ca="1">IF(N722 = "VENCIDO",BD!$G722,"")</f>
        <v/>
      </c>
      <c r="T722" s="83" t="str">
        <f ca="1">IF(AND(TODAY()&gt;BD!$C722, OR(BD!$D722="PENDENTE", BD!$D722="")), TODAY()-BD!$C722, "")</f>
        <v/>
      </c>
    </row>
    <row r="723" spans="1:20" ht="14.25" customHeight="1" x14ac:dyDescent="0.35">
      <c r="A723" s="32"/>
      <c r="B723" s="82">
        <f>'OUT-26'!A58</f>
        <v>0</v>
      </c>
      <c r="C723" s="82">
        <f>'OUT-26'!B58</f>
        <v>0</v>
      </c>
      <c r="D723" s="82">
        <f>'OUT-26'!C58</f>
        <v>0</v>
      </c>
      <c r="E723" s="83">
        <f>'OUT-26'!D58</f>
        <v>0</v>
      </c>
      <c r="F723" s="84">
        <f>'OUT-26'!E58</f>
        <v>0</v>
      </c>
      <c r="G723" s="85">
        <f>'OUT-26'!F58</f>
        <v>0</v>
      </c>
      <c r="H723" s="85">
        <f t="shared" si="0"/>
        <v>0</v>
      </c>
      <c r="I723" s="83" t="s">
        <v>104</v>
      </c>
      <c r="J723" s="83" t="str">
        <f t="shared" si="1"/>
        <v/>
      </c>
      <c r="K723" s="85">
        <f t="shared" si="2"/>
        <v>0</v>
      </c>
      <c r="L723" s="83" t="str">
        <f t="shared" si="3"/>
        <v/>
      </c>
      <c r="M723" s="83">
        <f>'OUT-26'!H58</f>
        <v>0</v>
      </c>
      <c r="N723" s="92" t="str">
        <f ca="1">IF(BD!$C723="","",IF(AND(TODAY()&gt;BD!$C723,OR(BD!$D723="PENDENTE",BD!$D723="")),"VENCIDO",""))</f>
        <v/>
      </c>
      <c r="O723" s="82" t="str">
        <f ca="1">IF(N723 = "VENCIDO",BD!$B723,"")</f>
        <v/>
      </c>
      <c r="P723" s="82" t="str">
        <f ca="1">IF(N723 = "VENCIDO",BD!$C723,"")</f>
        <v/>
      </c>
      <c r="Q723" s="83" t="str">
        <f ca="1">IF(N723 = "VENCIDO",BD!$E723,"")</f>
        <v/>
      </c>
      <c r="R723" s="83" t="str">
        <f ca="1">IF(N723 = "VENCIDO",BD!$F723,"")</f>
        <v/>
      </c>
      <c r="S723" s="85" t="str">
        <f ca="1">IF(N723 = "VENCIDO",BD!$G723,"")</f>
        <v/>
      </c>
      <c r="T723" s="83" t="str">
        <f ca="1">IF(AND(TODAY()&gt;BD!$C723, OR(BD!$D723="PENDENTE", BD!$D723="")), TODAY()-BD!$C723, "")</f>
        <v/>
      </c>
    </row>
    <row r="724" spans="1:20" ht="14.25" customHeight="1" x14ac:dyDescent="0.35">
      <c r="A724" s="32"/>
      <c r="B724" s="82">
        <f>'OUT-26'!A59</f>
        <v>0</v>
      </c>
      <c r="C724" s="82">
        <f>'OUT-26'!B59</f>
        <v>0</v>
      </c>
      <c r="D724" s="82">
        <f>'OUT-26'!C59</f>
        <v>0</v>
      </c>
      <c r="E724" s="83">
        <f>'OUT-26'!D59</f>
        <v>0</v>
      </c>
      <c r="F724" s="84">
        <f>'OUT-26'!E59</f>
        <v>0</v>
      </c>
      <c r="G724" s="85">
        <f>'OUT-26'!F59</f>
        <v>0</v>
      </c>
      <c r="H724" s="85">
        <f t="shared" si="0"/>
        <v>0</v>
      </c>
      <c r="I724" s="83" t="s">
        <v>104</v>
      </c>
      <c r="J724" s="83" t="str">
        <f t="shared" si="1"/>
        <v/>
      </c>
      <c r="K724" s="85">
        <f t="shared" si="2"/>
        <v>0</v>
      </c>
      <c r="L724" s="83" t="str">
        <f t="shared" si="3"/>
        <v/>
      </c>
      <c r="M724" s="83">
        <f>'OUT-26'!H59</f>
        <v>0</v>
      </c>
      <c r="N724" s="92" t="str">
        <f ca="1">IF(BD!$C724="","",IF(AND(TODAY()&gt;BD!$C724,OR(BD!$D724="PENDENTE",BD!$D724="")),"VENCIDO",""))</f>
        <v/>
      </c>
      <c r="O724" s="82" t="str">
        <f ca="1">IF(N724 = "VENCIDO",BD!$B724,"")</f>
        <v/>
      </c>
      <c r="P724" s="82" t="str">
        <f ca="1">IF(N724 = "VENCIDO",BD!$C724,"")</f>
        <v/>
      </c>
      <c r="Q724" s="83" t="str">
        <f ca="1">IF(N724 = "VENCIDO",BD!$E724,"")</f>
        <v/>
      </c>
      <c r="R724" s="83" t="str">
        <f ca="1">IF(N724 = "VENCIDO",BD!$F724,"")</f>
        <v/>
      </c>
      <c r="S724" s="85" t="str">
        <f ca="1">IF(N724 = "VENCIDO",BD!$G724,"")</f>
        <v/>
      </c>
      <c r="T724" s="83" t="str">
        <f ca="1">IF(AND(TODAY()&gt;BD!$C724, OR(BD!$D724="PENDENTE", BD!$D724="")), TODAY()-BD!$C724, "")</f>
        <v/>
      </c>
    </row>
    <row r="725" spans="1:20" ht="14.25" customHeight="1" x14ac:dyDescent="0.35">
      <c r="A725" s="32"/>
      <c r="B725" s="82">
        <f>'OUT-26'!A60</f>
        <v>0</v>
      </c>
      <c r="C725" s="82">
        <f>'OUT-26'!B60</f>
        <v>0</v>
      </c>
      <c r="D725" s="82">
        <f>'OUT-26'!C60</f>
        <v>0</v>
      </c>
      <c r="E725" s="83">
        <f>'OUT-26'!D60</f>
        <v>0</v>
      </c>
      <c r="F725" s="84">
        <f>'OUT-26'!E60</f>
        <v>0</v>
      </c>
      <c r="G725" s="85">
        <f>'OUT-26'!F60</f>
        <v>0</v>
      </c>
      <c r="H725" s="85">
        <f t="shared" si="0"/>
        <v>0</v>
      </c>
      <c r="I725" s="83" t="s">
        <v>104</v>
      </c>
      <c r="J725" s="83" t="str">
        <f t="shared" si="1"/>
        <v/>
      </c>
      <c r="K725" s="85">
        <f t="shared" si="2"/>
        <v>0</v>
      </c>
      <c r="L725" s="83" t="str">
        <f t="shared" si="3"/>
        <v/>
      </c>
      <c r="M725" s="83">
        <f>'OUT-26'!H60</f>
        <v>0</v>
      </c>
      <c r="N725" s="92" t="str">
        <f ca="1">IF(BD!$C725="","",IF(AND(TODAY()&gt;BD!$C725,OR(BD!$D725="PENDENTE",BD!$D725="")),"VENCIDO",""))</f>
        <v/>
      </c>
      <c r="O725" s="82" t="str">
        <f ca="1">IF(N725 = "VENCIDO",BD!$B725,"")</f>
        <v/>
      </c>
      <c r="P725" s="82" t="str">
        <f ca="1">IF(N725 = "VENCIDO",BD!$C725,"")</f>
        <v/>
      </c>
      <c r="Q725" s="83" t="str">
        <f ca="1">IF(N725 = "VENCIDO",BD!$E725,"")</f>
        <v/>
      </c>
      <c r="R725" s="83" t="str">
        <f ca="1">IF(N725 = "VENCIDO",BD!$F725,"")</f>
        <v/>
      </c>
      <c r="S725" s="85" t="str">
        <f ca="1">IF(N725 = "VENCIDO",BD!$G725,"")</f>
        <v/>
      </c>
      <c r="T725" s="83" t="str">
        <f ca="1">IF(AND(TODAY()&gt;BD!$C725, OR(BD!$D725="PENDENTE", BD!$D725="")), TODAY()-BD!$C725, "")</f>
        <v/>
      </c>
    </row>
    <row r="726" spans="1:20" ht="14.25" customHeight="1" x14ac:dyDescent="0.35">
      <c r="A726" s="32"/>
      <c r="B726" s="82">
        <f>'OUT-26'!A61</f>
        <v>0</v>
      </c>
      <c r="C726" s="82">
        <f>'OUT-26'!B61</f>
        <v>0</v>
      </c>
      <c r="D726" s="82">
        <f>'OUT-26'!C61</f>
        <v>0</v>
      </c>
      <c r="E726" s="83">
        <f>'OUT-26'!D61</f>
        <v>0</v>
      </c>
      <c r="F726" s="84">
        <f>'OUT-26'!E61</f>
        <v>0</v>
      </c>
      <c r="G726" s="85">
        <f>'OUT-26'!F61</f>
        <v>0</v>
      </c>
      <c r="H726" s="85">
        <f t="shared" si="0"/>
        <v>0</v>
      </c>
      <c r="I726" s="83" t="s">
        <v>104</v>
      </c>
      <c r="J726" s="83" t="str">
        <f t="shared" si="1"/>
        <v/>
      </c>
      <c r="K726" s="85">
        <f t="shared" si="2"/>
        <v>0</v>
      </c>
      <c r="L726" s="83" t="str">
        <f t="shared" si="3"/>
        <v/>
      </c>
      <c r="M726" s="83">
        <f>'OUT-26'!H61</f>
        <v>0</v>
      </c>
      <c r="N726" s="92" t="str">
        <f ca="1">IF(BD!$C726="","",IF(AND(TODAY()&gt;BD!$C726,OR(BD!$D726="PENDENTE",BD!$D726="")),"VENCIDO",""))</f>
        <v/>
      </c>
      <c r="O726" s="82" t="str">
        <f ca="1">IF(N726 = "VENCIDO",BD!$B726,"")</f>
        <v/>
      </c>
      <c r="P726" s="82" t="str">
        <f ca="1">IF(N726 = "VENCIDO",BD!$C726,"")</f>
        <v/>
      </c>
      <c r="Q726" s="83" t="str">
        <f ca="1">IF(N726 = "VENCIDO",BD!$E726,"")</f>
        <v/>
      </c>
      <c r="R726" s="83" t="str">
        <f ca="1">IF(N726 = "VENCIDO",BD!$F726,"")</f>
        <v/>
      </c>
      <c r="S726" s="85" t="str">
        <f ca="1">IF(N726 = "VENCIDO",BD!$G726,"")</f>
        <v/>
      </c>
      <c r="T726" s="83" t="str">
        <f ca="1">IF(AND(TODAY()&gt;BD!$C726, OR(BD!$D726="PENDENTE", BD!$D726="")), TODAY()-BD!$C726, "")</f>
        <v/>
      </c>
    </row>
    <row r="727" spans="1:20" ht="14.25" customHeight="1" x14ac:dyDescent="0.35">
      <c r="A727" s="32"/>
      <c r="B727" s="82">
        <f>'OUT-26'!A62</f>
        <v>0</v>
      </c>
      <c r="C727" s="82">
        <f>'OUT-26'!B62</f>
        <v>0</v>
      </c>
      <c r="D727" s="82">
        <f>'OUT-26'!C62</f>
        <v>0</v>
      </c>
      <c r="E727" s="83">
        <f>'OUT-26'!D62</f>
        <v>0</v>
      </c>
      <c r="F727" s="84">
        <f>'OUT-26'!E62</f>
        <v>0</v>
      </c>
      <c r="G727" s="85">
        <f>'OUT-26'!F62</f>
        <v>0</v>
      </c>
      <c r="H727" s="85">
        <f t="shared" si="0"/>
        <v>0</v>
      </c>
      <c r="I727" s="83" t="s">
        <v>104</v>
      </c>
      <c r="J727" s="83" t="str">
        <f t="shared" si="1"/>
        <v/>
      </c>
      <c r="K727" s="85">
        <f t="shared" si="2"/>
        <v>0</v>
      </c>
      <c r="L727" s="83" t="str">
        <f t="shared" si="3"/>
        <v/>
      </c>
      <c r="M727" s="83">
        <f>'OUT-26'!H62</f>
        <v>0</v>
      </c>
      <c r="N727" s="92" t="str">
        <f ca="1">IF(BD!$C727="","",IF(AND(TODAY()&gt;BD!$C727,OR(BD!$D727="PENDENTE",BD!$D727="")),"VENCIDO",""))</f>
        <v/>
      </c>
      <c r="O727" s="82" t="str">
        <f ca="1">IF(N727 = "VENCIDO",BD!$B727,"")</f>
        <v/>
      </c>
      <c r="P727" s="82" t="str">
        <f ca="1">IF(N727 = "VENCIDO",BD!$C727,"")</f>
        <v/>
      </c>
      <c r="Q727" s="83" t="str">
        <f ca="1">IF(N727 = "VENCIDO",BD!$E727,"")</f>
        <v/>
      </c>
      <c r="R727" s="83" t="str">
        <f ca="1">IF(N727 = "VENCIDO",BD!$F727,"")</f>
        <v/>
      </c>
      <c r="S727" s="85" t="str">
        <f ca="1">IF(N727 = "VENCIDO",BD!$G727,"")</f>
        <v/>
      </c>
      <c r="T727" s="83" t="str">
        <f ca="1">IF(AND(TODAY()&gt;BD!$C727, OR(BD!$D727="PENDENTE", BD!$D727="")), TODAY()-BD!$C727, "")</f>
        <v/>
      </c>
    </row>
    <row r="728" spans="1:20" ht="14.25" customHeight="1" x14ac:dyDescent="0.35">
      <c r="A728" s="32"/>
      <c r="B728" s="82">
        <f>'OUT-26'!A63</f>
        <v>0</v>
      </c>
      <c r="C728" s="82">
        <f>'OUT-26'!B63</f>
        <v>0</v>
      </c>
      <c r="D728" s="82">
        <f>'OUT-26'!C63</f>
        <v>0</v>
      </c>
      <c r="E728" s="83">
        <f>'OUT-26'!D63</f>
        <v>0</v>
      </c>
      <c r="F728" s="84">
        <f>'OUT-26'!E63</f>
        <v>0</v>
      </c>
      <c r="G728" s="85">
        <f>'OUT-26'!F63</f>
        <v>0</v>
      </c>
      <c r="H728" s="85">
        <f t="shared" si="0"/>
        <v>0</v>
      </c>
      <c r="I728" s="83" t="s">
        <v>104</v>
      </c>
      <c r="J728" s="83" t="str">
        <f t="shared" si="1"/>
        <v/>
      </c>
      <c r="K728" s="85">
        <f t="shared" si="2"/>
        <v>0</v>
      </c>
      <c r="L728" s="83" t="str">
        <f t="shared" si="3"/>
        <v/>
      </c>
      <c r="M728" s="83">
        <f>'OUT-26'!H63</f>
        <v>0</v>
      </c>
      <c r="N728" s="92" t="str">
        <f ca="1">IF(BD!$C728="","",IF(AND(TODAY()&gt;BD!$C728,OR(BD!$D728="PENDENTE",BD!$D728="")),"VENCIDO",""))</f>
        <v/>
      </c>
      <c r="O728" s="82" t="str">
        <f ca="1">IF(N728 = "VENCIDO",BD!$B728,"")</f>
        <v/>
      </c>
      <c r="P728" s="82" t="str">
        <f ca="1">IF(N728 = "VENCIDO",BD!$C728,"")</f>
        <v/>
      </c>
      <c r="Q728" s="83" t="str">
        <f ca="1">IF(N728 = "VENCIDO",BD!$E728,"")</f>
        <v/>
      </c>
      <c r="R728" s="83" t="str">
        <f ca="1">IF(N728 = "VENCIDO",BD!$F728,"")</f>
        <v/>
      </c>
      <c r="S728" s="85" t="str">
        <f ca="1">IF(N728 = "VENCIDO",BD!$G728,"")</f>
        <v/>
      </c>
      <c r="T728" s="83" t="str">
        <f ca="1">IF(AND(TODAY()&gt;BD!$C728, OR(BD!$D728="PENDENTE", BD!$D728="")), TODAY()-BD!$C728, "")</f>
        <v/>
      </c>
    </row>
    <row r="729" spans="1:20" ht="14.25" customHeight="1" x14ac:dyDescent="0.35">
      <c r="A729" s="32"/>
      <c r="B729" s="82">
        <f>'OUT-26'!A64</f>
        <v>0</v>
      </c>
      <c r="C729" s="82">
        <f>'OUT-26'!B64</f>
        <v>0</v>
      </c>
      <c r="D729" s="82">
        <f>'OUT-26'!C64</f>
        <v>0</v>
      </c>
      <c r="E729" s="83">
        <f>'OUT-26'!D64</f>
        <v>0</v>
      </c>
      <c r="F729" s="84">
        <f>'OUT-26'!E64</f>
        <v>0</v>
      </c>
      <c r="G729" s="85">
        <f>'OUT-26'!F64</f>
        <v>0</v>
      </c>
      <c r="H729" s="85">
        <f t="shared" si="0"/>
        <v>0</v>
      </c>
      <c r="I729" s="83" t="s">
        <v>104</v>
      </c>
      <c r="J729" s="83" t="str">
        <f t="shared" si="1"/>
        <v/>
      </c>
      <c r="K729" s="85">
        <f t="shared" si="2"/>
        <v>0</v>
      </c>
      <c r="L729" s="83" t="str">
        <f t="shared" si="3"/>
        <v/>
      </c>
      <c r="M729" s="83">
        <f>'OUT-26'!H64</f>
        <v>0</v>
      </c>
      <c r="N729" s="92" t="str">
        <f ca="1">IF(BD!$C729="","",IF(AND(TODAY()&gt;BD!$C729,OR(BD!$D729="PENDENTE",BD!$D729="")),"VENCIDO",""))</f>
        <v/>
      </c>
      <c r="O729" s="82" t="str">
        <f ca="1">IF(N729 = "VENCIDO",BD!$B729,"")</f>
        <v/>
      </c>
      <c r="P729" s="82" t="str">
        <f ca="1">IF(N729 = "VENCIDO",BD!$C729,"")</f>
        <v/>
      </c>
      <c r="Q729" s="83" t="str">
        <f ca="1">IF(N729 = "VENCIDO",BD!$E729,"")</f>
        <v/>
      </c>
      <c r="R729" s="83" t="str">
        <f ca="1">IF(N729 = "VENCIDO",BD!$F729,"")</f>
        <v/>
      </c>
      <c r="S729" s="85" t="str">
        <f ca="1">IF(N729 = "VENCIDO",BD!$G729,"")</f>
        <v/>
      </c>
      <c r="T729" s="83" t="str">
        <f ca="1">IF(AND(TODAY()&gt;BD!$C729, OR(BD!$D729="PENDENTE", BD!$D729="")), TODAY()-BD!$C729, "")</f>
        <v/>
      </c>
    </row>
    <row r="730" spans="1:20" ht="14.25" customHeight="1" x14ac:dyDescent="0.35">
      <c r="A730" s="32"/>
      <c r="B730" s="82">
        <f>'OUT-26'!A65</f>
        <v>0</v>
      </c>
      <c r="C730" s="82">
        <f>'OUT-26'!B65</f>
        <v>0</v>
      </c>
      <c r="D730" s="82">
        <f>'OUT-26'!C65</f>
        <v>0</v>
      </c>
      <c r="E730" s="83">
        <f>'OUT-26'!D65</f>
        <v>0</v>
      </c>
      <c r="F730" s="84">
        <f>'OUT-26'!E65</f>
        <v>0</v>
      </c>
      <c r="G730" s="85">
        <f>'OUT-26'!F65</f>
        <v>0</v>
      </c>
      <c r="H730" s="85">
        <f t="shared" si="0"/>
        <v>0</v>
      </c>
      <c r="I730" s="83" t="s">
        <v>104</v>
      </c>
      <c r="J730" s="83" t="str">
        <f t="shared" si="1"/>
        <v/>
      </c>
      <c r="K730" s="85">
        <f t="shared" si="2"/>
        <v>0</v>
      </c>
      <c r="L730" s="83" t="str">
        <f t="shared" si="3"/>
        <v/>
      </c>
      <c r="M730" s="83">
        <f>'OUT-26'!H65</f>
        <v>0</v>
      </c>
      <c r="N730" s="92" t="str">
        <f ca="1">IF(BD!$C730="","",IF(AND(TODAY()&gt;BD!$C730,OR(BD!$D730="PENDENTE",BD!$D730="")),"VENCIDO",""))</f>
        <v/>
      </c>
      <c r="O730" s="82" t="str">
        <f ca="1">IF(N730 = "VENCIDO",BD!$B730,"")</f>
        <v/>
      </c>
      <c r="P730" s="82" t="str">
        <f ca="1">IF(N730 = "VENCIDO",BD!$C730,"")</f>
        <v/>
      </c>
      <c r="Q730" s="83" t="str">
        <f ca="1">IF(N730 = "VENCIDO",BD!$E730,"")</f>
        <v/>
      </c>
      <c r="R730" s="83" t="str">
        <f ca="1">IF(N730 = "VENCIDO",BD!$F730,"")</f>
        <v/>
      </c>
      <c r="S730" s="85" t="str">
        <f ca="1">IF(N730 = "VENCIDO",BD!$G730,"")</f>
        <v/>
      </c>
      <c r="T730" s="83" t="str">
        <f ca="1">IF(AND(TODAY()&gt;BD!$C730, OR(BD!$D730="PENDENTE", BD!$D730="")), TODAY()-BD!$C730, "")</f>
        <v/>
      </c>
    </row>
    <row r="731" spans="1:20" ht="14.25" customHeight="1" x14ac:dyDescent="0.35">
      <c r="A731" s="32"/>
      <c r="B731" s="82">
        <f>'OUT-26'!A66</f>
        <v>0</v>
      </c>
      <c r="C731" s="82">
        <f>'OUT-26'!B66</f>
        <v>0</v>
      </c>
      <c r="D731" s="82">
        <f>'OUT-26'!C66</f>
        <v>0</v>
      </c>
      <c r="E731" s="83">
        <f>'OUT-26'!D66</f>
        <v>0</v>
      </c>
      <c r="F731" s="84">
        <f>'OUT-26'!E66</f>
        <v>0</v>
      </c>
      <c r="G731" s="85">
        <f>'OUT-26'!F66</f>
        <v>0</v>
      </c>
      <c r="H731" s="85">
        <f t="shared" si="0"/>
        <v>0</v>
      </c>
      <c r="I731" s="83" t="s">
        <v>104</v>
      </c>
      <c r="J731" s="83" t="str">
        <f t="shared" si="1"/>
        <v/>
      </c>
      <c r="K731" s="85">
        <f t="shared" si="2"/>
        <v>0</v>
      </c>
      <c r="L731" s="83" t="str">
        <f t="shared" si="3"/>
        <v/>
      </c>
      <c r="M731" s="83">
        <f>'OUT-26'!H66</f>
        <v>0</v>
      </c>
      <c r="N731" s="92" t="str">
        <f ca="1">IF(BD!$C731="","",IF(AND(TODAY()&gt;BD!$C731,OR(BD!$D731="PENDENTE",BD!$D731="")),"VENCIDO",""))</f>
        <v/>
      </c>
      <c r="O731" s="82" t="str">
        <f ca="1">IF(N731 = "VENCIDO",BD!$B731,"")</f>
        <v/>
      </c>
      <c r="P731" s="82" t="str">
        <f ca="1">IF(N731 = "VENCIDO",BD!$C731,"")</f>
        <v/>
      </c>
      <c r="Q731" s="83" t="str">
        <f ca="1">IF(N731 = "VENCIDO",BD!$E731,"")</f>
        <v/>
      </c>
      <c r="R731" s="83" t="str">
        <f ca="1">IF(N731 = "VENCIDO",BD!$F731,"")</f>
        <v/>
      </c>
      <c r="S731" s="85" t="str">
        <f ca="1">IF(N731 = "VENCIDO",BD!$G731,"")</f>
        <v/>
      </c>
      <c r="T731" s="83" t="str">
        <f ca="1">IF(AND(TODAY()&gt;BD!$C731, OR(BD!$D731="PENDENTE", BD!$D731="")), TODAY()-BD!$C731, "")</f>
        <v/>
      </c>
    </row>
    <row r="732" spans="1:20" ht="14.25" customHeight="1" x14ac:dyDescent="0.35">
      <c r="A732" s="32"/>
      <c r="B732" s="82">
        <f>'OUT-26'!A67</f>
        <v>0</v>
      </c>
      <c r="C732" s="82">
        <f>'OUT-26'!B67</f>
        <v>0</v>
      </c>
      <c r="D732" s="82">
        <f>'OUT-26'!C67</f>
        <v>0</v>
      </c>
      <c r="E732" s="83">
        <f>'OUT-26'!D67</f>
        <v>0</v>
      </c>
      <c r="F732" s="84">
        <f>'OUT-26'!E67</f>
        <v>0</v>
      </c>
      <c r="G732" s="85">
        <f>'OUT-26'!F67</f>
        <v>0</v>
      </c>
      <c r="H732" s="85">
        <f t="shared" si="0"/>
        <v>0</v>
      </c>
      <c r="I732" s="83" t="s">
        <v>104</v>
      </c>
      <c r="J732" s="83" t="str">
        <f t="shared" si="1"/>
        <v/>
      </c>
      <c r="K732" s="85">
        <f t="shared" si="2"/>
        <v>0</v>
      </c>
      <c r="L732" s="83" t="str">
        <f t="shared" si="3"/>
        <v/>
      </c>
      <c r="M732" s="83">
        <f>'OUT-26'!H67</f>
        <v>0</v>
      </c>
      <c r="N732" s="92" t="str">
        <f ca="1">IF(BD!$C732="","",IF(AND(TODAY()&gt;BD!$C732,OR(BD!$D732="PENDENTE",BD!$D732="")),"VENCIDO",""))</f>
        <v/>
      </c>
      <c r="O732" s="82" t="str">
        <f ca="1">IF(N732 = "VENCIDO",BD!$B732,"")</f>
        <v/>
      </c>
      <c r="P732" s="82" t="str">
        <f ca="1">IF(N732 = "VENCIDO",BD!$C732,"")</f>
        <v/>
      </c>
      <c r="Q732" s="83" t="str">
        <f ca="1">IF(N732 = "VENCIDO",BD!$E732,"")</f>
        <v/>
      </c>
      <c r="R732" s="83" t="str">
        <f ca="1">IF(N732 = "VENCIDO",BD!$F732,"")</f>
        <v/>
      </c>
      <c r="S732" s="85" t="str">
        <f ca="1">IF(N732 = "VENCIDO",BD!$G732,"")</f>
        <v/>
      </c>
      <c r="T732" s="83" t="str">
        <f ca="1">IF(AND(TODAY()&gt;BD!$C732, OR(BD!$D732="PENDENTE", BD!$D732="")), TODAY()-BD!$C732, "")</f>
        <v/>
      </c>
    </row>
    <row r="733" spans="1:20" ht="14.25" customHeight="1" x14ac:dyDescent="0.35">
      <c r="A733" s="32"/>
      <c r="B733" s="82">
        <f>'OUT-26'!A68</f>
        <v>0</v>
      </c>
      <c r="C733" s="82">
        <f>'OUT-26'!B68</f>
        <v>0</v>
      </c>
      <c r="D733" s="82">
        <f>'OUT-26'!C68</f>
        <v>0</v>
      </c>
      <c r="E733" s="83">
        <f>'OUT-26'!D68</f>
        <v>0</v>
      </c>
      <c r="F733" s="84">
        <f>'OUT-26'!E68</f>
        <v>0</v>
      </c>
      <c r="G733" s="85">
        <f>'OUT-26'!F68</f>
        <v>0</v>
      </c>
      <c r="H733" s="85">
        <f t="shared" si="0"/>
        <v>0</v>
      </c>
      <c r="I733" s="83" t="s">
        <v>104</v>
      </c>
      <c r="J733" s="83" t="str">
        <f t="shared" si="1"/>
        <v/>
      </c>
      <c r="K733" s="85">
        <f t="shared" si="2"/>
        <v>0</v>
      </c>
      <c r="L733" s="83" t="str">
        <f t="shared" si="3"/>
        <v/>
      </c>
      <c r="M733" s="83">
        <f>'OUT-26'!H68</f>
        <v>0</v>
      </c>
      <c r="N733" s="92" t="str">
        <f ca="1">IF(BD!$C733="","",IF(AND(TODAY()&gt;BD!$C733,OR(BD!$D733="PENDENTE",BD!$D733="")),"VENCIDO",""))</f>
        <v/>
      </c>
      <c r="O733" s="82" t="str">
        <f ca="1">IF(N733 = "VENCIDO",BD!$B733,"")</f>
        <v/>
      </c>
      <c r="P733" s="82" t="str">
        <f ca="1">IF(N733 = "VENCIDO",BD!$C733,"")</f>
        <v/>
      </c>
      <c r="Q733" s="83" t="str">
        <f ca="1">IF(N733 = "VENCIDO",BD!$E733,"")</f>
        <v/>
      </c>
      <c r="R733" s="83" t="str">
        <f ca="1">IF(N733 = "VENCIDO",BD!$F733,"")</f>
        <v/>
      </c>
      <c r="S733" s="85" t="str">
        <f ca="1">IF(N733 = "VENCIDO",BD!$G733,"")</f>
        <v/>
      </c>
      <c r="T733" s="83" t="str">
        <f ca="1">IF(AND(TODAY()&gt;BD!$C733, OR(BD!$D733="PENDENTE", BD!$D733="")), TODAY()-BD!$C733, "")</f>
        <v/>
      </c>
    </row>
    <row r="734" spans="1:20" ht="14.25" customHeight="1" x14ac:dyDescent="0.35">
      <c r="A734" s="32"/>
      <c r="B734" s="82">
        <f>'OUT-26'!A69</f>
        <v>0</v>
      </c>
      <c r="C734" s="82">
        <f>'OUT-26'!B69</f>
        <v>0</v>
      </c>
      <c r="D734" s="82">
        <f>'OUT-26'!C69</f>
        <v>0</v>
      </c>
      <c r="E734" s="83">
        <f>'OUT-26'!D69</f>
        <v>0</v>
      </c>
      <c r="F734" s="84">
        <f>'OUT-26'!E69</f>
        <v>0</v>
      </c>
      <c r="G734" s="85">
        <f>'OUT-26'!F69</f>
        <v>0</v>
      </c>
      <c r="H734" s="85">
        <f t="shared" si="0"/>
        <v>0</v>
      </c>
      <c r="I734" s="83" t="s">
        <v>104</v>
      </c>
      <c r="J734" s="83" t="str">
        <f t="shared" si="1"/>
        <v/>
      </c>
      <c r="K734" s="85">
        <f t="shared" si="2"/>
        <v>0</v>
      </c>
      <c r="L734" s="83" t="str">
        <f t="shared" si="3"/>
        <v/>
      </c>
      <c r="M734" s="83">
        <f>'OUT-26'!H69</f>
        <v>0</v>
      </c>
      <c r="N734" s="92" t="str">
        <f ca="1">IF(BD!$C734="","",IF(AND(TODAY()&gt;BD!$C734,OR(BD!$D734="PENDENTE",BD!$D734="")),"VENCIDO",""))</f>
        <v/>
      </c>
      <c r="O734" s="82" t="str">
        <f ca="1">IF(N734 = "VENCIDO",BD!$B734,"")</f>
        <v/>
      </c>
      <c r="P734" s="82" t="str">
        <f ca="1">IF(N734 = "VENCIDO",BD!$C734,"")</f>
        <v/>
      </c>
      <c r="Q734" s="83" t="str">
        <f ca="1">IF(N734 = "VENCIDO",BD!$E734,"")</f>
        <v/>
      </c>
      <c r="R734" s="83" t="str">
        <f ca="1">IF(N734 = "VENCIDO",BD!$F734,"")</f>
        <v/>
      </c>
      <c r="S734" s="85" t="str">
        <f ca="1">IF(N734 = "VENCIDO",BD!$G734,"")</f>
        <v/>
      </c>
      <c r="T734" s="83" t="str">
        <f ca="1">IF(AND(TODAY()&gt;BD!$C734, OR(BD!$D734="PENDENTE", BD!$D734="")), TODAY()-BD!$C734, "")</f>
        <v/>
      </c>
    </row>
    <row r="735" spans="1:20" ht="14.25" customHeight="1" x14ac:dyDescent="0.35">
      <c r="A735" s="32"/>
      <c r="B735" s="82">
        <f>'OUT-26'!A70</f>
        <v>0</v>
      </c>
      <c r="C735" s="82">
        <f>'OUT-26'!B70</f>
        <v>0</v>
      </c>
      <c r="D735" s="82">
        <f>'OUT-26'!C70</f>
        <v>0</v>
      </c>
      <c r="E735" s="83">
        <f>'OUT-26'!D70</f>
        <v>0</v>
      </c>
      <c r="F735" s="84">
        <f>'OUT-26'!E70</f>
        <v>0</v>
      </c>
      <c r="G735" s="85">
        <f>'OUT-26'!F70</f>
        <v>0</v>
      </c>
      <c r="H735" s="85">
        <f t="shared" si="0"/>
        <v>0</v>
      </c>
      <c r="I735" s="83" t="s">
        <v>104</v>
      </c>
      <c r="J735" s="83" t="str">
        <f t="shared" si="1"/>
        <v/>
      </c>
      <c r="K735" s="85">
        <f t="shared" si="2"/>
        <v>0</v>
      </c>
      <c r="L735" s="83" t="str">
        <f t="shared" si="3"/>
        <v/>
      </c>
      <c r="M735" s="83">
        <f>'OUT-26'!H70</f>
        <v>0</v>
      </c>
      <c r="N735" s="92" t="str">
        <f ca="1">IF(BD!$C735="","",IF(AND(TODAY()&gt;BD!$C735,OR(BD!$D735="PENDENTE",BD!$D735="")),"VENCIDO",""))</f>
        <v/>
      </c>
      <c r="O735" s="82" t="str">
        <f ca="1">IF(N735 = "VENCIDO",BD!$B735,"")</f>
        <v/>
      </c>
      <c r="P735" s="82" t="str">
        <f ca="1">IF(N735 = "VENCIDO",BD!$C735,"")</f>
        <v/>
      </c>
      <c r="Q735" s="83" t="str">
        <f ca="1">IF(N735 = "VENCIDO",BD!$E735,"")</f>
        <v/>
      </c>
      <c r="R735" s="83" t="str">
        <f ca="1">IF(N735 = "VENCIDO",BD!$F735,"")</f>
        <v/>
      </c>
      <c r="S735" s="85" t="str">
        <f ca="1">IF(N735 = "VENCIDO",BD!$G735,"")</f>
        <v/>
      </c>
      <c r="T735" s="83" t="str">
        <f ca="1">IF(AND(TODAY()&gt;BD!$C735, OR(BD!$D735="PENDENTE", BD!$D735="")), TODAY()-BD!$C735, "")</f>
        <v/>
      </c>
    </row>
    <row r="736" spans="1:20" ht="14.25" customHeight="1" x14ac:dyDescent="0.35">
      <c r="A736" s="32"/>
      <c r="B736" s="82">
        <f>'OUT-26'!A71</f>
        <v>0</v>
      </c>
      <c r="C736" s="82">
        <f>'OUT-26'!B71</f>
        <v>0</v>
      </c>
      <c r="D736" s="82">
        <f>'OUT-26'!C71</f>
        <v>0</v>
      </c>
      <c r="E736" s="83">
        <f>'OUT-26'!D71</f>
        <v>0</v>
      </c>
      <c r="F736" s="84">
        <f>'OUT-26'!E71</f>
        <v>0</v>
      </c>
      <c r="G736" s="85">
        <f>'OUT-26'!F71</f>
        <v>0</v>
      </c>
      <c r="H736" s="85">
        <f t="shared" si="0"/>
        <v>0</v>
      </c>
      <c r="I736" s="83" t="s">
        <v>104</v>
      </c>
      <c r="J736" s="83" t="str">
        <f t="shared" si="1"/>
        <v/>
      </c>
      <c r="K736" s="85">
        <f t="shared" si="2"/>
        <v>0</v>
      </c>
      <c r="L736" s="83" t="str">
        <f t="shared" si="3"/>
        <v/>
      </c>
      <c r="M736" s="83">
        <f>'OUT-26'!H71</f>
        <v>0</v>
      </c>
      <c r="N736" s="92" t="str">
        <f ca="1">IF(BD!$C736="","",IF(AND(TODAY()&gt;BD!$C736,OR(BD!$D736="PENDENTE",BD!$D736="")),"VENCIDO",""))</f>
        <v/>
      </c>
      <c r="O736" s="82" t="str">
        <f ca="1">IF(N736 = "VENCIDO",BD!$B736,"")</f>
        <v/>
      </c>
      <c r="P736" s="82" t="str">
        <f ca="1">IF(N736 = "VENCIDO",BD!$C736,"")</f>
        <v/>
      </c>
      <c r="Q736" s="83" t="str">
        <f ca="1">IF(N736 = "VENCIDO",BD!$E736,"")</f>
        <v/>
      </c>
      <c r="R736" s="83" t="str">
        <f ca="1">IF(N736 = "VENCIDO",BD!$F736,"")</f>
        <v/>
      </c>
      <c r="S736" s="85" t="str">
        <f ca="1">IF(N736 = "VENCIDO",BD!$G736,"")</f>
        <v/>
      </c>
      <c r="T736" s="83" t="str">
        <f ca="1">IF(AND(TODAY()&gt;BD!$C736, OR(BD!$D736="PENDENTE", BD!$D736="")), TODAY()-BD!$C736, "")</f>
        <v/>
      </c>
    </row>
    <row r="737" spans="1:20" ht="14.25" customHeight="1" x14ac:dyDescent="0.35">
      <c r="A737" s="32"/>
      <c r="B737" s="82">
        <f>'OUT-26'!A72</f>
        <v>0</v>
      </c>
      <c r="C737" s="82">
        <f>'OUT-26'!B72</f>
        <v>0</v>
      </c>
      <c r="D737" s="82">
        <f>'OUT-26'!C72</f>
        <v>0</v>
      </c>
      <c r="E737" s="83">
        <f>'OUT-26'!D72</f>
        <v>0</v>
      </c>
      <c r="F737" s="84">
        <f>'OUT-26'!E72</f>
        <v>0</v>
      </c>
      <c r="G737" s="85">
        <f>'OUT-26'!F72</f>
        <v>0</v>
      </c>
      <c r="H737" s="85">
        <f t="shared" si="0"/>
        <v>0</v>
      </c>
      <c r="I737" s="83" t="s">
        <v>104</v>
      </c>
      <c r="J737" s="83" t="str">
        <f t="shared" si="1"/>
        <v/>
      </c>
      <c r="K737" s="85">
        <f t="shared" si="2"/>
        <v>0</v>
      </c>
      <c r="L737" s="83" t="str">
        <f t="shared" si="3"/>
        <v/>
      </c>
      <c r="M737" s="83">
        <f>'OUT-26'!H72</f>
        <v>0</v>
      </c>
      <c r="N737" s="92" t="str">
        <f ca="1">IF(BD!$C737="","",IF(AND(TODAY()&gt;BD!$C737,OR(BD!$D737="PENDENTE",BD!$D737="")),"VENCIDO",""))</f>
        <v/>
      </c>
      <c r="O737" s="82" t="str">
        <f ca="1">IF(N737 = "VENCIDO",BD!$B737,"")</f>
        <v/>
      </c>
      <c r="P737" s="82" t="str">
        <f ca="1">IF(N737 = "VENCIDO",BD!$C737,"")</f>
        <v/>
      </c>
      <c r="Q737" s="83" t="str">
        <f ca="1">IF(N737 = "VENCIDO",BD!$E737,"")</f>
        <v/>
      </c>
      <c r="R737" s="83" t="str">
        <f ca="1">IF(N737 = "VENCIDO",BD!$F737,"")</f>
        <v/>
      </c>
      <c r="S737" s="85" t="str">
        <f ca="1">IF(N737 = "VENCIDO",BD!$G737,"")</f>
        <v/>
      </c>
      <c r="T737" s="83" t="str">
        <f ca="1">IF(AND(TODAY()&gt;BD!$C737, OR(BD!$D737="PENDENTE", BD!$D737="")), TODAY()-BD!$C737, "")</f>
        <v/>
      </c>
    </row>
    <row r="738" spans="1:20" ht="14.25" customHeight="1" x14ac:dyDescent="0.35">
      <c r="A738" s="32"/>
      <c r="B738" s="82">
        <f>'OUT-26'!A73</f>
        <v>0</v>
      </c>
      <c r="C738" s="82">
        <f>'OUT-26'!B73</f>
        <v>0</v>
      </c>
      <c r="D738" s="82">
        <f>'OUT-26'!C73</f>
        <v>0</v>
      </c>
      <c r="E738" s="83">
        <f>'OUT-26'!D73</f>
        <v>0</v>
      </c>
      <c r="F738" s="84">
        <f>'OUT-26'!E73</f>
        <v>0</v>
      </c>
      <c r="G738" s="85">
        <f>'OUT-26'!F73</f>
        <v>0</v>
      </c>
      <c r="H738" s="85">
        <f t="shared" si="0"/>
        <v>0</v>
      </c>
      <c r="I738" s="83" t="s">
        <v>104</v>
      </c>
      <c r="J738" s="83" t="str">
        <f t="shared" si="1"/>
        <v/>
      </c>
      <c r="K738" s="85">
        <f t="shared" si="2"/>
        <v>0</v>
      </c>
      <c r="L738" s="83" t="str">
        <f t="shared" si="3"/>
        <v/>
      </c>
      <c r="M738" s="83">
        <f>'OUT-26'!H73</f>
        <v>0</v>
      </c>
      <c r="N738" s="92" t="str">
        <f ca="1">IF(BD!$C738="","",IF(AND(TODAY()&gt;BD!$C738,OR(BD!$D738="PENDENTE",BD!$D738="")),"VENCIDO",""))</f>
        <v/>
      </c>
      <c r="O738" s="82" t="str">
        <f ca="1">IF(N738 = "VENCIDO",BD!$B738,"")</f>
        <v/>
      </c>
      <c r="P738" s="82" t="str">
        <f ca="1">IF(N738 = "VENCIDO",BD!$C738,"")</f>
        <v/>
      </c>
      <c r="Q738" s="83" t="str">
        <f ca="1">IF(N738 = "VENCIDO",BD!$E738,"")</f>
        <v/>
      </c>
      <c r="R738" s="83" t="str">
        <f ca="1">IF(N738 = "VENCIDO",BD!$F738,"")</f>
        <v/>
      </c>
      <c r="S738" s="85" t="str">
        <f ca="1">IF(N738 = "VENCIDO",BD!$G738,"")</f>
        <v/>
      </c>
      <c r="T738" s="83" t="str">
        <f ca="1">IF(AND(TODAY()&gt;BD!$C738, OR(BD!$D738="PENDENTE", BD!$D738="")), TODAY()-BD!$C738, "")</f>
        <v/>
      </c>
    </row>
    <row r="739" spans="1:20" ht="14.25" customHeight="1" x14ac:dyDescent="0.35">
      <c r="A739" s="32"/>
      <c r="B739" s="82">
        <f>'OUT-26'!A74</f>
        <v>0</v>
      </c>
      <c r="C739" s="82">
        <f>'OUT-26'!B74</f>
        <v>0</v>
      </c>
      <c r="D739" s="82">
        <f>'OUT-26'!C74</f>
        <v>0</v>
      </c>
      <c r="E739" s="83">
        <f>'OUT-26'!D74</f>
        <v>0</v>
      </c>
      <c r="F739" s="84">
        <f>'OUT-26'!E74</f>
        <v>0</v>
      </c>
      <c r="G739" s="85">
        <f>'OUT-26'!F74</f>
        <v>0</v>
      </c>
      <c r="H739" s="85">
        <f t="shared" si="0"/>
        <v>0</v>
      </c>
      <c r="I739" s="83" t="s">
        <v>104</v>
      </c>
      <c r="J739" s="83" t="str">
        <f t="shared" si="1"/>
        <v/>
      </c>
      <c r="K739" s="85">
        <f t="shared" si="2"/>
        <v>0</v>
      </c>
      <c r="L739" s="83" t="str">
        <f t="shared" si="3"/>
        <v/>
      </c>
      <c r="M739" s="83">
        <f>'OUT-26'!H74</f>
        <v>0</v>
      </c>
      <c r="N739" s="92" t="str">
        <f ca="1">IF(BD!$C739="","",IF(AND(TODAY()&gt;BD!$C739,OR(BD!$D739="PENDENTE",BD!$D739="")),"VENCIDO",""))</f>
        <v/>
      </c>
      <c r="O739" s="82" t="str">
        <f ca="1">IF(N739 = "VENCIDO",BD!$B739,"")</f>
        <v/>
      </c>
      <c r="P739" s="82" t="str">
        <f ca="1">IF(N739 = "VENCIDO",BD!$C739,"")</f>
        <v/>
      </c>
      <c r="Q739" s="83" t="str">
        <f ca="1">IF(N739 = "VENCIDO",BD!$E739,"")</f>
        <v/>
      </c>
      <c r="R739" s="83" t="str">
        <f ca="1">IF(N739 = "VENCIDO",BD!$F739,"")</f>
        <v/>
      </c>
      <c r="S739" s="85" t="str">
        <f ca="1">IF(N739 = "VENCIDO",BD!$G739,"")</f>
        <v/>
      </c>
      <c r="T739" s="83" t="str">
        <f ca="1">IF(AND(TODAY()&gt;BD!$C739, OR(BD!$D739="PENDENTE", BD!$D739="")), TODAY()-BD!$C739, "")</f>
        <v/>
      </c>
    </row>
    <row r="740" spans="1:20" ht="14.25" customHeight="1" x14ac:dyDescent="0.35">
      <c r="A740" s="32"/>
      <c r="B740" s="82">
        <f>'OUT-26'!A75</f>
        <v>0</v>
      </c>
      <c r="C740" s="82">
        <f>'OUT-26'!B75</f>
        <v>0</v>
      </c>
      <c r="D740" s="82">
        <f>'OUT-26'!C75</f>
        <v>0</v>
      </c>
      <c r="E740" s="83">
        <f>'OUT-26'!D75</f>
        <v>0</v>
      </c>
      <c r="F740" s="84">
        <f>'OUT-26'!E75</f>
        <v>0</v>
      </c>
      <c r="G740" s="85">
        <f>'OUT-26'!F75</f>
        <v>0</v>
      </c>
      <c r="H740" s="85">
        <f t="shared" si="0"/>
        <v>0</v>
      </c>
      <c r="I740" s="83" t="s">
        <v>104</v>
      </c>
      <c r="J740" s="83" t="str">
        <f t="shared" si="1"/>
        <v/>
      </c>
      <c r="K740" s="85">
        <f t="shared" si="2"/>
        <v>0</v>
      </c>
      <c r="L740" s="83" t="str">
        <f t="shared" si="3"/>
        <v/>
      </c>
      <c r="M740" s="83">
        <f>'OUT-26'!H75</f>
        <v>0</v>
      </c>
      <c r="N740" s="92" t="str">
        <f ca="1">IF(BD!$C740="","",IF(AND(TODAY()&gt;BD!$C740,OR(BD!$D740="PENDENTE",BD!$D740="")),"VENCIDO",""))</f>
        <v/>
      </c>
      <c r="O740" s="82" t="str">
        <f ca="1">IF(N740 = "VENCIDO",BD!$B740,"")</f>
        <v/>
      </c>
      <c r="P740" s="82" t="str">
        <f ca="1">IF(N740 = "VENCIDO",BD!$C740,"")</f>
        <v/>
      </c>
      <c r="Q740" s="83" t="str">
        <f ca="1">IF(N740 = "VENCIDO",BD!$E740,"")</f>
        <v/>
      </c>
      <c r="R740" s="83" t="str">
        <f ca="1">IF(N740 = "VENCIDO",BD!$F740,"")</f>
        <v/>
      </c>
      <c r="S740" s="85" t="str">
        <f ca="1">IF(N740 = "VENCIDO",BD!$G740,"")</f>
        <v/>
      </c>
      <c r="T740" s="83" t="str">
        <f ca="1">IF(AND(TODAY()&gt;BD!$C740, OR(BD!$D740="PENDENTE", BD!$D740="")), TODAY()-BD!$C740, "")</f>
        <v/>
      </c>
    </row>
    <row r="741" spans="1:20" ht="14.25" customHeight="1" x14ac:dyDescent="0.35">
      <c r="A741" s="32"/>
      <c r="B741" s="82">
        <f>'OUT-26'!A76</f>
        <v>0</v>
      </c>
      <c r="C741" s="82">
        <f>'OUT-26'!B76</f>
        <v>0</v>
      </c>
      <c r="D741" s="82">
        <f>'OUT-26'!C76</f>
        <v>0</v>
      </c>
      <c r="E741" s="83">
        <f>'OUT-26'!D76</f>
        <v>0</v>
      </c>
      <c r="F741" s="84">
        <f>'OUT-26'!E76</f>
        <v>0</v>
      </c>
      <c r="G741" s="85">
        <f>'OUT-26'!F76</f>
        <v>0</v>
      </c>
      <c r="H741" s="85">
        <f t="shared" si="0"/>
        <v>0</v>
      </c>
      <c r="I741" s="83" t="s">
        <v>104</v>
      </c>
      <c r="J741" s="83" t="str">
        <f t="shared" si="1"/>
        <v/>
      </c>
      <c r="K741" s="85">
        <f t="shared" si="2"/>
        <v>0</v>
      </c>
      <c r="L741" s="83" t="str">
        <f t="shared" si="3"/>
        <v/>
      </c>
      <c r="M741" s="83">
        <f>'OUT-26'!H76</f>
        <v>0</v>
      </c>
      <c r="N741" s="92" t="str">
        <f ca="1">IF(BD!$C741="","",IF(AND(TODAY()&gt;BD!$C741,OR(BD!$D741="PENDENTE",BD!$D741="")),"VENCIDO",""))</f>
        <v/>
      </c>
      <c r="O741" s="82" t="str">
        <f ca="1">IF(N741 = "VENCIDO",BD!$B741,"")</f>
        <v/>
      </c>
      <c r="P741" s="82" t="str">
        <f ca="1">IF(N741 = "VENCIDO",BD!$C741,"")</f>
        <v/>
      </c>
      <c r="Q741" s="83" t="str">
        <f ca="1">IF(N741 = "VENCIDO",BD!$E741,"")</f>
        <v/>
      </c>
      <c r="R741" s="83" t="str">
        <f ca="1">IF(N741 = "VENCIDO",BD!$F741,"")</f>
        <v/>
      </c>
      <c r="S741" s="85" t="str">
        <f ca="1">IF(N741 = "VENCIDO",BD!$G741,"")</f>
        <v/>
      </c>
      <c r="T741" s="83" t="str">
        <f ca="1">IF(AND(TODAY()&gt;BD!$C741, OR(BD!$D741="PENDENTE", BD!$D741="")), TODAY()-BD!$C741, "")</f>
        <v/>
      </c>
    </row>
    <row r="742" spans="1:20" ht="14.25" customHeight="1" x14ac:dyDescent="0.35">
      <c r="A742" s="32"/>
      <c r="B742" s="82">
        <f>'NOV-26'!A3</f>
        <v>0</v>
      </c>
      <c r="C742" s="82">
        <f>'NOV-26'!B3</f>
        <v>0</v>
      </c>
      <c r="D742" s="82">
        <f>'NOV-26'!C3</f>
        <v>0</v>
      </c>
      <c r="E742" s="83">
        <f>'NOV-26'!D3</f>
        <v>0</v>
      </c>
      <c r="F742" s="84">
        <f>'NOV-26'!E3</f>
        <v>0</v>
      </c>
      <c r="G742" s="85">
        <f>'NOV-26'!F3</f>
        <v>0</v>
      </c>
      <c r="H742" s="85">
        <f t="shared" si="0"/>
        <v>0</v>
      </c>
      <c r="I742" s="83" t="s">
        <v>105</v>
      </c>
      <c r="J742" s="83" t="str">
        <f t="shared" si="1"/>
        <v/>
      </c>
      <c r="K742" s="85">
        <f t="shared" si="2"/>
        <v>0</v>
      </c>
      <c r="L742" s="83" t="str">
        <f t="shared" si="3"/>
        <v/>
      </c>
      <c r="M742" s="83">
        <f>'NOV-26'!H3</f>
        <v>0</v>
      </c>
      <c r="N742" s="92" t="str">
        <f ca="1">IF(BD!$C742="","",IF(AND(TODAY()&gt;BD!$C742,OR(BD!$D742="PENDENTE",BD!$D742="")),"VENCIDO",""))</f>
        <v/>
      </c>
      <c r="O742" s="82" t="str">
        <f ca="1">IF(N742 = "VENCIDO",BD!$B742,"")</f>
        <v/>
      </c>
      <c r="P742" s="82" t="str">
        <f ca="1">IF(N742 = "VENCIDO",BD!$C742,"")</f>
        <v/>
      </c>
      <c r="Q742" s="83" t="str">
        <f ca="1">IF(N742 = "VENCIDO",BD!$E742,"")</f>
        <v/>
      </c>
      <c r="R742" s="83" t="str">
        <f ca="1">IF(N742 = "VENCIDO",BD!$F742,"")</f>
        <v/>
      </c>
      <c r="S742" s="85" t="str">
        <f ca="1">IF(N742 = "VENCIDO",BD!$G742,"")</f>
        <v/>
      </c>
      <c r="T742" s="83" t="str">
        <f ca="1">IF(AND(TODAY()&gt;BD!$C742, OR(BD!$D742="PENDENTE", BD!$D742="")), TODAY()-BD!$C742, "")</f>
        <v/>
      </c>
    </row>
    <row r="743" spans="1:20" ht="14.25" customHeight="1" x14ac:dyDescent="0.35">
      <c r="A743" s="32"/>
      <c r="B743" s="82">
        <f>'NOV-26'!A4</f>
        <v>0</v>
      </c>
      <c r="C743" s="82">
        <f>'NOV-26'!B4</f>
        <v>0</v>
      </c>
      <c r="D743" s="82">
        <f>'NOV-26'!C4</f>
        <v>0</v>
      </c>
      <c r="E743" s="83">
        <f>'NOV-26'!D4</f>
        <v>0</v>
      </c>
      <c r="F743" s="84">
        <f>'NOV-26'!E4</f>
        <v>0</v>
      </c>
      <c r="G743" s="85">
        <f>'NOV-26'!F4</f>
        <v>0</v>
      </c>
      <c r="H743" s="85">
        <f t="shared" si="0"/>
        <v>0</v>
      </c>
      <c r="I743" s="83" t="s">
        <v>105</v>
      </c>
      <c r="J743" s="83" t="str">
        <f t="shared" si="1"/>
        <v/>
      </c>
      <c r="K743" s="85">
        <f t="shared" si="2"/>
        <v>0</v>
      </c>
      <c r="L743" s="83" t="str">
        <f t="shared" si="3"/>
        <v/>
      </c>
      <c r="M743" s="83">
        <f>'NOV-26'!H4</f>
        <v>0</v>
      </c>
      <c r="N743" s="92" t="str">
        <f ca="1">IF(BD!$C743="","",IF(AND(TODAY()&gt;BD!$C743,OR(BD!$D743="PENDENTE",BD!$D743="")),"VENCIDO",""))</f>
        <v/>
      </c>
      <c r="O743" s="82" t="str">
        <f ca="1">IF(N743 = "VENCIDO",BD!$B743,"")</f>
        <v/>
      </c>
      <c r="P743" s="82" t="str">
        <f ca="1">IF(N743 = "VENCIDO",BD!$C743,"")</f>
        <v/>
      </c>
      <c r="Q743" s="83" t="str">
        <f ca="1">IF(N743 = "VENCIDO",BD!$E743,"")</f>
        <v/>
      </c>
      <c r="R743" s="83" t="str">
        <f ca="1">IF(N743 = "VENCIDO",BD!$F743,"")</f>
        <v/>
      </c>
      <c r="S743" s="85" t="str">
        <f ca="1">IF(N743 = "VENCIDO",BD!$G743,"")</f>
        <v/>
      </c>
      <c r="T743" s="83" t="str">
        <f ca="1">IF(AND(TODAY()&gt;BD!$C743, OR(BD!$D743="PENDENTE", BD!$D743="")), TODAY()-BD!$C743, "")</f>
        <v/>
      </c>
    </row>
    <row r="744" spans="1:20" ht="14.25" customHeight="1" x14ac:dyDescent="0.35">
      <c r="A744" s="32"/>
      <c r="B744" s="82">
        <f>'NOV-26'!A5</f>
        <v>0</v>
      </c>
      <c r="C744" s="82">
        <f>'NOV-26'!B5</f>
        <v>0</v>
      </c>
      <c r="D744" s="82">
        <f>'NOV-26'!C5</f>
        <v>0</v>
      </c>
      <c r="E744" s="83">
        <f>'NOV-26'!D5</f>
        <v>0</v>
      </c>
      <c r="F744" s="84">
        <f>'NOV-26'!E5</f>
        <v>0</v>
      </c>
      <c r="G744" s="85">
        <f>'NOV-26'!F5</f>
        <v>0</v>
      </c>
      <c r="H744" s="85">
        <f t="shared" si="0"/>
        <v>0</v>
      </c>
      <c r="I744" s="83" t="s">
        <v>105</v>
      </c>
      <c r="J744" s="83" t="str">
        <f t="shared" si="1"/>
        <v/>
      </c>
      <c r="K744" s="85">
        <f t="shared" si="2"/>
        <v>0</v>
      </c>
      <c r="L744" s="83" t="str">
        <f t="shared" si="3"/>
        <v/>
      </c>
      <c r="M744" s="83">
        <f>'NOV-26'!H5</f>
        <v>0</v>
      </c>
      <c r="N744" s="92" t="str">
        <f ca="1">IF(BD!$C744="","",IF(AND(TODAY()&gt;BD!$C744,OR(BD!$D744="PENDENTE",BD!$D744="")),"VENCIDO",""))</f>
        <v/>
      </c>
      <c r="O744" s="82" t="str">
        <f ca="1">IF(N744 = "VENCIDO",BD!$B744,"")</f>
        <v/>
      </c>
      <c r="P744" s="82" t="str">
        <f ca="1">IF(N744 = "VENCIDO",BD!$C744,"")</f>
        <v/>
      </c>
      <c r="Q744" s="83" t="str">
        <f ca="1">IF(N744 = "VENCIDO",BD!$E744,"")</f>
        <v/>
      </c>
      <c r="R744" s="83" t="str">
        <f ca="1">IF(N744 = "VENCIDO",BD!$F744,"")</f>
        <v/>
      </c>
      <c r="S744" s="85" t="str">
        <f ca="1">IF(N744 = "VENCIDO",BD!$G744,"")</f>
        <v/>
      </c>
      <c r="T744" s="83" t="str">
        <f ca="1">IF(AND(TODAY()&gt;BD!$C744, OR(BD!$D744="PENDENTE", BD!$D744="")), TODAY()-BD!$C744, "")</f>
        <v/>
      </c>
    </row>
    <row r="745" spans="1:20" ht="14.25" customHeight="1" x14ac:dyDescent="0.35">
      <c r="A745" s="32"/>
      <c r="B745" s="82">
        <f>'NOV-26'!A6</f>
        <v>0</v>
      </c>
      <c r="C745" s="82">
        <f>'NOV-26'!B6</f>
        <v>0</v>
      </c>
      <c r="D745" s="82">
        <f>'NOV-26'!C6</f>
        <v>0</v>
      </c>
      <c r="E745" s="83">
        <f>'NOV-26'!D6</f>
        <v>0</v>
      </c>
      <c r="F745" s="84">
        <f>'NOV-26'!E6</f>
        <v>0</v>
      </c>
      <c r="G745" s="85">
        <f>'NOV-26'!F6</f>
        <v>0</v>
      </c>
      <c r="H745" s="85">
        <f t="shared" si="0"/>
        <v>0</v>
      </c>
      <c r="I745" s="83" t="s">
        <v>105</v>
      </c>
      <c r="J745" s="83" t="str">
        <f t="shared" si="1"/>
        <v/>
      </c>
      <c r="K745" s="85">
        <f t="shared" si="2"/>
        <v>0</v>
      </c>
      <c r="L745" s="83" t="str">
        <f t="shared" si="3"/>
        <v/>
      </c>
      <c r="M745" s="83">
        <f>'NOV-26'!H6</f>
        <v>0</v>
      </c>
      <c r="N745" s="92" t="str">
        <f ca="1">IF(BD!$C745="","",IF(AND(TODAY()&gt;BD!$C745,OR(BD!$D745="PENDENTE",BD!$D745="")),"VENCIDO",""))</f>
        <v/>
      </c>
      <c r="O745" s="82" t="str">
        <f ca="1">IF(N745 = "VENCIDO",BD!$B745,"")</f>
        <v/>
      </c>
      <c r="P745" s="82" t="str">
        <f ca="1">IF(N745 = "VENCIDO",BD!$C745,"")</f>
        <v/>
      </c>
      <c r="Q745" s="83" t="str">
        <f ca="1">IF(N745 = "VENCIDO",BD!$E745,"")</f>
        <v/>
      </c>
      <c r="R745" s="83" t="str">
        <f ca="1">IF(N745 = "VENCIDO",BD!$F745,"")</f>
        <v/>
      </c>
      <c r="S745" s="85" t="str">
        <f ca="1">IF(N745 = "VENCIDO",BD!$G745,"")</f>
        <v/>
      </c>
      <c r="T745" s="83" t="str">
        <f ca="1">IF(AND(TODAY()&gt;BD!$C745, OR(BD!$D745="PENDENTE", BD!$D745="")), TODAY()-BD!$C745, "")</f>
        <v/>
      </c>
    </row>
    <row r="746" spans="1:20" ht="14.25" customHeight="1" x14ac:dyDescent="0.35">
      <c r="A746" s="32"/>
      <c r="B746" s="82">
        <f>'NOV-26'!A7</f>
        <v>0</v>
      </c>
      <c r="C746" s="82">
        <f>'NOV-26'!B7</f>
        <v>0</v>
      </c>
      <c r="D746" s="82">
        <f>'NOV-26'!C7</f>
        <v>0</v>
      </c>
      <c r="E746" s="83">
        <f>'NOV-26'!D7</f>
        <v>0</v>
      </c>
      <c r="F746" s="84">
        <f>'NOV-26'!E7</f>
        <v>0</v>
      </c>
      <c r="G746" s="85">
        <f>'NOV-26'!F7</f>
        <v>0</v>
      </c>
      <c r="H746" s="85">
        <f t="shared" si="0"/>
        <v>0</v>
      </c>
      <c r="I746" s="83" t="s">
        <v>105</v>
      </c>
      <c r="J746" s="83" t="str">
        <f t="shared" si="1"/>
        <v/>
      </c>
      <c r="K746" s="85">
        <f t="shared" si="2"/>
        <v>0</v>
      </c>
      <c r="L746" s="83" t="str">
        <f t="shared" si="3"/>
        <v/>
      </c>
      <c r="M746" s="83">
        <f>'NOV-26'!H7</f>
        <v>0</v>
      </c>
      <c r="N746" s="92" t="str">
        <f ca="1">IF(BD!$C746="","",IF(AND(TODAY()&gt;BD!$C746,OR(BD!$D746="PENDENTE",BD!$D746="")),"VENCIDO",""))</f>
        <v/>
      </c>
      <c r="O746" s="82" t="str">
        <f ca="1">IF(N746 = "VENCIDO",BD!$B746,"")</f>
        <v/>
      </c>
      <c r="P746" s="82" t="str">
        <f ca="1">IF(N746 = "VENCIDO",BD!$C746,"")</f>
        <v/>
      </c>
      <c r="Q746" s="83" t="str">
        <f ca="1">IF(N746 = "VENCIDO",BD!$E746,"")</f>
        <v/>
      </c>
      <c r="R746" s="83" t="str">
        <f ca="1">IF(N746 = "VENCIDO",BD!$F746,"")</f>
        <v/>
      </c>
      <c r="S746" s="85" t="str">
        <f ca="1">IF(N746 = "VENCIDO",BD!$G746,"")</f>
        <v/>
      </c>
      <c r="T746" s="83" t="str">
        <f ca="1">IF(AND(TODAY()&gt;BD!$C746, OR(BD!$D746="PENDENTE", BD!$D746="")), TODAY()-BD!$C746, "")</f>
        <v/>
      </c>
    </row>
    <row r="747" spans="1:20" ht="14.25" customHeight="1" x14ac:dyDescent="0.35">
      <c r="A747" s="32"/>
      <c r="B747" s="82">
        <f>'NOV-26'!A8</f>
        <v>0</v>
      </c>
      <c r="C747" s="82">
        <f>'NOV-26'!B8</f>
        <v>0</v>
      </c>
      <c r="D747" s="82">
        <f>'NOV-26'!C8</f>
        <v>0</v>
      </c>
      <c r="E747" s="83">
        <f>'NOV-26'!D8</f>
        <v>0</v>
      </c>
      <c r="F747" s="84">
        <f>'NOV-26'!E8</f>
        <v>0</v>
      </c>
      <c r="G747" s="85">
        <f>'NOV-26'!F8</f>
        <v>0</v>
      </c>
      <c r="H747" s="85">
        <f t="shared" si="0"/>
        <v>0</v>
      </c>
      <c r="I747" s="83" t="s">
        <v>105</v>
      </c>
      <c r="J747" s="83" t="str">
        <f t="shared" si="1"/>
        <v/>
      </c>
      <c r="K747" s="85">
        <f t="shared" si="2"/>
        <v>0</v>
      </c>
      <c r="L747" s="83" t="str">
        <f t="shared" si="3"/>
        <v/>
      </c>
      <c r="M747" s="83">
        <f>'NOV-26'!H8</f>
        <v>0</v>
      </c>
      <c r="N747" s="92" t="str">
        <f ca="1">IF(BD!$C747="","",IF(AND(TODAY()&gt;BD!$C747,OR(BD!$D747="PENDENTE",BD!$D747="")),"VENCIDO",""))</f>
        <v/>
      </c>
      <c r="O747" s="82" t="str">
        <f ca="1">IF(N747 = "VENCIDO",BD!$B747,"")</f>
        <v/>
      </c>
      <c r="P747" s="82" t="str">
        <f ca="1">IF(N747 = "VENCIDO",BD!$C747,"")</f>
        <v/>
      </c>
      <c r="Q747" s="83" t="str">
        <f ca="1">IF(N747 = "VENCIDO",BD!$E747,"")</f>
        <v/>
      </c>
      <c r="R747" s="83" t="str">
        <f ca="1">IF(N747 = "VENCIDO",BD!$F747,"")</f>
        <v/>
      </c>
      <c r="S747" s="85" t="str">
        <f ca="1">IF(N747 = "VENCIDO",BD!$G747,"")</f>
        <v/>
      </c>
      <c r="T747" s="83" t="str">
        <f ca="1">IF(AND(TODAY()&gt;BD!$C747, OR(BD!$D747="PENDENTE", BD!$D747="")), TODAY()-BD!$C747, "")</f>
        <v/>
      </c>
    </row>
    <row r="748" spans="1:20" ht="14.25" customHeight="1" x14ac:dyDescent="0.35">
      <c r="A748" s="32"/>
      <c r="B748" s="82">
        <f>'NOV-26'!A9</f>
        <v>0</v>
      </c>
      <c r="C748" s="82">
        <f>'NOV-26'!B9</f>
        <v>0</v>
      </c>
      <c r="D748" s="82">
        <f>'NOV-26'!C9</f>
        <v>0</v>
      </c>
      <c r="E748" s="83">
        <f>'NOV-26'!D9</f>
        <v>0</v>
      </c>
      <c r="F748" s="84">
        <f>'NOV-26'!E9</f>
        <v>0</v>
      </c>
      <c r="G748" s="85">
        <f>'NOV-26'!F9</f>
        <v>0</v>
      </c>
      <c r="H748" s="85">
        <f t="shared" si="0"/>
        <v>0</v>
      </c>
      <c r="I748" s="83" t="s">
        <v>105</v>
      </c>
      <c r="J748" s="83" t="str">
        <f t="shared" si="1"/>
        <v/>
      </c>
      <c r="K748" s="85">
        <f t="shared" si="2"/>
        <v>0</v>
      </c>
      <c r="L748" s="83" t="str">
        <f t="shared" si="3"/>
        <v/>
      </c>
      <c r="M748" s="83">
        <f>'NOV-26'!H9</f>
        <v>0</v>
      </c>
      <c r="N748" s="92" t="str">
        <f ca="1">IF(BD!$C748="","",IF(AND(TODAY()&gt;BD!$C748,OR(BD!$D748="PENDENTE",BD!$D748="")),"VENCIDO",""))</f>
        <v/>
      </c>
      <c r="O748" s="82" t="str">
        <f ca="1">IF(N748 = "VENCIDO",BD!$B748,"")</f>
        <v/>
      </c>
      <c r="P748" s="82" t="str">
        <f ca="1">IF(N748 = "VENCIDO",BD!$C748,"")</f>
        <v/>
      </c>
      <c r="Q748" s="83" t="str">
        <f ca="1">IF(N748 = "VENCIDO",BD!$E748,"")</f>
        <v/>
      </c>
      <c r="R748" s="83" t="str">
        <f ca="1">IF(N748 = "VENCIDO",BD!$F748,"")</f>
        <v/>
      </c>
      <c r="S748" s="85" t="str">
        <f ca="1">IF(N748 = "VENCIDO",BD!$G748,"")</f>
        <v/>
      </c>
      <c r="T748" s="83" t="str">
        <f ca="1">IF(AND(TODAY()&gt;BD!$C748, OR(BD!$D748="PENDENTE", BD!$D748="")), TODAY()-BD!$C748, "")</f>
        <v/>
      </c>
    </row>
    <row r="749" spans="1:20" ht="14.25" customHeight="1" x14ac:dyDescent="0.35">
      <c r="A749" s="32"/>
      <c r="B749" s="82">
        <f>'NOV-26'!A10</f>
        <v>0</v>
      </c>
      <c r="C749" s="82">
        <f>'NOV-26'!B10</f>
        <v>0</v>
      </c>
      <c r="D749" s="82">
        <f>'NOV-26'!C10</f>
        <v>0</v>
      </c>
      <c r="E749" s="83">
        <f>'NOV-26'!D10</f>
        <v>0</v>
      </c>
      <c r="F749" s="84">
        <f>'NOV-26'!E10</f>
        <v>0</v>
      </c>
      <c r="G749" s="85">
        <f>'NOV-26'!F10</f>
        <v>0</v>
      </c>
      <c r="H749" s="85">
        <f t="shared" si="0"/>
        <v>0</v>
      </c>
      <c r="I749" s="83" t="s">
        <v>105</v>
      </c>
      <c r="J749" s="83" t="str">
        <f t="shared" si="1"/>
        <v/>
      </c>
      <c r="K749" s="85">
        <f t="shared" si="2"/>
        <v>0</v>
      </c>
      <c r="L749" s="83" t="str">
        <f t="shared" si="3"/>
        <v/>
      </c>
      <c r="M749" s="83">
        <f>'NOV-26'!H10</f>
        <v>0</v>
      </c>
      <c r="N749" s="92" t="str">
        <f ca="1">IF(BD!$C749="","",IF(AND(TODAY()&gt;BD!$C749,OR(BD!$D749="PENDENTE",BD!$D749="")),"VENCIDO",""))</f>
        <v/>
      </c>
      <c r="O749" s="82" t="str">
        <f ca="1">IF(N749 = "VENCIDO",BD!$B749,"")</f>
        <v/>
      </c>
      <c r="P749" s="82" t="str">
        <f ca="1">IF(N749 = "VENCIDO",BD!$C749,"")</f>
        <v/>
      </c>
      <c r="Q749" s="83" t="str">
        <f ca="1">IF(N749 = "VENCIDO",BD!$E749,"")</f>
        <v/>
      </c>
      <c r="R749" s="83" t="str">
        <f ca="1">IF(N749 = "VENCIDO",BD!$F749,"")</f>
        <v/>
      </c>
      <c r="S749" s="85" t="str">
        <f ca="1">IF(N749 = "VENCIDO",BD!$G749,"")</f>
        <v/>
      </c>
      <c r="T749" s="83" t="str">
        <f ca="1">IF(AND(TODAY()&gt;BD!$C749, OR(BD!$D749="PENDENTE", BD!$D749="")), TODAY()-BD!$C749, "")</f>
        <v/>
      </c>
    </row>
    <row r="750" spans="1:20" ht="14.25" customHeight="1" x14ac:dyDescent="0.35">
      <c r="A750" s="32"/>
      <c r="B750" s="82">
        <f>'NOV-26'!A11</f>
        <v>0</v>
      </c>
      <c r="C750" s="82">
        <f>'NOV-26'!B11</f>
        <v>0</v>
      </c>
      <c r="D750" s="82">
        <f>'NOV-26'!C11</f>
        <v>0</v>
      </c>
      <c r="E750" s="83">
        <f>'NOV-26'!D11</f>
        <v>0</v>
      </c>
      <c r="F750" s="84">
        <f>'NOV-26'!E11</f>
        <v>0</v>
      </c>
      <c r="G750" s="85">
        <f>'NOV-26'!F11</f>
        <v>0</v>
      </c>
      <c r="H750" s="85">
        <f t="shared" si="0"/>
        <v>0</v>
      </c>
      <c r="I750" s="83" t="s">
        <v>105</v>
      </c>
      <c r="J750" s="83" t="str">
        <f t="shared" si="1"/>
        <v/>
      </c>
      <c r="K750" s="85">
        <f t="shared" si="2"/>
        <v>0</v>
      </c>
      <c r="L750" s="83" t="str">
        <f t="shared" si="3"/>
        <v/>
      </c>
      <c r="M750" s="83">
        <f>'NOV-26'!H11</f>
        <v>0</v>
      </c>
      <c r="N750" s="92" t="str">
        <f ca="1">IF(BD!$C750="","",IF(AND(TODAY()&gt;BD!$C750,OR(BD!$D750="PENDENTE",BD!$D750="")),"VENCIDO",""))</f>
        <v/>
      </c>
      <c r="O750" s="82" t="str">
        <f ca="1">IF(N750 = "VENCIDO",BD!$B750,"")</f>
        <v/>
      </c>
      <c r="P750" s="82" t="str">
        <f ca="1">IF(N750 = "VENCIDO",BD!$C750,"")</f>
        <v/>
      </c>
      <c r="Q750" s="83" t="str">
        <f ca="1">IF(N750 = "VENCIDO",BD!$E750,"")</f>
        <v/>
      </c>
      <c r="R750" s="83" t="str">
        <f ca="1">IF(N750 = "VENCIDO",BD!$F750,"")</f>
        <v/>
      </c>
      <c r="S750" s="85" t="str">
        <f ca="1">IF(N750 = "VENCIDO",BD!$G750,"")</f>
        <v/>
      </c>
      <c r="T750" s="83" t="str">
        <f ca="1">IF(AND(TODAY()&gt;BD!$C750, OR(BD!$D750="PENDENTE", BD!$D750="")), TODAY()-BD!$C750, "")</f>
        <v/>
      </c>
    </row>
    <row r="751" spans="1:20" ht="14.25" customHeight="1" x14ac:dyDescent="0.35">
      <c r="A751" s="32"/>
      <c r="B751" s="82">
        <f>'NOV-26'!A12</f>
        <v>0</v>
      </c>
      <c r="C751" s="82">
        <f>'NOV-26'!B12</f>
        <v>0</v>
      </c>
      <c r="D751" s="82">
        <f>'NOV-26'!C12</f>
        <v>0</v>
      </c>
      <c r="E751" s="83">
        <f>'NOV-26'!D12</f>
        <v>0</v>
      </c>
      <c r="F751" s="84">
        <f>'NOV-26'!E12</f>
        <v>0</v>
      </c>
      <c r="G751" s="85">
        <f>'NOV-26'!F12</f>
        <v>0</v>
      </c>
      <c r="H751" s="85">
        <f t="shared" si="0"/>
        <v>0</v>
      </c>
      <c r="I751" s="83" t="s">
        <v>105</v>
      </c>
      <c r="J751" s="83" t="str">
        <f t="shared" si="1"/>
        <v/>
      </c>
      <c r="K751" s="85">
        <f t="shared" si="2"/>
        <v>0</v>
      </c>
      <c r="L751" s="83" t="str">
        <f t="shared" si="3"/>
        <v/>
      </c>
      <c r="M751" s="83">
        <f>'NOV-26'!H12</f>
        <v>0</v>
      </c>
      <c r="N751" s="92" t="str">
        <f ca="1">IF(BD!$C751="","",IF(AND(TODAY()&gt;BD!$C751,OR(BD!$D751="PENDENTE",BD!$D751="")),"VENCIDO",""))</f>
        <v/>
      </c>
      <c r="O751" s="82" t="str">
        <f ca="1">IF(N751 = "VENCIDO",BD!$B751,"")</f>
        <v/>
      </c>
      <c r="P751" s="82" t="str">
        <f ca="1">IF(N751 = "VENCIDO",BD!$C751,"")</f>
        <v/>
      </c>
      <c r="Q751" s="83" t="str">
        <f ca="1">IF(N751 = "VENCIDO",BD!$E751,"")</f>
        <v/>
      </c>
      <c r="R751" s="83" t="str">
        <f ca="1">IF(N751 = "VENCIDO",BD!$F751,"")</f>
        <v/>
      </c>
      <c r="S751" s="85" t="str">
        <f ca="1">IF(N751 = "VENCIDO",BD!$G751,"")</f>
        <v/>
      </c>
      <c r="T751" s="83" t="str">
        <f ca="1">IF(AND(TODAY()&gt;BD!$C751, OR(BD!$D751="PENDENTE", BD!$D751="")), TODAY()-BD!$C751, "")</f>
        <v/>
      </c>
    </row>
    <row r="752" spans="1:20" ht="14.25" customHeight="1" x14ac:dyDescent="0.35">
      <c r="A752" s="32"/>
      <c r="B752" s="82">
        <f>'NOV-26'!A13</f>
        <v>0</v>
      </c>
      <c r="C752" s="82">
        <f>'NOV-26'!B13</f>
        <v>0</v>
      </c>
      <c r="D752" s="82">
        <f>'NOV-26'!C13</f>
        <v>0</v>
      </c>
      <c r="E752" s="83">
        <f>'NOV-26'!D13</f>
        <v>0</v>
      </c>
      <c r="F752" s="84">
        <f>'NOV-26'!E13</f>
        <v>0</v>
      </c>
      <c r="G752" s="85">
        <f>'NOV-26'!F13</f>
        <v>0</v>
      </c>
      <c r="H752" s="85">
        <f t="shared" si="0"/>
        <v>0</v>
      </c>
      <c r="I752" s="83" t="s">
        <v>105</v>
      </c>
      <c r="J752" s="83" t="str">
        <f t="shared" si="1"/>
        <v/>
      </c>
      <c r="K752" s="85">
        <f t="shared" si="2"/>
        <v>0</v>
      </c>
      <c r="L752" s="83" t="str">
        <f t="shared" si="3"/>
        <v/>
      </c>
      <c r="M752" s="83">
        <f>'NOV-26'!H13</f>
        <v>0</v>
      </c>
      <c r="N752" s="92" t="str">
        <f ca="1">IF(BD!$C752="","",IF(AND(TODAY()&gt;BD!$C752,OR(BD!$D752="PENDENTE",BD!$D752="")),"VENCIDO",""))</f>
        <v/>
      </c>
      <c r="O752" s="82" t="str">
        <f ca="1">IF(N752 = "VENCIDO",BD!$B752,"")</f>
        <v/>
      </c>
      <c r="P752" s="82" t="str">
        <f ca="1">IF(N752 = "VENCIDO",BD!$C752,"")</f>
        <v/>
      </c>
      <c r="Q752" s="83" t="str">
        <f ca="1">IF(N752 = "VENCIDO",BD!$E752,"")</f>
        <v/>
      </c>
      <c r="R752" s="83" t="str">
        <f ca="1">IF(N752 = "VENCIDO",BD!$F752,"")</f>
        <v/>
      </c>
      <c r="S752" s="85" t="str">
        <f ca="1">IF(N752 = "VENCIDO",BD!$G752,"")</f>
        <v/>
      </c>
      <c r="T752" s="83" t="str">
        <f ca="1">IF(AND(TODAY()&gt;BD!$C752, OR(BD!$D752="PENDENTE", BD!$D752="")), TODAY()-BD!$C752, "")</f>
        <v/>
      </c>
    </row>
    <row r="753" spans="1:20" ht="14.25" customHeight="1" x14ac:dyDescent="0.35">
      <c r="A753" s="32"/>
      <c r="B753" s="82">
        <f>'NOV-26'!A14</f>
        <v>0</v>
      </c>
      <c r="C753" s="82">
        <f>'NOV-26'!B14</f>
        <v>0</v>
      </c>
      <c r="D753" s="82">
        <f>'NOV-26'!C14</f>
        <v>0</v>
      </c>
      <c r="E753" s="83">
        <f>'NOV-26'!D14</f>
        <v>0</v>
      </c>
      <c r="F753" s="84">
        <f>'NOV-26'!E14</f>
        <v>0</v>
      </c>
      <c r="G753" s="85">
        <f>'NOV-26'!F14</f>
        <v>0</v>
      </c>
      <c r="H753" s="85">
        <f t="shared" si="0"/>
        <v>0</v>
      </c>
      <c r="I753" s="83" t="s">
        <v>105</v>
      </c>
      <c r="J753" s="83" t="str">
        <f t="shared" si="1"/>
        <v/>
      </c>
      <c r="K753" s="85">
        <f t="shared" si="2"/>
        <v>0</v>
      </c>
      <c r="L753" s="83" t="str">
        <f t="shared" si="3"/>
        <v/>
      </c>
      <c r="M753" s="83">
        <f>'NOV-26'!H14</f>
        <v>0</v>
      </c>
      <c r="N753" s="92" t="str">
        <f ca="1">IF(BD!$C753="","",IF(AND(TODAY()&gt;BD!$C753,OR(BD!$D753="PENDENTE",BD!$D753="")),"VENCIDO",""))</f>
        <v/>
      </c>
      <c r="O753" s="82" t="str">
        <f ca="1">IF(N753 = "VENCIDO",BD!$B753,"")</f>
        <v/>
      </c>
      <c r="P753" s="82" t="str">
        <f ca="1">IF(N753 = "VENCIDO",BD!$C753,"")</f>
        <v/>
      </c>
      <c r="Q753" s="83" t="str">
        <f ca="1">IF(N753 = "VENCIDO",BD!$E753,"")</f>
        <v/>
      </c>
      <c r="R753" s="83" t="str">
        <f ca="1">IF(N753 = "VENCIDO",BD!$F753,"")</f>
        <v/>
      </c>
      <c r="S753" s="85" t="str">
        <f ca="1">IF(N753 = "VENCIDO",BD!$G753,"")</f>
        <v/>
      </c>
      <c r="T753" s="83" t="str">
        <f ca="1">IF(AND(TODAY()&gt;BD!$C753, OR(BD!$D753="PENDENTE", BD!$D753="")), TODAY()-BD!$C753, "")</f>
        <v/>
      </c>
    </row>
    <row r="754" spans="1:20" ht="14.25" customHeight="1" x14ac:dyDescent="0.35">
      <c r="A754" s="32"/>
      <c r="B754" s="82">
        <f>'NOV-26'!A15</f>
        <v>0</v>
      </c>
      <c r="C754" s="82">
        <f>'NOV-26'!B15</f>
        <v>0</v>
      </c>
      <c r="D754" s="82">
        <f>'NOV-26'!C15</f>
        <v>0</v>
      </c>
      <c r="E754" s="83">
        <f>'NOV-26'!D15</f>
        <v>0</v>
      </c>
      <c r="F754" s="84">
        <f>'NOV-26'!E15</f>
        <v>0</v>
      </c>
      <c r="G754" s="85">
        <f>'NOV-26'!F15</f>
        <v>0</v>
      </c>
      <c r="H754" s="85">
        <f t="shared" si="0"/>
        <v>0</v>
      </c>
      <c r="I754" s="83" t="s">
        <v>105</v>
      </c>
      <c r="J754" s="83" t="str">
        <f t="shared" si="1"/>
        <v/>
      </c>
      <c r="K754" s="85">
        <f t="shared" si="2"/>
        <v>0</v>
      </c>
      <c r="L754" s="83" t="str">
        <f t="shared" si="3"/>
        <v/>
      </c>
      <c r="M754" s="83">
        <f>'NOV-26'!H15</f>
        <v>0</v>
      </c>
      <c r="N754" s="92" t="str">
        <f ca="1">IF(BD!$C754="","",IF(AND(TODAY()&gt;BD!$C754,OR(BD!$D754="PENDENTE",BD!$D754="")),"VENCIDO",""))</f>
        <v/>
      </c>
      <c r="O754" s="82" t="str">
        <f ca="1">IF(N754 = "VENCIDO",BD!$B754,"")</f>
        <v/>
      </c>
      <c r="P754" s="82" t="str">
        <f ca="1">IF(N754 = "VENCIDO",BD!$C754,"")</f>
        <v/>
      </c>
      <c r="Q754" s="83" t="str">
        <f ca="1">IF(N754 = "VENCIDO",BD!$E754,"")</f>
        <v/>
      </c>
      <c r="R754" s="83" t="str">
        <f ca="1">IF(N754 = "VENCIDO",BD!$F754,"")</f>
        <v/>
      </c>
      <c r="S754" s="85" t="str">
        <f ca="1">IF(N754 = "VENCIDO",BD!$G754,"")</f>
        <v/>
      </c>
      <c r="T754" s="83" t="str">
        <f ca="1">IF(AND(TODAY()&gt;BD!$C754, OR(BD!$D754="PENDENTE", BD!$D754="")), TODAY()-BD!$C754, "")</f>
        <v/>
      </c>
    </row>
    <row r="755" spans="1:20" ht="14.25" customHeight="1" x14ac:dyDescent="0.35">
      <c r="A755" s="32"/>
      <c r="B755" s="82">
        <f>'NOV-26'!A16</f>
        <v>0</v>
      </c>
      <c r="C755" s="82">
        <f>'NOV-26'!B16</f>
        <v>0</v>
      </c>
      <c r="D755" s="82">
        <f>'NOV-26'!C16</f>
        <v>0</v>
      </c>
      <c r="E755" s="83">
        <f>'NOV-26'!D16</f>
        <v>0</v>
      </c>
      <c r="F755" s="84">
        <f>'NOV-26'!E16</f>
        <v>0</v>
      </c>
      <c r="G755" s="85">
        <f>'NOV-26'!F16</f>
        <v>0</v>
      </c>
      <c r="H755" s="85">
        <f t="shared" si="0"/>
        <v>0</v>
      </c>
      <c r="I755" s="83" t="s">
        <v>105</v>
      </c>
      <c r="J755" s="83" t="str">
        <f t="shared" si="1"/>
        <v/>
      </c>
      <c r="K755" s="85">
        <f t="shared" si="2"/>
        <v>0</v>
      </c>
      <c r="L755" s="83" t="str">
        <f t="shared" si="3"/>
        <v/>
      </c>
      <c r="M755" s="83">
        <f>'NOV-26'!H16</f>
        <v>0</v>
      </c>
      <c r="N755" s="92" t="str">
        <f ca="1">IF(BD!$C755="","",IF(AND(TODAY()&gt;BD!$C755,OR(BD!$D755="PENDENTE",BD!$D755="")),"VENCIDO",""))</f>
        <v/>
      </c>
      <c r="O755" s="82" t="str">
        <f ca="1">IF(N755 = "VENCIDO",BD!$B755,"")</f>
        <v/>
      </c>
      <c r="P755" s="82" t="str">
        <f ca="1">IF(N755 = "VENCIDO",BD!$C755,"")</f>
        <v/>
      </c>
      <c r="Q755" s="83" t="str">
        <f ca="1">IF(N755 = "VENCIDO",BD!$E755,"")</f>
        <v/>
      </c>
      <c r="R755" s="83" t="str">
        <f ca="1">IF(N755 = "VENCIDO",BD!$F755,"")</f>
        <v/>
      </c>
      <c r="S755" s="85" t="str">
        <f ca="1">IF(N755 = "VENCIDO",BD!$G755,"")</f>
        <v/>
      </c>
      <c r="T755" s="83" t="str">
        <f ca="1">IF(AND(TODAY()&gt;BD!$C755, OR(BD!$D755="PENDENTE", BD!$D755="")), TODAY()-BD!$C755, "")</f>
        <v/>
      </c>
    </row>
    <row r="756" spans="1:20" ht="14.25" customHeight="1" x14ac:dyDescent="0.35">
      <c r="A756" s="32"/>
      <c r="B756" s="82">
        <f>'NOV-26'!A17</f>
        <v>0</v>
      </c>
      <c r="C756" s="82">
        <f>'NOV-26'!B17</f>
        <v>0</v>
      </c>
      <c r="D756" s="82">
        <f>'NOV-26'!C17</f>
        <v>0</v>
      </c>
      <c r="E756" s="83">
        <f>'NOV-26'!D17</f>
        <v>0</v>
      </c>
      <c r="F756" s="84">
        <f>'NOV-26'!E17</f>
        <v>0</v>
      </c>
      <c r="G756" s="85">
        <f>'NOV-26'!F17</f>
        <v>0</v>
      </c>
      <c r="H756" s="85">
        <f t="shared" si="0"/>
        <v>0</v>
      </c>
      <c r="I756" s="83" t="s">
        <v>105</v>
      </c>
      <c r="J756" s="83" t="str">
        <f t="shared" si="1"/>
        <v/>
      </c>
      <c r="K756" s="85">
        <f t="shared" si="2"/>
        <v>0</v>
      </c>
      <c r="L756" s="83" t="str">
        <f t="shared" si="3"/>
        <v/>
      </c>
      <c r="M756" s="83">
        <f>'NOV-26'!H17</f>
        <v>0</v>
      </c>
      <c r="N756" s="92" t="str">
        <f ca="1">IF(BD!$C756="","",IF(AND(TODAY()&gt;BD!$C756,OR(BD!$D756="PENDENTE",BD!$D756="")),"VENCIDO",""))</f>
        <v/>
      </c>
      <c r="O756" s="82" t="str">
        <f ca="1">IF(N756 = "VENCIDO",BD!$B756,"")</f>
        <v/>
      </c>
      <c r="P756" s="82" t="str">
        <f ca="1">IF(N756 = "VENCIDO",BD!$C756,"")</f>
        <v/>
      </c>
      <c r="Q756" s="83" t="str">
        <f ca="1">IF(N756 = "VENCIDO",BD!$E756,"")</f>
        <v/>
      </c>
      <c r="R756" s="83" t="str">
        <f ca="1">IF(N756 = "VENCIDO",BD!$F756,"")</f>
        <v/>
      </c>
      <c r="S756" s="85" t="str">
        <f ca="1">IF(N756 = "VENCIDO",BD!$G756,"")</f>
        <v/>
      </c>
      <c r="T756" s="83" t="str">
        <f ca="1">IF(AND(TODAY()&gt;BD!$C756, OR(BD!$D756="PENDENTE", BD!$D756="")), TODAY()-BD!$C756, "")</f>
        <v/>
      </c>
    </row>
    <row r="757" spans="1:20" ht="14.25" customHeight="1" x14ac:dyDescent="0.35">
      <c r="A757" s="32"/>
      <c r="B757" s="82">
        <f>'NOV-26'!A18</f>
        <v>0</v>
      </c>
      <c r="C757" s="82">
        <f>'NOV-26'!B18</f>
        <v>0</v>
      </c>
      <c r="D757" s="82">
        <f>'NOV-26'!C18</f>
        <v>0</v>
      </c>
      <c r="E757" s="83">
        <f>'NOV-26'!D18</f>
        <v>0</v>
      </c>
      <c r="F757" s="84">
        <f>'NOV-26'!E18</f>
        <v>0</v>
      </c>
      <c r="G757" s="85">
        <f>'NOV-26'!F18</f>
        <v>0</v>
      </c>
      <c r="H757" s="85">
        <f t="shared" si="0"/>
        <v>0</v>
      </c>
      <c r="I757" s="83" t="s">
        <v>105</v>
      </c>
      <c r="J757" s="83" t="str">
        <f t="shared" si="1"/>
        <v/>
      </c>
      <c r="K757" s="85">
        <f t="shared" si="2"/>
        <v>0</v>
      </c>
      <c r="L757" s="83" t="str">
        <f t="shared" si="3"/>
        <v/>
      </c>
      <c r="M757" s="83">
        <f>'NOV-26'!H18</f>
        <v>0</v>
      </c>
      <c r="N757" s="92" t="str">
        <f ca="1">IF(BD!$C757="","",IF(AND(TODAY()&gt;BD!$C757,OR(BD!$D757="PENDENTE",BD!$D757="")),"VENCIDO",""))</f>
        <v/>
      </c>
      <c r="O757" s="82" t="str">
        <f ca="1">IF(N757 = "VENCIDO",BD!$B757,"")</f>
        <v/>
      </c>
      <c r="P757" s="82" t="str">
        <f ca="1">IF(N757 = "VENCIDO",BD!$C757,"")</f>
        <v/>
      </c>
      <c r="Q757" s="83" t="str">
        <f ca="1">IF(N757 = "VENCIDO",BD!$E757,"")</f>
        <v/>
      </c>
      <c r="R757" s="83" t="str">
        <f ca="1">IF(N757 = "VENCIDO",BD!$F757,"")</f>
        <v/>
      </c>
      <c r="S757" s="85" t="str">
        <f ca="1">IF(N757 = "VENCIDO",BD!$G757,"")</f>
        <v/>
      </c>
      <c r="T757" s="83" t="str">
        <f ca="1">IF(AND(TODAY()&gt;BD!$C757, OR(BD!$D757="PENDENTE", BD!$D757="")), TODAY()-BD!$C757, "")</f>
        <v/>
      </c>
    </row>
    <row r="758" spans="1:20" ht="14.25" customHeight="1" x14ac:dyDescent="0.35">
      <c r="A758" s="32"/>
      <c r="B758" s="82">
        <f>'NOV-26'!A19</f>
        <v>0</v>
      </c>
      <c r="C758" s="82">
        <f>'NOV-26'!B19</f>
        <v>0</v>
      </c>
      <c r="D758" s="82">
        <f>'NOV-26'!C19</f>
        <v>0</v>
      </c>
      <c r="E758" s="83">
        <f>'NOV-26'!D19</f>
        <v>0</v>
      </c>
      <c r="F758" s="84">
        <f>'NOV-26'!E19</f>
        <v>0</v>
      </c>
      <c r="G758" s="85">
        <f>'NOV-26'!F19</f>
        <v>0</v>
      </c>
      <c r="H758" s="85">
        <f t="shared" si="0"/>
        <v>0</v>
      </c>
      <c r="I758" s="83" t="s">
        <v>105</v>
      </c>
      <c r="J758" s="83" t="str">
        <f t="shared" si="1"/>
        <v/>
      </c>
      <c r="K758" s="85">
        <f t="shared" si="2"/>
        <v>0</v>
      </c>
      <c r="L758" s="83" t="str">
        <f t="shared" si="3"/>
        <v/>
      </c>
      <c r="M758" s="83">
        <f>'NOV-26'!H19</f>
        <v>0</v>
      </c>
      <c r="N758" s="92" t="str">
        <f ca="1">IF(BD!$C758="","",IF(AND(TODAY()&gt;BD!$C758,OR(BD!$D758="PENDENTE",BD!$D758="")),"VENCIDO",""))</f>
        <v/>
      </c>
      <c r="O758" s="82" t="str">
        <f ca="1">IF(N758 = "VENCIDO",BD!$B758,"")</f>
        <v/>
      </c>
      <c r="P758" s="82" t="str">
        <f ca="1">IF(N758 = "VENCIDO",BD!$C758,"")</f>
        <v/>
      </c>
      <c r="Q758" s="83" t="str">
        <f ca="1">IF(N758 = "VENCIDO",BD!$E758,"")</f>
        <v/>
      </c>
      <c r="R758" s="83" t="str">
        <f ca="1">IF(N758 = "VENCIDO",BD!$F758,"")</f>
        <v/>
      </c>
      <c r="S758" s="85" t="str">
        <f ca="1">IF(N758 = "VENCIDO",BD!$G758,"")</f>
        <v/>
      </c>
      <c r="T758" s="83" t="str">
        <f ca="1">IF(AND(TODAY()&gt;BD!$C758, OR(BD!$D758="PENDENTE", BD!$D758="")), TODAY()-BD!$C758, "")</f>
        <v/>
      </c>
    </row>
    <row r="759" spans="1:20" ht="14.25" customHeight="1" x14ac:dyDescent="0.35">
      <c r="A759" s="32"/>
      <c r="B759" s="82">
        <f>'NOV-26'!A20</f>
        <v>0</v>
      </c>
      <c r="C759" s="82">
        <f>'NOV-26'!B20</f>
        <v>0</v>
      </c>
      <c r="D759" s="82">
        <f>'NOV-26'!C20</f>
        <v>0</v>
      </c>
      <c r="E759" s="83">
        <f>'NOV-26'!D20</f>
        <v>0</v>
      </c>
      <c r="F759" s="84">
        <f>'NOV-26'!E20</f>
        <v>0</v>
      </c>
      <c r="G759" s="85">
        <f>'NOV-26'!F20</f>
        <v>0</v>
      </c>
      <c r="H759" s="85">
        <f t="shared" si="0"/>
        <v>0</v>
      </c>
      <c r="I759" s="83" t="s">
        <v>105</v>
      </c>
      <c r="J759" s="83" t="str">
        <f t="shared" si="1"/>
        <v/>
      </c>
      <c r="K759" s="85">
        <f t="shared" si="2"/>
        <v>0</v>
      </c>
      <c r="L759" s="83" t="str">
        <f t="shared" si="3"/>
        <v/>
      </c>
      <c r="M759" s="83">
        <f>'NOV-26'!H20</f>
        <v>0</v>
      </c>
      <c r="N759" s="92" t="str">
        <f ca="1">IF(BD!$C759="","",IF(AND(TODAY()&gt;BD!$C759,OR(BD!$D759="PENDENTE",BD!$D759="")),"VENCIDO",""))</f>
        <v/>
      </c>
      <c r="O759" s="82" t="str">
        <f ca="1">IF(N759 = "VENCIDO",BD!$B759,"")</f>
        <v/>
      </c>
      <c r="P759" s="82" t="str">
        <f ca="1">IF(N759 = "VENCIDO",BD!$C759,"")</f>
        <v/>
      </c>
      <c r="Q759" s="83" t="str">
        <f ca="1">IF(N759 = "VENCIDO",BD!$E759,"")</f>
        <v/>
      </c>
      <c r="R759" s="83" t="str">
        <f ca="1">IF(N759 = "VENCIDO",BD!$F759,"")</f>
        <v/>
      </c>
      <c r="S759" s="85" t="str">
        <f ca="1">IF(N759 = "VENCIDO",BD!$G759,"")</f>
        <v/>
      </c>
      <c r="T759" s="83" t="str">
        <f ca="1">IF(AND(TODAY()&gt;BD!$C759, OR(BD!$D759="PENDENTE", BD!$D759="")), TODAY()-BD!$C759, "")</f>
        <v/>
      </c>
    </row>
    <row r="760" spans="1:20" ht="14.25" customHeight="1" x14ac:dyDescent="0.35">
      <c r="A760" s="32"/>
      <c r="B760" s="82">
        <f>'NOV-26'!A21</f>
        <v>0</v>
      </c>
      <c r="C760" s="82">
        <f>'NOV-26'!B21</f>
        <v>0</v>
      </c>
      <c r="D760" s="82">
        <f>'NOV-26'!C21</f>
        <v>0</v>
      </c>
      <c r="E760" s="83">
        <f>'NOV-26'!D21</f>
        <v>0</v>
      </c>
      <c r="F760" s="84">
        <f>'NOV-26'!E21</f>
        <v>0</v>
      </c>
      <c r="G760" s="85">
        <f>'NOV-26'!F21</f>
        <v>0</v>
      </c>
      <c r="H760" s="85">
        <f t="shared" si="0"/>
        <v>0</v>
      </c>
      <c r="I760" s="83" t="s">
        <v>105</v>
      </c>
      <c r="J760" s="83" t="str">
        <f t="shared" si="1"/>
        <v/>
      </c>
      <c r="K760" s="85">
        <f t="shared" si="2"/>
        <v>0</v>
      </c>
      <c r="L760" s="83" t="str">
        <f t="shared" si="3"/>
        <v/>
      </c>
      <c r="M760" s="83">
        <f>'NOV-26'!H21</f>
        <v>0</v>
      </c>
      <c r="N760" s="92" t="str">
        <f ca="1">IF(BD!$C760="","",IF(AND(TODAY()&gt;BD!$C760,OR(BD!$D760="PENDENTE",BD!$D760="")),"VENCIDO",""))</f>
        <v/>
      </c>
      <c r="O760" s="82" t="str">
        <f ca="1">IF(N760 = "VENCIDO",BD!$B760,"")</f>
        <v/>
      </c>
      <c r="P760" s="82" t="str">
        <f ca="1">IF(N760 = "VENCIDO",BD!$C760,"")</f>
        <v/>
      </c>
      <c r="Q760" s="83" t="str">
        <f ca="1">IF(N760 = "VENCIDO",BD!$E760,"")</f>
        <v/>
      </c>
      <c r="R760" s="83" t="str">
        <f ca="1">IF(N760 = "VENCIDO",BD!$F760,"")</f>
        <v/>
      </c>
      <c r="S760" s="85" t="str">
        <f ca="1">IF(N760 = "VENCIDO",BD!$G760,"")</f>
        <v/>
      </c>
      <c r="T760" s="83" t="str">
        <f ca="1">IF(AND(TODAY()&gt;BD!$C760, OR(BD!$D760="PENDENTE", BD!$D760="")), TODAY()-BD!$C760, "")</f>
        <v/>
      </c>
    </row>
    <row r="761" spans="1:20" ht="14.25" customHeight="1" x14ac:dyDescent="0.35">
      <c r="A761" s="32"/>
      <c r="B761" s="82">
        <f>'NOV-26'!A22</f>
        <v>0</v>
      </c>
      <c r="C761" s="82">
        <f>'NOV-26'!B22</f>
        <v>0</v>
      </c>
      <c r="D761" s="82">
        <f>'NOV-26'!C22</f>
        <v>0</v>
      </c>
      <c r="E761" s="83">
        <f>'NOV-26'!D22</f>
        <v>0</v>
      </c>
      <c r="F761" s="84">
        <f>'NOV-26'!E22</f>
        <v>0</v>
      </c>
      <c r="G761" s="85">
        <f>'NOV-26'!F22</f>
        <v>0</v>
      </c>
      <c r="H761" s="85">
        <f t="shared" si="0"/>
        <v>0</v>
      </c>
      <c r="I761" s="83" t="s">
        <v>105</v>
      </c>
      <c r="J761" s="83" t="str">
        <f t="shared" si="1"/>
        <v/>
      </c>
      <c r="K761" s="85">
        <f t="shared" si="2"/>
        <v>0</v>
      </c>
      <c r="L761" s="83" t="str">
        <f t="shared" si="3"/>
        <v/>
      </c>
      <c r="M761" s="83">
        <f>'NOV-26'!H22</f>
        <v>0</v>
      </c>
      <c r="N761" s="92" t="str">
        <f ca="1">IF(BD!$C761="","",IF(AND(TODAY()&gt;BD!$C761,OR(BD!$D761="PENDENTE",BD!$D761="")),"VENCIDO",""))</f>
        <v/>
      </c>
      <c r="O761" s="82" t="str">
        <f ca="1">IF(N761 = "VENCIDO",BD!$B761,"")</f>
        <v/>
      </c>
      <c r="P761" s="82" t="str">
        <f ca="1">IF(N761 = "VENCIDO",BD!$C761,"")</f>
        <v/>
      </c>
      <c r="Q761" s="83" t="str">
        <f ca="1">IF(N761 = "VENCIDO",BD!$E761,"")</f>
        <v/>
      </c>
      <c r="R761" s="83" t="str">
        <f ca="1">IF(N761 = "VENCIDO",BD!$F761,"")</f>
        <v/>
      </c>
      <c r="S761" s="85" t="str">
        <f ca="1">IF(N761 = "VENCIDO",BD!$G761,"")</f>
        <v/>
      </c>
      <c r="T761" s="83" t="str">
        <f ca="1">IF(AND(TODAY()&gt;BD!$C761, OR(BD!$D761="PENDENTE", BD!$D761="")), TODAY()-BD!$C761, "")</f>
        <v/>
      </c>
    </row>
    <row r="762" spans="1:20" ht="14.25" customHeight="1" x14ac:dyDescent="0.35">
      <c r="A762" s="32"/>
      <c r="B762" s="82">
        <f>'NOV-26'!A23</f>
        <v>0</v>
      </c>
      <c r="C762" s="82">
        <f>'NOV-26'!B23</f>
        <v>0</v>
      </c>
      <c r="D762" s="82">
        <f>'NOV-26'!C23</f>
        <v>0</v>
      </c>
      <c r="E762" s="83">
        <f>'NOV-26'!D23</f>
        <v>0</v>
      </c>
      <c r="F762" s="84">
        <f>'NOV-26'!E23</f>
        <v>0</v>
      </c>
      <c r="G762" s="85">
        <f>'NOV-26'!F23</f>
        <v>0</v>
      </c>
      <c r="H762" s="85">
        <f t="shared" si="0"/>
        <v>0</v>
      </c>
      <c r="I762" s="83" t="s">
        <v>105</v>
      </c>
      <c r="J762" s="83" t="str">
        <f t="shared" si="1"/>
        <v/>
      </c>
      <c r="K762" s="85">
        <f t="shared" si="2"/>
        <v>0</v>
      </c>
      <c r="L762" s="83" t="str">
        <f t="shared" si="3"/>
        <v/>
      </c>
      <c r="M762" s="83">
        <f>'NOV-26'!H23</f>
        <v>0</v>
      </c>
      <c r="N762" s="92" t="str">
        <f ca="1">IF(BD!$C762="","",IF(AND(TODAY()&gt;BD!$C762,OR(BD!$D762="PENDENTE",BD!$D762="")),"VENCIDO",""))</f>
        <v/>
      </c>
      <c r="O762" s="82" t="str">
        <f ca="1">IF(N762 = "VENCIDO",BD!$B762,"")</f>
        <v/>
      </c>
      <c r="P762" s="82" t="str">
        <f ca="1">IF(N762 = "VENCIDO",BD!$C762,"")</f>
        <v/>
      </c>
      <c r="Q762" s="83" t="str">
        <f ca="1">IF(N762 = "VENCIDO",BD!$E762,"")</f>
        <v/>
      </c>
      <c r="R762" s="83" t="str">
        <f ca="1">IF(N762 = "VENCIDO",BD!$F762,"")</f>
        <v/>
      </c>
      <c r="S762" s="85" t="str">
        <f ca="1">IF(N762 = "VENCIDO",BD!$G762,"")</f>
        <v/>
      </c>
      <c r="T762" s="83" t="str">
        <f ca="1">IF(AND(TODAY()&gt;BD!$C762, OR(BD!$D762="PENDENTE", BD!$D762="")), TODAY()-BD!$C762, "")</f>
        <v/>
      </c>
    </row>
    <row r="763" spans="1:20" ht="14.25" customHeight="1" x14ac:dyDescent="0.35">
      <c r="A763" s="32"/>
      <c r="B763" s="82">
        <f>'NOV-26'!A24</f>
        <v>0</v>
      </c>
      <c r="C763" s="82">
        <f>'NOV-26'!B24</f>
        <v>0</v>
      </c>
      <c r="D763" s="82">
        <f>'NOV-26'!C24</f>
        <v>0</v>
      </c>
      <c r="E763" s="83">
        <f>'NOV-26'!D24</f>
        <v>0</v>
      </c>
      <c r="F763" s="84">
        <f>'NOV-26'!E24</f>
        <v>0</v>
      </c>
      <c r="G763" s="85">
        <f>'NOV-26'!F24</f>
        <v>0</v>
      </c>
      <c r="H763" s="85">
        <f t="shared" si="0"/>
        <v>0</v>
      </c>
      <c r="I763" s="83" t="s">
        <v>105</v>
      </c>
      <c r="J763" s="83" t="str">
        <f t="shared" si="1"/>
        <v/>
      </c>
      <c r="K763" s="85">
        <f t="shared" si="2"/>
        <v>0</v>
      </c>
      <c r="L763" s="83" t="str">
        <f t="shared" si="3"/>
        <v/>
      </c>
      <c r="M763" s="83">
        <f>'NOV-26'!H24</f>
        <v>0</v>
      </c>
      <c r="N763" s="92" t="str">
        <f ca="1">IF(BD!$C763="","",IF(AND(TODAY()&gt;BD!$C763,OR(BD!$D763="PENDENTE",BD!$D763="")),"VENCIDO",""))</f>
        <v/>
      </c>
      <c r="O763" s="82" t="str">
        <f ca="1">IF(N763 = "VENCIDO",BD!$B763,"")</f>
        <v/>
      </c>
      <c r="P763" s="82" t="str">
        <f ca="1">IF(N763 = "VENCIDO",BD!$C763,"")</f>
        <v/>
      </c>
      <c r="Q763" s="83" t="str">
        <f ca="1">IF(N763 = "VENCIDO",BD!$E763,"")</f>
        <v/>
      </c>
      <c r="R763" s="83" t="str">
        <f ca="1">IF(N763 = "VENCIDO",BD!$F763,"")</f>
        <v/>
      </c>
      <c r="S763" s="85" t="str">
        <f ca="1">IF(N763 = "VENCIDO",BD!$G763,"")</f>
        <v/>
      </c>
      <c r="T763" s="83" t="str">
        <f ca="1">IF(AND(TODAY()&gt;BD!$C763, OR(BD!$D763="PENDENTE", BD!$D763="")), TODAY()-BD!$C763, "")</f>
        <v/>
      </c>
    </row>
    <row r="764" spans="1:20" ht="14.25" customHeight="1" x14ac:dyDescent="0.35">
      <c r="A764" s="32"/>
      <c r="B764" s="82">
        <f>'NOV-26'!A25</f>
        <v>0</v>
      </c>
      <c r="C764" s="82">
        <f>'NOV-26'!B25</f>
        <v>0</v>
      </c>
      <c r="D764" s="82">
        <f>'NOV-26'!C25</f>
        <v>0</v>
      </c>
      <c r="E764" s="93">
        <f>'NOV-26'!D25</f>
        <v>0</v>
      </c>
      <c r="F764" s="84">
        <f>'NOV-26'!E25</f>
        <v>0</v>
      </c>
      <c r="G764" s="85">
        <f>'NOV-26'!F25</f>
        <v>0</v>
      </c>
      <c r="H764" s="85">
        <f t="shared" si="0"/>
        <v>0</v>
      </c>
      <c r="I764" s="83" t="s">
        <v>105</v>
      </c>
      <c r="J764" s="83" t="str">
        <f t="shared" si="1"/>
        <v/>
      </c>
      <c r="K764" s="85">
        <f t="shared" si="2"/>
        <v>0</v>
      </c>
      <c r="L764" s="83" t="str">
        <f t="shared" si="3"/>
        <v/>
      </c>
      <c r="M764" s="83">
        <f>'NOV-26'!H25</f>
        <v>0</v>
      </c>
      <c r="N764" s="92" t="str">
        <f ca="1">IF(BD!$C764="","",IF(AND(TODAY()&gt;BD!$C764,OR(BD!$D764="PENDENTE",BD!$D764="")),"VENCIDO",""))</f>
        <v/>
      </c>
      <c r="O764" s="82" t="str">
        <f ca="1">IF(N764 = "VENCIDO",BD!$B764,"")</f>
        <v/>
      </c>
      <c r="P764" s="82" t="str">
        <f ca="1">IF(N764 = "VENCIDO",BD!$C764,"")</f>
        <v/>
      </c>
      <c r="Q764" s="83" t="str">
        <f ca="1">IF(N764 = "VENCIDO",BD!$E764,"")</f>
        <v/>
      </c>
      <c r="R764" s="83" t="str">
        <f ca="1">IF(N764 = "VENCIDO",BD!$F764,"")</f>
        <v/>
      </c>
      <c r="S764" s="85" t="str">
        <f ca="1">IF(N764 = "VENCIDO",BD!$G764,"")</f>
        <v/>
      </c>
      <c r="T764" s="83" t="str">
        <f ca="1">IF(AND(TODAY()&gt;BD!$C764, OR(BD!$D764="PENDENTE", BD!$D764="")), TODAY()-BD!$C764, "")</f>
        <v/>
      </c>
    </row>
    <row r="765" spans="1:20" ht="14.25" customHeight="1" x14ac:dyDescent="0.35">
      <c r="A765" s="32"/>
      <c r="B765" s="82">
        <f>'NOV-26'!A26</f>
        <v>0</v>
      </c>
      <c r="C765" s="82">
        <f>'NOV-26'!B26</f>
        <v>0</v>
      </c>
      <c r="D765" s="82">
        <f>'NOV-26'!C26</f>
        <v>0</v>
      </c>
      <c r="E765" s="83">
        <f>'NOV-26'!D26</f>
        <v>0</v>
      </c>
      <c r="F765" s="84">
        <f>'NOV-26'!E26</f>
        <v>0</v>
      </c>
      <c r="G765" s="85">
        <f>'NOV-26'!F26</f>
        <v>0</v>
      </c>
      <c r="H765" s="85">
        <f t="shared" si="0"/>
        <v>0</v>
      </c>
      <c r="I765" s="83" t="s">
        <v>105</v>
      </c>
      <c r="J765" s="83" t="str">
        <f t="shared" si="1"/>
        <v/>
      </c>
      <c r="K765" s="85">
        <f t="shared" si="2"/>
        <v>0</v>
      </c>
      <c r="L765" s="83" t="str">
        <f t="shared" si="3"/>
        <v/>
      </c>
      <c r="M765" s="83">
        <f>'NOV-26'!H26</f>
        <v>0</v>
      </c>
      <c r="N765" s="92" t="str">
        <f ca="1">IF(BD!$C765="","",IF(AND(TODAY()&gt;BD!$C765,OR(BD!$D765="PENDENTE",BD!$D765="")),"VENCIDO",""))</f>
        <v/>
      </c>
      <c r="O765" s="82" t="str">
        <f ca="1">IF(N765 = "VENCIDO",BD!$B765,"")</f>
        <v/>
      </c>
      <c r="P765" s="82" t="str">
        <f ca="1">IF(N765 = "VENCIDO",BD!$C765,"")</f>
        <v/>
      </c>
      <c r="Q765" s="83" t="str">
        <f ca="1">IF(N765 = "VENCIDO",BD!$E765,"")</f>
        <v/>
      </c>
      <c r="R765" s="83" t="str">
        <f ca="1">IF(N765 = "VENCIDO",BD!$F765,"")</f>
        <v/>
      </c>
      <c r="S765" s="85" t="str">
        <f ca="1">IF(N765 = "VENCIDO",BD!$G765,"")</f>
        <v/>
      </c>
      <c r="T765" s="83" t="str">
        <f ca="1">IF(AND(TODAY()&gt;BD!$C765, OR(BD!$D765="PENDENTE", BD!$D765="")), TODAY()-BD!$C765, "")</f>
        <v/>
      </c>
    </row>
    <row r="766" spans="1:20" ht="14.25" customHeight="1" x14ac:dyDescent="0.35">
      <c r="A766" s="32"/>
      <c r="B766" s="82">
        <f>'NOV-26'!A27</f>
        <v>0</v>
      </c>
      <c r="C766" s="82">
        <f>'NOV-26'!B27</f>
        <v>0</v>
      </c>
      <c r="D766" s="82">
        <f>'NOV-26'!C27</f>
        <v>0</v>
      </c>
      <c r="E766" s="83">
        <f>'NOV-26'!D27</f>
        <v>0</v>
      </c>
      <c r="F766" s="84">
        <f>'NOV-26'!E27</f>
        <v>0</v>
      </c>
      <c r="G766" s="85">
        <f>'NOV-26'!F27</f>
        <v>0</v>
      </c>
      <c r="H766" s="85">
        <f t="shared" si="0"/>
        <v>0</v>
      </c>
      <c r="I766" s="83" t="s">
        <v>105</v>
      </c>
      <c r="J766" s="83" t="str">
        <f t="shared" si="1"/>
        <v/>
      </c>
      <c r="K766" s="85">
        <f t="shared" si="2"/>
        <v>0</v>
      </c>
      <c r="L766" s="83" t="str">
        <f t="shared" si="3"/>
        <v/>
      </c>
      <c r="M766" s="83">
        <f>'NOV-26'!H27</f>
        <v>0</v>
      </c>
      <c r="N766" s="92" t="str">
        <f ca="1">IF(BD!$C766="","",IF(AND(TODAY()&gt;BD!$C766,OR(BD!$D766="PENDENTE",BD!$D766="")),"VENCIDO",""))</f>
        <v/>
      </c>
      <c r="O766" s="82" t="str">
        <f ca="1">IF(N766 = "VENCIDO",BD!$B766,"")</f>
        <v/>
      </c>
      <c r="P766" s="82" t="str">
        <f ca="1">IF(N766 = "VENCIDO",BD!$C766,"")</f>
        <v/>
      </c>
      <c r="Q766" s="83" t="str">
        <f ca="1">IF(N766 = "VENCIDO",BD!$E766,"")</f>
        <v/>
      </c>
      <c r="R766" s="83" t="str">
        <f ca="1">IF(N766 = "VENCIDO",BD!$F766,"")</f>
        <v/>
      </c>
      <c r="S766" s="85" t="str">
        <f ca="1">IF(N766 = "VENCIDO",BD!$G766,"")</f>
        <v/>
      </c>
      <c r="T766" s="83" t="str">
        <f ca="1">IF(AND(TODAY()&gt;BD!$C766, OR(BD!$D766="PENDENTE", BD!$D766="")), TODAY()-BD!$C766, "")</f>
        <v/>
      </c>
    </row>
    <row r="767" spans="1:20" ht="14.25" customHeight="1" x14ac:dyDescent="0.35">
      <c r="A767" s="32"/>
      <c r="B767" s="82">
        <f>'NOV-26'!A28</f>
        <v>0</v>
      </c>
      <c r="C767" s="82">
        <f>'NOV-26'!B28</f>
        <v>0</v>
      </c>
      <c r="D767" s="82">
        <f>'NOV-26'!C28</f>
        <v>0</v>
      </c>
      <c r="E767" s="83">
        <f>'NOV-26'!D28</f>
        <v>0</v>
      </c>
      <c r="F767" s="84">
        <f>'NOV-26'!E28</f>
        <v>0</v>
      </c>
      <c r="G767" s="85">
        <f>'NOV-26'!F28</f>
        <v>0</v>
      </c>
      <c r="H767" s="85">
        <f t="shared" si="0"/>
        <v>0</v>
      </c>
      <c r="I767" s="83" t="s">
        <v>105</v>
      </c>
      <c r="J767" s="83" t="str">
        <f t="shared" si="1"/>
        <v/>
      </c>
      <c r="K767" s="85">
        <f t="shared" si="2"/>
        <v>0</v>
      </c>
      <c r="L767" s="83" t="str">
        <f t="shared" si="3"/>
        <v/>
      </c>
      <c r="M767" s="83">
        <f>'NOV-26'!H28</f>
        <v>0</v>
      </c>
      <c r="N767" s="92" t="str">
        <f ca="1">IF(BD!$C767="","",IF(AND(TODAY()&gt;BD!$C767,OR(BD!$D767="PENDENTE",BD!$D767="")),"VENCIDO",""))</f>
        <v/>
      </c>
      <c r="O767" s="82" t="str">
        <f ca="1">IF(N767 = "VENCIDO",BD!$B767,"")</f>
        <v/>
      </c>
      <c r="P767" s="82" t="str">
        <f ca="1">IF(N767 = "VENCIDO",BD!$C767,"")</f>
        <v/>
      </c>
      <c r="Q767" s="83" t="str">
        <f ca="1">IF(N767 = "VENCIDO",BD!$E767,"")</f>
        <v/>
      </c>
      <c r="R767" s="83" t="str">
        <f ca="1">IF(N767 = "VENCIDO",BD!$F767,"")</f>
        <v/>
      </c>
      <c r="S767" s="85" t="str">
        <f ca="1">IF(N767 = "VENCIDO",BD!$G767,"")</f>
        <v/>
      </c>
      <c r="T767" s="83" t="str">
        <f ca="1">IF(AND(TODAY()&gt;BD!$C767, OR(BD!$D767="PENDENTE", BD!$D767="")), TODAY()-BD!$C767, "")</f>
        <v/>
      </c>
    </row>
    <row r="768" spans="1:20" ht="14.25" customHeight="1" x14ac:dyDescent="0.35">
      <c r="A768" s="32"/>
      <c r="B768" s="82">
        <f>'NOV-26'!A29</f>
        <v>0</v>
      </c>
      <c r="C768" s="82">
        <f>'NOV-26'!B29</f>
        <v>0</v>
      </c>
      <c r="D768" s="82">
        <f>'NOV-26'!C29</f>
        <v>0</v>
      </c>
      <c r="E768" s="83">
        <f>'NOV-26'!D29</f>
        <v>0</v>
      </c>
      <c r="F768" s="84">
        <f>'NOV-26'!E29</f>
        <v>0</v>
      </c>
      <c r="G768" s="85">
        <f>'NOV-26'!F29</f>
        <v>0</v>
      </c>
      <c r="H768" s="85">
        <f t="shared" si="0"/>
        <v>0</v>
      </c>
      <c r="I768" s="83" t="s">
        <v>105</v>
      </c>
      <c r="J768" s="83" t="str">
        <f t="shared" si="1"/>
        <v/>
      </c>
      <c r="K768" s="85">
        <f t="shared" si="2"/>
        <v>0</v>
      </c>
      <c r="L768" s="83" t="str">
        <f t="shared" si="3"/>
        <v/>
      </c>
      <c r="M768" s="83">
        <f>'NOV-26'!H29</f>
        <v>0</v>
      </c>
      <c r="N768" s="92" t="str">
        <f ca="1">IF(BD!$C768="","",IF(AND(TODAY()&gt;BD!$C768,OR(BD!$D768="PENDENTE",BD!$D768="")),"VENCIDO",""))</f>
        <v/>
      </c>
      <c r="O768" s="82" t="str">
        <f ca="1">IF(N768 = "VENCIDO",BD!$B768,"")</f>
        <v/>
      </c>
      <c r="P768" s="82" t="str">
        <f ca="1">IF(N768 = "VENCIDO",BD!$C768,"")</f>
        <v/>
      </c>
      <c r="Q768" s="83" t="str">
        <f ca="1">IF(N768 = "VENCIDO",BD!$E768,"")</f>
        <v/>
      </c>
      <c r="R768" s="83" t="str">
        <f ca="1">IF(N768 = "VENCIDO",BD!$F768,"")</f>
        <v/>
      </c>
      <c r="S768" s="85" t="str">
        <f ca="1">IF(N768 = "VENCIDO",BD!$G768,"")</f>
        <v/>
      </c>
      <c r="T768" s="83" t="str">
        <f ca="1">IF(AND(TODAY()&gt;BD!$C768, OR(BD!$D768="PENDENTE", BD!$D768="")), TODAY()-BD!$C768, "")</f>
        <v/>
      </c>
    </row>
    <row r="769" spans="1:20" ht="14.25" customHeight="1" x14ac:dyDescent="0.35">
      <c r="A769" s="32"/>
      <c r="B769" s="82">
        <f>'NOV-26'!A30</f>
        <v>0</v>
      </c>
      <c r="C769" s="82">
        <f>'NOV-26'!B30</f>
        <v>0</v>
      </c>
      <c r="D769" s="82">
        <f>'NOV-26'!C30</f>
        <v>0</v>
      </c>
      <c r="E769" s="83">
        <f>'NOV-26'!D30</f>
        <v>0</v>
      </c>
      <c r="F769" s="84">
        <f>'NOV-26'!E30</f>
        <v>0</v>
      </c>
      <c r="G769" s="85">
        <f>'NOV-26'!F30</f>
        <v>0</v>
      </c>
      <c r="H769" s="85">
        <f t="shared" si="0"/>
        <v>0</v>
      </c>
      <c r="I769" s="83" t="s">
        <v>105</v>
      </c>
      <c r="J769" s="83" t="str">
        <f t="shared" si="1"/>
        <v/>
      </c>
      <c r="K769" s="85">
        <f t="shared" si="2"/>
        <v>0</v>
      </c>
      <c r="L769" s="83" t="str">
        <f t="shared" si="3"/>
        <v/>
      </c>
      <c r="M769" s="83">
        <f>'NOV-26'!H30</f>
        <v>0</v>
      </c>
      <c r="N769" s="92" t="str">
        <f ca="1">IF(BD!$C769="","",IF(AND(TODAY()&gt;BD!$C769,OR(BD!$D769="PENDENTE",BD!$D769="")),"VENCIDO",""))</f>
        <v/>
      </c>
      <c r="O769" s="82" t="str">
        <f ca="1">IF(N769 = "VENCIDO",BD!$B769,"")</f>
        <v/>
      </c>
      <c r="P769" s="82" t="str">
        <f ca="1">IF(N769 = "VENCIDO",BD!$C769,"")</f>
        <v/>
      </c>
      <c r="Q769" s="83" t="str">
        <f ca="1">IF(N769 = "VENCIDO",BD!$E769,"")</f>
        <v/>
      </c>
      <c r="R769" s="83" t="str">
        <f ca="1">IF(N769 = "VENCIDO",BD!$F769,"")</f>
        <v/>
      </c>
      <c r="S769" s="85" t="str">
        <f ca="1">IF(N769 = "VENCIDO",BD!$G769,"")</f>
        <v/>
      </c>
      <c r="T769" s="83" t="str">
        <f ca="1">IF(AND(TODAY()&gt;BD!$C769, OR(BD!$D769="PENDENTE", BD!$D769="")), TODAY()-BD!$C769, "")</f>
        <v/>
      </c>
    </row>
    <row r="770" spans="1:20" ht="14.25" customHeight="1" x14ac:dyDescent="0.35">
      <c r="A770" s="32"/>
      <c r="B770" s="82">
        <f>'NOV-26'!A31</f>
        <v>0</v>
      </c>
      <c r="C770" s="82">
        <f>'NOV-26'!B31</f>
        <v>0</v>
      </c>
      <c r="D770" s="82">
        <f>'NOV-26'!C31</f>
        <v>0</v>
      </c>
      <c r="E770" s="83">
        <f>'NOV-26'!D31</f>
        <v>0</v>
      </c>
      <c r="F770" s="84">
        <f>'NOV-26'!E31</f>
        <v>0</v>
      </c>
      <c r="G770" s="85">
        <f>'NOV-26'!F31</f>
        <v>0</v>
      </c>
      <c r="H770" s="85">
        <f t="shared" si="0"/>
        <v>0</v>
      </c>
      <c r="I770" s="83" t="s">
        <v>105</v>
      </c>
      <c r="J770" s="83" t="str">
        <f t="shared" si="1"/>
        <v/>
      </c>
      <c r="K770" s="85">
        <f t="shared" si="2"/>
        <v>0</v>
      </c>
      <c r="L770" s="83" t="str">
        <f t="shared" si="3"/>
        <v/>
      </c>
      <c r="M770" s="83">
        <f>'NOV-26'!H31</f>
        <v>0</v>
      </c>
      <c r="N770" s="92" t="str">
        <f ca="1">IF(BD!$C770="","",IF(AND(TODAY()&gt;BD!$C770,OR(BD!$D770="PENDENTE",BD!$D770="")),"VENCIDO",""))</f>
        <v/>
      </c>
      <c r="O770" s="82" t="str">
        <f ca="1">IF(N770 = "VENCIDO",BD!$B770,"")</f>
        <v/>
      </c>
      <c r="P770" s="82" t="str">
        <f ca="1">IF(N770 = "VENCIDO",BD!$C770,"")</f>
        <v/>
      </c>
      <c r="Q770" s="83" t="str">
        <f ca="1">IF(N770 = "VENCIDO",BD!$E770,"")</f>
        <v/>
      </c>
      <c r="R770" s="83" t="str">
        <f ca="1">IF(N770 = "VENCIDO",BD!$F770,"")</f>
        <v/>
      </c>
      <c r="S770" s="85" t="str">
        <f ca="1">IF(N770 = "VENCIDO",BD!$G770,"")</f>
        <v/>
      </c>
      <c r="T770" s="83" t="str">
        <f ca="1">IF(AND(TODAY()&gt;BD!$C770, OR(BD!$D770="PENDENTE", BD!$D770="")), TODAY()-BD!$C770, "")</f>
        <v/>
      </c>
    </row>
    <row r="771" spans="1:20" ht="14.25" customHeight="1" x14ac:dyDescent="0.35">
      <c r="A771" s="32"/>
      <c r="B771" s="82">
        <f>'NOV-26'!A32</f>
        <v>0</v>
      </c>
      <c r="C771" s="82">
        <f>'NOV-26'!B32</f>
        <v>0</v>
      </c>
      <c r="D771" s="82">
        <f>'NOV-26'!C32</f>
        <v>0</v>
      </c>
      <c r="E771" s="83">
        <f>'NOV-26'!D32</f>
        <v>0</v>
      </c>
      <c r="F771" s="84">
        <f>'NOV-26'!E32</f>
        <v>0</v>
      </c>
      <c r="G771" s="85">
        <f>'NOV-26'!F32</f>
        <v>0</v>
      </c>
      <c r="H771" s="85">
        <f t="shared" si="0"/>
        <v>0</v>
      </c>
      <c r="I771" s="83" t="s">
        <v>105</v>
      </c>
      <c r="J771" s="83" t="str">
        <f t="shared" si="1"/>
        <v/>
      </c>
      <c r="K771" s="85">
        <f t="shared" si="2"/>
        <v>0</v>
      </c>
      <c r="L771" s="83" t="str">
        <f t="shared" si="3"/>
        <v/>
      </c>
      <c r="M771" s="83">
        <f>'NOV-26'!H32</f>
        <v>0</v>
      </c>
      <c r="N771" s="92" t="str">
        <f ca="1">IF(BD!$C771="","",IF(AND(TODAY()&gt;BD!$C771,OR(BD!$D771="PENDENTE",BD!$D771="")),"VENCIDO",""))</f>
        <v/>
      </c>
      <c r="O771" s="82" t="str">
        <f ca="1">IF(N771 = "VENCIDO",BD!$B771,"")</f>
        <v/>
      </c>
      <c r="P771" s="82" t="str">
        <f ca="1">IF(N771 = "VENCIDO",BD!$C771,"")</f>
        <v/>
      </c>
      <c r="Q771" s="83" t="str">
        <f ca="1">IF(N771 = "VENCIDO",BD!$E771,"")</f>
        <v/>
      </c>
      <c r="R771" s="83" t="str">
        <f ca="1">IF(N771 = "VENCIDO",BD!$F771,"")</f>
        <v/>
      </c>
      <c r="S771" s="85" t="str">
        <f ca="1">IF(N771 = "VENCIDO",BD!$G771,"")</f>
        <v/>
      </c>
      <c r="T771" s="83" t="str">
        <f ca="1">IF(AND(TODAY()&gt;BD!$C771, OR(BD!$D771="PENDENTE", BD!$D771="")), TODAY()-BD!$C771, "")</f>
        <v/>
      </c>
    </row>
    <row r="772" spans="1:20" ht="14.25" customHeight="1" x14ac:dyDescent="0.35">
      <c r="A772" s="32"/>
      <c r="B772" s="82">
        <f>'NOV-26'!A33</f>
        <v>0</v>
      </c>
      <c r="C772" s="82">
        <f>'NOV-26'!B33</f>
        <v>0</v>
      </c>
      <c r="D772" s="82">
        <f>'NOV-26'!C33</f>
        <v>0</v>
      </c>
      <c r="E772" s="83">
        <f>'NOV-26'!D33</f>
        <v>0</v>
      </c>
      <c r="F772" s="84">
        <f>'NOV-26'!E33</f>
        <v>0</v>
      </c>
      <c r="G772" s="85">
        <f>'NOV-26'!F33</f>
        <v>0</v>
      </c>
      <c r="H772" s="85">
        <f t="shared" si="0"/>
        <v>0</v>
      </c>
      <c r="I772" s="83" t="s">
        <v>105</v>
      </c>
      <c r="J772" s="83" t="str">
        <f t="shared" si="1"/>
        <v/>
      </c>
      <c r="K772" s="85">
        <f t="shared" si="2"/>
        <v>0</v>
      </c>
      <c r="L772" s="83" t="str">
        <f t="shared" si="3"/>
        <v/>
      </c>
      <c r="M772" s="83">
        <f>'NOV-26'!H33</f>
        <v>0</v>
      </c>
      <c r="N772" s="92" t="str">
        <f ca="1">IF(BD!$C772="","",IF(AND(TODAY()&gt;BD!$C772,OR(BD!$D772="PENDENTE",BD!$D772="")),"VENCIDO",""))</f>
        <v/>
      </c>
      <c r="O772" s="82" t="str">
        <f ca="1">IF(N772 = "VENCIDO",BD!$B772,"")</f>
        <v/>
      </c>
      <c r="P772" s="82" t="str">
        <f ca="1">IF(N772 = "VENCIDO",BD!$C772,"")</f>
        <v/>
      </c>
      <c r="Q772" s="83" t="str">
        <f ca="1">IF(N772 = "VENCIDO",BD!$E772,"")</f>
        <v/>
      </c>
      <c r="R772" s="83" t="str">
        <f ca="1">IF(N772 = "VENCIDO",BD!$F772,"")</f>
        <v/>
      </c>
      <c r="S772" s="85" t="str">
        <f ca="1">IF(N772 = "VENCIDO",BD!$G772,"")</f>
        <v/>
      </c>
      <c r="T772" s="83" t="str">
        <f ca="1">IF(AND(TODAY()&gt;BD!$C772, OR(BD!$D772="PENDENTE", BD!$D772="")), TODAY()-BD!$C772, "")</f>
        <v/>
      </c>
    </row>
    <row r="773" spans="1:20" ht="14.25" customHeight="1" x14ac:dyDescent="0.35">
      <c r="A773" s="32"/>
      <c r="B773" s="82">
        <f>'NOV-26'!A34</f>
        <v>0</v>
      </c>
      <c r="C773" s="82">
        <f>'NOV-26'!B34</f>
        <v>0</v>
      </c>
      <c r="D773" s="82">
        <f>'NOV-26'!C34</f>
        <v>0</v>
      </c>
      <c r="E773" s="83">
        <f>'NOV-26'!D34</f>
        <v>0</v>
      </c>
      <c r="F773" s="84">
        <f>'NOV-26'!E34</f>
        <v>0</v>
      </c>
      <c r="G773" s="85">
        <f>'NOV-26'!F34</f>
        <v>0</v>
      </c>
      <c r="H773" s="85">
        <f t="shared" si="0"/>
        <v>0</v>
      </c>
      <c r="I773" s="83" t="s">
        <v>105</v>
      </c>
      <c r="J773" s="83" t="str">
        <f t="shared" si="1"/>
        <v/>
      </c>
      <c r="K773" s="85">
        <f t="shared" si="2"/>
        <v>0</v>
      </c>
      <c r="L773" s="83" t="str">
        <f t="shared" si="3"/>
        <v/>
      </c>
      <c r="M773" s="83">
        <f>'NOV-26'!H34</f>
        <v>0</v>
      </c>
      <c r="N773" s="92" t="str">
        <f ca="1">IF(BD!$C773="","",IF(AND(TODAY()&gt;BD!$C773,OR(BD!$D773="PENDENTE",BD!$D773="")),"VENCIDO",""))</f>
        <v/>
      </c>
      <c r="O773" s="82" t="str">
        <f ca="1">IF(N773 = "VENCIDO",BD!$B773,"")</f>
        <v/>
      </c>
      <c r="P773" s="82" t="str">
        <f ca="1">IF(N773 = "VENCIDO",BD!$C773,"")</f>
        <v/>
      </c>
      <c r="Q773" s="83" t="str">
        <f ca="1">IF(N773 = "VENCIDO",BD!$E773,"")</f>
        <v/>
      </c>
      <c r="R773" s="83" t="str">
        <f ca="1">IF(N773 = "VENCIDO",BD!$F773,"")</f>
        <v/>
      </c>
      <c r="S773" s="85" t="str">
        <f ca="1">IF(N773 = "VENCIDO",BD!$G773,"")</f>
        <v/>
      </c>
      <c r="T773" s="83" t="str">
        <f ca="1">IF(AND(TODAY()&gt;BD!$C773, OR(BD!$D773="PENDENTE", BD!$D773="")), TODAY()-BD!$C773, "")</f>
        <v/>
      </c>
    </row>
    <row r="774" spans="1:20" ht="14.25" customHeight="1" x14ac:dyDescent="0.35">
      <c r="A774" s="32"/>
      <c r="B774" s="82">
        <f>'NOV-26'!A35</f>
        <v>0</v>
      </c>
      <c r="C774" s="82">
        <f>'NOV-26'!B35</f>
        <v>0</v>
      </c>
      <c r="D774" s="82">
        <f>'NOV-26'!C35</f>
        <v>0</v>
      </c>
      <c r="E774" s="93">
        <f>'NOV-26'!D35</f>
        <v>0</v>
      </c>
      <c r="F774" s="84">
        <f>'NOV-26'!E35</f>
        <v>0</v>
      </c>
      <c r="G774" s="85">
        <f>'NOV-26'!F35</f>
        <v>0</v>
      </c>
      <c r="H774" s="85">
        <f t="shared" si="0"/>
        <v>0</v>
      </c>
      <c r="I774" s="83" t="s">
        <v>105</v>
      </c>
      <c r="J774" s="83" t="str">
        <f t="shared" si="1"/>
        <v/>
      </c>
      <c r="K774" s="85">
        <f t="shared" si="2"/>
        <v>0</v>
      </c>
      <c r="L774" s="83" t="str">
        <f t="shared" si="3"/>
        <v/>
      </c>
      <c r="M774" s="83">
        <f>'NOV-26'!H35</f>
        <v>0</v>
      </c>
      <c r="N774" s="92" t="str">
        <f ca="1">IF(BD!$C774="","",IF(AND(TODAY()&gt;BD!$C774,OR(BD!$D774="PENDENTE",BD!$D774="")),"VENCIDO",""))</f>
        <v/>
      </c>
      <c r="O774" s="82" t="str">
        <f ca="1">IF(N774 = "VENCIDO",BD!$B774,"")</f>
        <v/>
      </c>
      <c r="P774" s="82" t="str">
        <f ca="1">IF(N774 = "VENCIDO",BD!$C774,"")</f>
        <v/>
      </c>
      <c r="Q774" s="83" t="str">
        <f ca="1">IF(N774 = "VENCIDO",BD!$E774,"")</f>
        <v/>
      </c>
      <c r="R774" s="83" t="str">
        <f ca="1">IF(N774 = "VENCIDO",BD!$F774,"")</f>
        <v/>
      </c>
      <c r="S774" s="85" t="str">
        <f ca="1">IF(N774 = "VENCIDO",BD!$G774,"")</f>
        <v/>
      </c>
      <c r="T774" s="83" t="str">
        <f ca="1">IF(AND(TODAY()&gt;BD!$C774, OR(BD!$D774="PENDENTE", BD!$D774="")), TODAY()-BD!$C774, "")</f>
        <v/>
      </c>
    </row>
    <row r="775" spans="1:20" ht="14.25" customHeight="1" x14ac:dyDescent="0.35">
      <c r="A775" s="32"/>
      <c r="B775" s="82">
        <f>'NOV-26'!A36</f>
        <v>0</v>
      </c>
      <c r="C775" s="82">
        <f>'NOV-26'!B36</f>
        <v>0</v>
      </c>
      <c r="D775" s="82">
        <f>'NOV-26'!C36</f>
        <v>0</v>
      </c>
      <c r="E775" s="93">
        <f>'NOV-26'!D36</f>
        <v>0</v>
      </c>
      <c r="F775" s="84">
        <f>'NOV-26'!E36</f>
        <v>0</v>
      </c>
      <c r="G775" s="85">
        <f>'NOV-26'!F36</f>
        <v>0</v>
      </c>
      <c r="H775" s="85">
        <f t="shared" si="0"/>
        <v>0</v>
      </c>
      <c r="I775" s="83" t="s">
        <v>105</v>
      </c>
      <c r="J775" s="83" t="str">
        <f t="shared" si="1"/>
        <v/>
      </c>
      <c r="K775" s="85">
        <f t="shared" si="2"/>
        <v>0</v>
      </c>
      <c r="L775" s="83" t="str">
        <f t="shared" si="3"/>
        <v/>
      </c>
      <c r="M775" s="83">
        <f>'NOV-26'!H36</f>
        <v>0</v>
      </c>
      <c r="N775" s="92" t="str">
        <f ca="1">IF(BD!$C775="","",IF(AND(TODAY()&gt;BD!$C775,OR(BD!$D775="PENDENTE",BD!$D775="")),"VENCIDO",""))</f>
        <v/>
      </c>
      <c r="O775" s="82" t="str">
        <f ca="1">IF(N775 = "VENCIDO",BD!$B775,"")</f>
        <v/>
      </c>
      <c r="P775" s="82" t="str">
        <f ca="1">IF(N775 = "VENCIDO",BD!$C775,"")</f>
        <v/>
      </c>
      <c r="Q775" s="83" t="str">
        <f ca="1">IF(N775 = "VENCIDO",BD!$E775,"")</f>
        <v/>
      </c>
      <c r="R775" s="83" t="str">
        <f ca="1">IF(N775 = "VENCIDO",BD!$F775,"")</f>
        <v/>
      </c>
      <c r="S775" s="85" t="str">
        <f ca="1">IF(N775 = "VENCIDO",BD!$G775,"")</f>
        <v/>
      </c>
      <c r="T775" s="83" t="str">
        <f ca="1">IF(AND(TODAY()&gt;BD!$C775, OR(BD!$D775="PENDENTE", BD!$D775="")), TODAY()-BD!$C775, "")</f>
        <v/>
      </c>
    </row>
    <row r="776" spans="1:20" ht="14.25" customHeight="1" x14ac:dyDescent="0.35">
      <c r="A776" s="32"/>
      <c r="B776" s="82">
        <f>'NOV-26'!A37</f>
        <v>0</v>
      </c>
      <c r="C776" s="82">
        <f>'NOV-26'!B37</f>
        <v>0</v>
      </c>
      <c r="D776" s="82">
        <f>'NOV-26'!C37</f>
        <v>0</v>
      </c>
      <c r="E776" s="83">
        <f>'NOV-26'!D37</f>
        <v>0</v>
      </c>
      <c r="F776" s="84">
        <f>'NOV-26'!E37</f>
        <v>0</v>
      </c>
      <c r="G776" s="85">
        <f>'NOV-26'!F37</f>
        <v>0</v>
      </c>
      <c r="H776" s="85">
        <f t="shared" si="0"/>
        <v>0</v>
      </c>
      <c r="I776" s="83" t="s">
        <v>105</v>
      </c>
      <c r="J776" s="83" t="str">
        <f t="shared" si="1"/>
        <v/>
      </c>
      <c r="K776" s="85">
        <f t="shared" si="2"/>
        <v>0</v>
      </c>
      <c r="L776" s="83" t="str">
        <f t="shared" si="3"/>
        <v/>
      </c>
      <c r="M776" s="83">
        <f>'NOV-26'!H37</f>
        <v>0</v>
      </c>
      <c r="N776" s="92" t="str">
        <f ca="1">IF(BD!$C776="","",IF(AND(TODAY()&gt;BD!$C776,OR(BD!$D776="PENDENTE",BD!$D776="")),"VENCIDO",""))</f>
        <v/>
      </c>
      <c r="O776" s="82" t="str">
        <f ca="1">IF(N776 = "VENCIDO",BD!$B776,"")</f>
        <v/>
      </c>
      <c r="P776" s="82" t="str">
        <f ca="1">IF(N776 = "VENCIDO",BD!$C776,"")</f>
        <v/>
      </c>
      <c r="Q776" s="83" t="str">
        <f ca="1">IF(N776 = "VENCIDO",BD!$E776,"")</f>
        <v/>
      </c>
      <c r="R776" s="83" t="str">
        <f ca="1">IF(N776 = "VENCIDO",BD!$F776,"")</f>
        <v/>
      </c>
      <c r="S776" s="85" t="str">
        <f ca="1">IF(N776 = "VENCIDO",BD!$G776,"")</f>
        <v/>
      </c>
      <c r="T776" s="83" t="str">
        <f ca="1">IF(AND(TODAY()&gt;BD!$C776, OR(BD!$D776="PENDENTE", BD!$D776="")), TODAY()-BD!$C776, "")</f>
        <v/>
      </c>
    </row>
    <row r="777" spans="1:20" ht="14.25" customHeight="1" x14ac:dyDescent="0.35">
      <c r="A777" s="32"/>
      <c r="B777" s="82">
        <f>'NOV-26'!A38</f>
        <v>0</v>
      </c>
      <c r="C777" s="82">
        <f>'NOV-26'!B38</f>
        <v>0</v>
      </c>
      <c r="D777" s="82">
        <f>'NOV-26'!C38</f>
        <v>0</v>
      </c>
      <c r="E777" s="83">
        <f>'NOV-26'!D38</f>
        <v>0</v>
      </c>
      <c r="F777" s="84">
        <f>'NOV-26'!E38</f>
        <v>0</v>
      </c>
      <c r="G777" s="85">
        <f>'NOV-26'!F38</f>
        <v>0</v>
      </c>
      <c r="H777" s="85">
        <f t="shared" si="0"/>
        <v>0</v>
      </c>
      <c r="I777" s="83" t="s">
        <v>105</v>
      </c>
      <c r="J777" s="83" t="str">
        <f t="shared" si="1"/>
        <v/>
      </c>
      <c r="K777" s="85">
        <f t="shared" si="2"/>
        <v>0</v>
      </c>
      <c r="L777" s="83" t="str">
        <f t="shared" si="3"/>
        <v/>
      </c>
      <c r="M777" s="83">
        <f>'NOV-26'!H38</f>
        <v>0</v>
      </c>
      <c r="N777" s="92" t="str">
        <f ca="1">IF(BD!$C777="","",IF(AND(TODAY()&gt;BD!$C777,OR(BD!$D777="PENDENTE",BD!$D777="")),"VENCIDO",""))</f>
        <v/>
      </c>
      <c r="O777" s="82" t="str">
        <f ca="1">IF(N777 = "VENCIDO",BD!$B777,"")</f>
        <v/>
      </c>
      <c r="P777" s="82" t="str">
        <f ca="1">IF(N777 = "VENCIDO",BD!$C777,"")</f>
        <v/>
      </c>
      <c r="Q777" s="83" t="str">
        <f ca="1">IF(N777 = "VENCIDO",BD!$E777,"")</f>
        <v/>
      </c>
      <c r="R777" s="83" t="str">
        <f ca="1">IF(N777 = "VENCIDO",BD!$F777,"")</f>
        <v/>
      </c>
      <c r="S777" s="85" t="str">
        <f ca="1">IF(N777 = "VENCIDO",BD!$G777,"")</f>
        <v/>
      </c>
      <c r="T777" s="83" t="str">
        <f ca="1">IF(AND(TODAY()&gt;BD!$C777, OR(BD!$D777="PENDENTE", BD!$D777="")), TODAY()-BD!$C777, "")</f>
        <v/>
      </c>
    </row>
    <row r="778" spans="1:20" ht="14.25" customHeight="1" x14ac:dyDescent="0.35">
      <c r="A778" s="32"/>
      <c r="B778" s="82">
        <f>'NOV-26'!A39</f>
        <v>0</v>
      </c>
      <c r="C778" s="82">
        <f>'NOV-26'!B39</f>
        <v>0</v>
      </c>
      <c r="D778" s="82">
        <f>'NOV-26'!C39</f>
        <v>0</v>
      </c>
      <c r="E778" s="83">
        <f>'NOV-26'!D39</f>
        <v>0</v>
      </c>
      <c r="F778" s="84">
        <f>'NOV-26'!E39</f>
        <v>0</v>
      </c>
      <c r="G778" s="85">
        <f>'NOV-26'!F39</f>
        <v>0</v>
      </c>
      <c r="H778" s="85">
        <f t="shared" si="0"/>
        <v>0</v>
      </c>
      <c r="I778" s="83" t="s">
        <v>105</v>
      </c>
      <c r="J778" s="83" t="str">
        <f t="shared" si="1"/>
        <v/>
      </c>
      <c r="K778" s="85">
        <f t="shared" si="2"/>
        <v>0</v>
      </c>
      <c r="L778" s="83" t="str">
        <f t="shared" si="3"/>
        <v/>
      </c>
      <c r="M778" s="83">
        <f>'NOV-26'!H39</f>
        <v>0</v>
      </c>
      <c r="N778" s="92" t="str">
        <f ca="1">IF(BD!$C778="","",IF(AND(TODAY()&gt;BD!$C778,OR(BD!$D778="PENDENTE",BD!$D778="")),"VENCIDO",""))</f>
        <v/>
      </c>
      <c r="O778" s="82" t="str">
        <f ca="1">IF(N778 = "VENCIDO",BD!$B778,"")</f>
        <v/>
      </c>
      <c r="P778" s="82" t="str">
        <f ca="1">IF(N778 = "VENCIDO",BD!$C778,"")</f>
        <v/>
      </c>
      <c r="Q778" s="83" t="str">
        <f ca="1">IF(N778 = "VENCIDO",BD!$E778,"")</f>
        <v/>
      </c>
      <c r="R778" s="83" t="str">
        <f ca="1">IF(N778 = "VENCIDO",BD!$F778,"")</f>
        <v/>
      </c>
      <c r="S778" s="85" t="str">
        <f ca="1">IF(N778 = "VENCIDO",BD!$G778,"")</f>
        <v/>
      </c>
      <c r="T778" s="83" t="str">
        <f ca="1">IF(AND(TODAY()&gt;BD!$C778, OR(BD!$D778="PENDENTE", BD!$D778="")), TODAY()-BD!$C778, "")</f>
        <v/>
      </c>
    </row>
    <row r="779" spans="1:20" ht="14.25" customHeight="1" x14ac:dyDescent="0.35">
      <c r="A779" s="32"/>
      <c r="B779" s="82">
        <f>'NOV-26'!A40</f>
        <v>0</v>
      </c>
      <c r="C779" s="82">
        <f>'NOV-26'!B40</f>
        <v>0</v>
      </c>
      <c r="D779" s="82">
        <f>'NOV-26'!C40</f>
        <v>0</v>
      </c>
      <c r="E779" s="83">
        <f>'NOV-26'!D40</f>
        <v>0</v>
      </c>
      <c r="F779" s="84">
        <f>'NOV-26'!E40</f>
        <v>0</v>
      </c>
      <c r="G779" s="85">
        <f>'NOV-26'!F40</f>
        <v>0</v>
      </c>
      <c r="H779" s="85">
        <f t="shared" si="0"/>
        <v>0</v>
      </c>
      <c r="I779" s="83" t="s">
        <v>105</v>
      </c>
      <c r="J779" s="83" t="str">
        <f t="shared" si="1"/>
        <v/>
      </c>
      <c r="K779" s="85">
        <f t="shared" si="2"/>
        <v>0</v>
      </c>
      <c r="L779" s="83" t="str">
        <f t="shared" si="3"/>
        <v/>
      </c>
      <c r="M779" s="83">
        <f>'NOV-26'!H40</f>
        <v>0</v>
      </c>
      <c r="N779" s="92" t="str">
        <f ca="1">IF(BD!$C779="","",IF(AND(TODAY()&gt;BD!$C779,OR(BD!$D779="PENDENTE",BD!$D779="")),"VENCIDO",""))</f>
        <v/>
      </c>
      <c r="O779" s="82" t="str">
        <f ca="1">IF(N779 = "VENCIDO",BD!$B779,"")</f>
        <v/>
      </c>
      <c r="P779" s="82" t="str">
        <f ca="1">IF(N779 = "VENCIDO",BD!$C779,"")</f>
        <v/>
      </c>
      <c r="Q779" s="83" t="str">
        <f ca="1">IF(N779 = "VENCIDO",BD!$E779,"")</f>
        <v/>
      </c>
      <c r="R779" s="83" t="str">
        <f ca="1">IF(N779 = "VENCIDO",BD!$F779,"")</f>
        <v/>
      </c>
      <c r="S779" s="85" t="str">
        <f ca="1">IF(N779 = "VENCIDO",BD!$G779,"")</f>
        <v/>
      </c>
      <c r="T779" s="83" t="str">
        <f ca="1">IF(AND(TODAY()&gt;BD!$C779, OR(BD!$D779="PENDENTE", BD!$D779="")), TODAY()-BD!$C779, "")</f>
        <v/>
      </c>
    </row>
    <row r="780" spans="1:20" ht="14.25" customHeight="1" x14ac:dyDescent="0.35">
      <c r="A780" s="32"/>
      <c r="B780" s="82">
        <f>'NOV-26'!A41</f>
        <v>0</v>
      </c>
      <c r="C780" s="82">
        <f>'NOV-26'!B41</f>
        <v>0</v>
      </c>
      <c r="D780" s="82">
        <f>'NOV-26'!C41</f>
        <v>0</v>
      </c>
      <c r="E780" s="83">
        <f>'NOV-26'!D41</f>
        <v>0</v>
      </c>
      <c r="F780" s="84">
        <f>'NOV-26'!E41</f>
        <v>0</v>
      </c>
      <c r="G780" s="85">
        <f>'NOV-26'!F41</f>
        <v>0</v>
      </c>
      <c r="H780" s="85">
        <f t="shared" si="0"/>
        <v>0</v>
      </c>
      <c r="I780" s="83" t="s">
        <v>105</v>
      </c>
      <c r="J780" s="83" t="str">
        <f t="shared" si="1"/>
        <v/>
      </c>
      <c r="K780" s="85">
        <f t="shared" si="2"/>
        <v>0</v>
      </c>
      <c r="L780" s="83" t="str">
        <f t="shared" si="3"/>
        <v/>
      </c>
      <c r="M780" s="83">
        <f>'NOV-26'!H41</f>
        <v>0</v>
      </c>
      <c r="N780" s="92" t="str">
        <f ca="1">IF(BD!$C780="","",IF(AND(TODAY()&gt;BD!$C780,OR(BD!$D780="PENDENTE",BD!$D780="")),"VENCIDO",""))</f>
        <v/>
      </c>
      <c r="O780" s="82" t="str">
        <f ca="1">IF(N780 = "VENCIDO",BD!$B780,"")</f>
        <v/>
      </c>
      <c r="P780" s="82" t="str">
        <f ca="1">IF(N780 = "VENCIDO",BD!$C780,"")</f>
        <v/>
      </c>
      <c r="Q780" s="83" t="str">
        <f ca="1">IF(N780 = "VENCIDO",BD!$E780,"")</f>
        <v/>
      </c>
      <c r="R780" s="83" t="str">
        <f ca="1">IF(N780 = "VENCIDO",BD!$F780,"")</f>
        <v/>
      </c>
      <c r="S780" s="85" t="str">
        <f ca="1">IF(N780 = "VENCIDO",BD!$G780,"")</f>
        <v/>
      </c>
      <c r="T780" s="83" t="str">
        <f ca="1">IF(AND(TODAY()&gt;BD!$C780, OR(BD!$D780="PENDENTE", BD!$D780="")), TODAY()-BD!$C780, "")</f>
        <v/>
      </c>
    </row>
    <row r="781" spans="1:20" ht="14.25" customHeight="1" x14ac:dyDescent="0.35">
      <c r="A781" s="32"/>
      <c r="B781" s="82">
        <f>'NOV-26'!A42</f>
        <v>0</v>
      </c>
      <c r="C781" s="82">
        <f>'NOV-26'!B42</f>
        <v>0</v>
      </c>
      <c r="D781" s="82">
        <f>'NOV-26'!C42</f>
        <v>0</v>
      </c>
      <c r="E781" s="83">
        <f>'NOV-26'!D42</f>
        <v>0</v>
      </c>
      <c r="F781" s="84">
        <f>'NOV-26'!E42</f>
        <v>0</v>
      </c>
      <c r="G781" s="85">
        <f>'NOV-26'!F42</f>
        <v>0</v>
      </c>
      <c r="H781" s="85">
        <f t="shared" si="0"/>
        <v>0</v>
      </c>
      <c r="I781" s="83" t="s">
        <v>105</v>
      </c>
      <c r="J781" s="83" t="str">
        <f t="shared" si="1"/>
        <v/>
      </c>
      <c r="K781" s="85">
        <f t="shared" si="2"/>
        <v>0</v>
      </c>
      <c r="L781" s="83" t="str">
        <f t="shared" si="3"/>
        <v/>
      </c>
      <c r="M781" s="83">
        <f>'NOV-26'!H42</f>
        <v>0</v>
      </c>
      <c r="N781" s="92" t="str">
        <f ca="1">IF(BD!$C781="","",IF(AND(TODAY()&gt;BD!$C781,OR(BD!$D781="PENDENTE",BD!$D781="")),"VENCIDO",""))</f>
        <v/>
      </c>
      <c r="O781" s="82" t="str">
        <f ca="1">IF(N781 = "VENCIDO",BD!$B781,"")</f>
        <v/>
      </c>
      <c r="P781" s="82" t="str">
        <f ca="1">IF(N781 = "VENCIDO",BD!$C781,"")</f>
        <v/>
      </c>
      <c r="Q781" s="83" t="str">
        <f ca="1">IF(N781 = "VENCIDO",BD!$E781,"")</f>
        <v/>
      </c>
      <c r="R781" s="83" t="str">
        <f ca="1">IF(N781 = "VENCIDO",BD!$F781,"")</f>
        <v/>
      </c>
      <c r="S781" s="85" t="str">
        <f ca="1">IF(N781 = "VENCIDO",BD!$G781,"")</f>
        <v/>
      </c>
      <c r="T781" s="83" t="str">
        <f ca="1">IF(AND(TODAY()&gt;BD!$C781, OR(BD!$D781="PENDENTE", BD!$D781="")), TODAY()-BD!$C781, "")</f>
        <v/>
      </c>
    </row>
    <row r="782" spans="1:20" ht="14.25" customHeight="1" x14ac:dyDescent="0.35">
      <c r="A782" s="32"/>
      <c r="B782" s="82">
        <f>'NOV-26'!A43</f>
        <v>0</v>
      </c>
      <c r="C782" s="82">
        <f>'NOV-26'!B43</f>
        <v>0</v>
      </c>
      <c r="D782" s="82">
        <f>'NOV-26'!C43</f>
        <v>0</v>
      </c>
      <c r="E782" s="83">
        <f>'NOV-26'!D43</f>
        <v>0</v>
      </c>
      <c r="F782" s="84">
        <f>'NOV-26'!E43</f>
        <v>0</v>
      </c>
      <c r="G782" s="85">
        <f>'NOV-26'!F43</f>
        <v>0</v>
      </c>
      <c r="H782" s="85">
        <f t="shared" si="0"/>
        <v>0</v>
      </c>
      <c r="I782" s="83" t="s">
        <v>105</v>
      </c>
      <c r="J782" s="83" t="str">
        <f t="shared" si="1"/>
        <v/>
      </c>
      <c r="K782" s="85">
        <f t="shared" si="2"/>
        <v>0</v>
      </c>
      <c r="L782" s="83" t="str">
        <f t="shared" si="3"/>
        <v/>
      </c>
      <c r="M782" s="83">
        <f>'NOV-26'!H43</f>
        <v>0</v>
      </c>
      <c r="N782" s="92" t="str">
        <f ca="1">IF(BD!$C782="","",IF(AND(TODAY()&gt;BD!$C782,OR(BD!$D782="PENDENTE",BD!$D782="")),"VENCIDO",""))</f>
        <v/>
      </c>
      <c r="O782" s="82" t="str">
        <f ca="1">IF(N782 = "VENCIDO",BD!$B782,"")</f>
        <v/>
      </c>
      <c r="P782" s="82" t="str">
        <f ca="1">IF(N782 = "VENCIDO",BD!$C782,"")</f>
        <v/>
      </c>
      <c r="Q782" s="83" t="str">
        <f ca="1">IF(N782 = "VENCIDO",BD!$E782,"")</f>
        <v/>
      </c>
      <c r="R782" s="83" t="str">
        <f ca="1">IF(N782 = "VENCIDO",BD!$F782,"")</f>
        <v/>
      </c>
      <c r="S782" s="85" t="str">
        <f ca="1">IF(N782 = "VENCIDO",BD!$G782,"")</f>
        <v/>
      </c>
      <c r="T782" s="83" t="str">
        <f ca="1">IF(AND(TODAY()&gt;BD!$C782, OR(BD!$D782="PENDENTE", BD!$D782="")), TODAY()-BD!$C782, "")</f>
        <v/>
      </c>
    </row>
    <row r="783" spans="1:20" ht="14.25" customHeight="1" x14ac:dyDescent="0.35">
      <c r="A783" s="32"/>
      <c r="B783" s="82">
        <f>'NOV-26'!A44</f>
        <v>0</v>
      </c>
      <c r="C783" s="82">
        <f>'NOV-26'!B44</f>
        <v>0</v>
      </c>
      <c r="D783" s="82">
        <f>'NOV-26'!C44</f>
        <v>0</v>
      </c>
      <c r="E783" s="83">
        <f>'NOV-26'!D44</f>
        <v>0</v>
      </c>
      <c r="F783" s="84">
        <f>'NOV-26'!E44</f>
        <v>0</v>
      </c>
      <c r="G783" s="85">
        <f>'NOV-26'!F44</f>
        <v>0</v>
      </c>
      <c r="H783" s="85">
        <f t="shared" si="0"/>
        <v>0</v>
      </c>
      <c r="I783" s="83" t="s">
        <v>105</v>
      </c>
      <c r="J783" s="83" t="str">
        <f t="shared" si="1"/>
        <v/>
      </c>
      <c r="K783" s="85">
        <f t="shared" si="2"/>
        <v>0</v>
      </c>
      <c r="L783" s="83" t="str">
        <f t="shared" si="3"/>
        <v/>
      </c>
      <c r="M783" s="83">
        <f>'NOV-26'!H44</f>
        <v>0</v>
      </c>
      <c r="N783" s="92" t="str">
        <f ca="1">IF(BD!$C783="","",IF(AND(TODAY()&gt;BD!$C783,OR(BD!$D783="PENDENTE",BD!$D783="")),"VENCIDO",""))</f>
        <v/>
      </c>
      <c r="O783" s="82" t="str">
        <f ca="1">IF(N783 = "VENCIDO",BD!$B783,"")</f>
        <v/>
      </c>
      <c r="P783" s="82" t="str">
        <f ca="1">IF(N783 = "VENCIDO",BD!$C783,"")</f>
        <v/>
      </c>
      <c r="Q783" s="83" t="str">
        <f ca="1">IF(N783 = "VENCIDO",BD!$E783,"")</f>
        <v/>
      </c>
      <c r="R783" s="83" t="str">
        <f ca="1">IF(N783 = "VENCIDO",BD!$F783,"")</f>
        <v/>
      </c>
      <c r="S783" s="85" t="str">
        <f ca="1">IF(N783 = "VENCIDO",BD!$G783,"")</f>
        <v/>
      </c>
      <c r="T783" s="83" t="str">
        <f ca="1">IF(AND(TODAY()&gt;BD!$C783, OR(BD!$D783="PENDENTE", BD!$D783="")), TODAY()-BD!$C783, "")</f>
        <v/>
      </c>
    </row>
    <row r="784" spans="1:20" ht="14.25" customHeight="1" x14ac:dyDescent="0.35">
      <c r="A784" s="32"/>
      <c r="B784" s="82">
        <f>'NOV-26'!A45</f>
        <v>0</v>
      </c>
      <c r="C784" s="82">
        <f>'NOV-26'!B45</f>
        <v>0</v>
      </c>
      <c r="D784" s="82">
        <f>'NOV-26'!C45</f>
        <v>0</v>
      </c>
      <c r="E784" s="83">
        <f>'NOV-26'!D45</f>
        <v>0</v>
      </c>
      <c r="F784" s="84">
        <f>'NOV-26'!E45</f>
        <v>0</v>
      </c>
      <c r="G784" s="85">
        <f>'NOV-26'!F45</f>
        <v>0</v>
      </c>
      <c r="H784" s="85">
        <f t="shared" si="0"/>
        <v>0</v>
      </c>
      <c r="I784" s="83" t="s">
        <v>105</v>
      </c>
      <c r="J784" s="83" t="str">
        <f t="shared" si="1"/>
        <v/>
      </c>
      <c r="K784" s="85">
        <f t="shared" si="2"/>
        <v>0</v>
      </c>
      <c r="L784" s="83" t="str">
        <f t="shared" si="3"/>
        <v/>
      </c>
      <c r="M784" s="83">
        <f>'NOV-26'!H45</f>
        <v>0</v>
      </c>
      <c r="N784" s="92" t="str">
        <f ca="1">IF(BD!$C784="","",IF(AND(TODAY()&gt;BD!$C784,OR(BD!$D784="PENDENTE",BD!$D784="")),"VENCIDO",""))</f>
        <v/>
      </c>
      <c r="O784" s="82" t="str">
        <f ca="1">IF(N784 = "VENCIDO",BD!$B784,"")</f>
        <v/>
      </c>
      <c r="P784" s="82" t="str">
        <f ca="1">IF(N784 = "VENCIDO",BD!$C784,"")</f>
        <v/>
      </c>
      <c r="Q784" s="83" t="str">
        <f ca="1">IF(N784 = "VENCIDO",BD!$E784,"")</f>
        <v/>
      </c>
      <c r="R784" s="83" t="str">
        <f ca="1">IF(N784 = "VENCIDO",BD!$F784,"")</f>
        <v/>
      </c>
      <c r="S784" s="85" t="str">
        <f ca="1">IF(N784 = "VENCIDO",BD!$G784,"")</f>
        <v/>
      </c>
      <c r="T784" s="83" t="str">
        <f ca="1">IF(AND(TODAY()&gt;BD!$C784, OR(BD!$D784="PENDENTE", BD!$D784="")), TODAY()-BD!$C784, "")</f>
        <v/>
      </c>
    </row>
    <row r="785" spans="1:20" ht="14.25" customHeight="1" x14ac:dyDescent="0.35">
      <c r="A785" s="32"/>
      <c r="B785" s="82">
        <f>'NOV-26'!A46</f>
        <v>0</v>
      </c>
      <c r="C785" s="82">
        <f>'NOV-26'!B46</f>
        <v>0</v>
      </c>
      <c r="D785" s="82">
        <f>'NOV-26'!C46</f>
        <v>0</v>
      </c>
      <c r="E785" s="83">
        <f>'NOV-26'!D46</f>
        <v>0</v>
      </c>
      <c r="F785" s="84">
        <f>'NOV-26'!E46</f>
        <v>0</v>
      </c>
      <c r="G785" s="85">
        <f>'NOV-26'!F46</f>
        <v>0</v>
      </c>
      <c r="H785" s="85">
        <f t="shared" si="0"/>
        <v>0</v>
      </c>
      <c r="I785" s="83" t="s">
        <v>105</v>
      </c>
      <c r="J785" s="83" t="str">
        <f t="shared" si="1"/>
        <v/>
      </c>
      <c r="K785" s="85">
        <f t="shared" si="2"/>
        <v>0</v>
      </c>
      <c r="L785" s="83" t="str">
        <f t="shared" si="3"/>
        <v/>
      </c>
      <c r="M785" s="83">
        <f>'NOV-26'!H46</f>
        <v>0</v>
      </c>
      <c r="N785" s="92" t="str">
        <f ca="1">IF(BD!$C785="","",IF(AND(TODAY()&gt;BD!$C785,OR(BD!$D785="PENDENTE",BD!$D785="")),"VENCIDO",""))</f>
        <v/>
      </c>
      <c r="O785" s="82" t="str">
        <f ca="1">IF(N785 = "VENCIDO",BD!$B785,"")</f>
        <v/>
      </c>
      <c r="P785" s="82" t="str">
        <f ca="1">IF(N785 = "VENCIDO",BD!$C785,"")</f>
        <v/>
      </c>
      <c r="Q785" s="83" t="str">
        <f ca="1">IF(N785 = "VENCIDO",BD!$E785,"")</f>
        <v/>
      </c>
      <c r="R785" s="83" t="str">
        <f ca="1">IF(N785 = "VENCIDO",BD!$F785,"")</f>
        <v/>
      </c>
      <c r="S785" s="85" t="str">
        <f ca="1">IF(N785 = "VENCIDO",BD!$G785,"")</f>
        <v/>
      </c>
      <c r="T785" s="83" t="str">
        <f ca="1">IF(AND(TODAY()&gt;BD!$C785, OR(BD!$D785="PENDENTE", BD!$D785="")), TODAY()-BD!$C785, "")</f>
        <v/>
      </c>
    </row>
    <row r="786" spans="1:20" ht="14.25" customHeight="1" x14ac:dyDescent="0.35">
      <c r="A786" s="32"/>
      <c r="B786" s="82">
        <f>'NOV-26'!A47</f>
        <v>0</v>
      </c>
      <c r="C786" s="82">
        <f>'NOV-26'!B47</f>
        <v>0</v>
      </c>
      <c r="D786" s="82">
        <f>'NOV-26'!C47</f>
        <v>0</v>
      </c>
      <c r="E786" s="83">
        <f>'NOV-26'!D47</f>
        <v>0</v>
      </c>
      <c r="F786" s="84">
        <f>'NOV-26'!E47</f>
        <v>0</v>
      </c>
      <c r="G786" s="85">
        <f>'NOV-26'!F47</f>
        <v>0</v>
      </c>
      <c r="H786" s="85">
        <f t="shared" si="0"/>
        <v>0</v>
      </c>
      <c r="I786" s="83" t="s">
        <v>105</v>
      </c>
      <c r="J786" s="83" t="str">
        <f t="shared" si="1"/>
        <v/>
      </c>
      <c r="K786" s="85">
        <f t="shared" si="2"/>
        <v>0</v>
      </c>
      <c r="L786" s="83" t="str">
        <f t="shared" si="3"/>
        <v/>
      </c>
      <c r="M786" s="83">
        <f>'NOV-26'!H47</f>
        <v>0</v>
      </c>
      <c r="N786" s="92" t="str">
        <f ca="1">IF(BD!$C786="","",IF(AND(TODAY()&gt;BD!$C786,OR(BD!$D786="PENDENTE",BD!$D786="")),"VENCIDO",""))</f>
        <v/>
      </c>
      <c r="O786" s="82" t="str">
        <f ca="1">IF(N786 = "VENCIDO",BD!$B786,"")</f>
        <v/>
      </c>
      <c r="P786" s="82" t="str">
        <f ca="1">IF(N786 = "VENCIDO",BD!$C786,"")</f>
        <v/>
      </c>
      <c r="Q786" s="83" t="str">
        <f ca="1">IF(N786 = "VENCIDO",BD!$E786,"")</f>
        <v/>
      </c>
      <c r="R786" s="83" t="str">
        <f ca="1">IF(N786 = "VENCIDO",BD!$F786,"")</f>
        <v/>
      </c>
      <c r="S786" s="85" t="str">
        <f ca="1">IF(N786 = "VENCIDO",BD!$G786,"")</f>
        <v/>
      </c>
      <c r="T786" s="83" t="str">
        <f ca="1">IF(AND(TODAY()&gt;BD!$C786, OR(BD!$D786="PENDENTE", BD!$D786="")), TODAY()-BD!$C786, "")</f>
        <v/>
      </c>
    </row>
    <row r="787" spans="1:20" ht="14.25" customHeight="1" x14ac:dyDescent="0.35">
      <c r="A787" s="32"/>
      <c r="B787" s="82">
        <f>'NOV-26'!A48</f>
        <v>0</v>
      </c>
      <c r="C787" s="82">
        <f>'NOV-26'!B48</f>
        <v>0</v>
      </c>
      <c r="D787" s="82">
        <f>'NOV-26'!C48</f>
        <v>0</v>
      </c>
      <c r="E787" s="83">
        <f>'NOV-26'!D48</f>
        <v>0</v>
      </c>
      <c r="F787" s="84">
        <f>'NOV-26'!E48</f>
        <v>0</v>
      </c>
      <c r="G787" s="85">
        <f>'NOV-26'!F48</f>
        <v>0</v>
      </c>
      <c r="H787" s="85">
        <f t="shared" si="0"/>
        <v>0</v>
      </c>
      <c r="I787" s="83" t="s">
        <v>105</v>
      </c>
      <c r="J787" s="83" t="str">
        <f t="shared" si="1"/>
        <v/>
      </c>
      <c r="K787" s="85">
        <f t="shared" si="2"/>
        <v>0</v>
      </c>
      <c r="L787" s="83" t="str">
        <f t="shared" si="3"/>
        <v/>
      </c>
      <c r="M787" s="83">
        <f>'NOV-26'!H48</f>
        <v>0</v>
      </c>
      <c r="N787" s="92" t="str">
        <f ca="1">IF(BD!$C787="","",IF(AND(TODAY()&gt;BD!$C787,OR(BD!$D787="PENDENTE",BD!$D787="")),"VENCIDO",""))</f>
        <v/>
      </c>
      <c r="O787" s="82" t="str">
        <f ca="1">IF(N787 = "VENCIDO",BD!$B787,"")</f>
        <v/>
      </c>
      <c r="P787" s="82" t="str">
        <f ca="1">IF(N787 = "VENCIDO",BD!$C787,"")</f>
        <v/>
      </c>
      <c r="Q787" s="83" t="str">
        <f ca="1">IF(N787 = "VENCIDO",BD!$E787,"")</f>
        <v/>
      </c>
      <c r="R787" s="83" t="str">
        <f ca="1">IF(N787 = "VENCIDO",BD!$F787,"")</f>
        <v/>
      </c>
      <c r="S787" s="85" t="str">
        <f ca="1">IF(N787 = "VENCIDO",BD!$G787,"")</f>
        <v/>
      </c>
      <c r="T787" s="83" t="str">
        <f ca="1">IF(AND(TODAY()&gt;BD!$C787, OR(BD!$D787="PENDENTE", BD!$D787="")), TODAY()-BD!$C787, "")</f>
        <v/>
      </c>
    </row>
    <row r="788" spans="1:20" ht="14.25" customHeight="1" x14ac:dyDescent="0.35">
      <c r="A788" s="32"/>
      <c r="B788" s="82">
        <f>'NOV-26'!A49</f>
        <v>0</v>
      </c>
      <c r="C788" s="82">
        <f>'NOV-26'!B49</f>
        <v>0</v>
      </c>
      <c r="D788" s="82">
        <f>'NOV-26'!C49</f>
        <v>0</v>
      </c>
      <c r="E788" s="83">
        <f>'NOV-26'!D49</f>
        <v>0</v>
      </c>
      <c r="F788" s="84">
        <f>'NOV-26'!E49</f>
        <v>0</v>
      </c>
      <c r="G788" s="85">
        <f>'NOV-26'!F49</f>
        <v>0</v>
      </c>
      <c r="H788" s="85">
        <f t="shared" si="0"/>
        <v>0</v>
      </c>
      <c r="I788" s="83" t="s">
        <v>105</v>
      </c>
      <c r="J788" s="83" t="str">
        <f t="shared" si="1"/>
        <v/>
      </c>
      <c r="K788" s="85">
        <f t="shared" si="2"/>
        <v>0</v>
      </c>
      <c r="L788" s="83" t="str">
        <f t="shared" si="3"/>
        <v/>
      </c>
      <c r="M788" s="83">
        <f>'NOV-26'!H49</f>
        <v>0</v>
      </c>
      <c r="N788" s="92" t="str">
        <f ca="1">IF(BD!$C788="","",IF(AND(TODAY()&gt;BD!$C788,OR(BD!$D788="PENDENTE",BD!$D788="")),"VENCIDO",""))</f>
        <v/>
      </c>
      <c r="O788" s="82" t="str">
        <f ca="1">IF(N788 = "VENCIDO",BD!$B788,"")</f>
        <v/>
      </c>
      <c r="P788" s="82" t="str">
        <f ca="1">IF(N788 = "VENCIDO",BD!$C788,"")</f>
        <v/>
      </c>
      <c r="Q788" s="83" t="str">
        <f ca="1">IF(N788 = "VENCIDO",BD!$E788,"")</f>
        <v/>
      </c>
      <c r="R788" s="83" t="str">
        <f ca="1">IF(N788 = "VENCIDO",BD!$F788,"")</f>
        <v/>
      </c>
      <c r="S788" s="85" t="str">
        <f ca="1">IF(N788 = "VENCIDO",BD!$G788,"")</f>
        <v/>
      </c>
      <c r="T788" s="83" t="str">
        <f ca="1">IF(AND(TODAY()&gt;BD!$C788, OR(BD!$D788="PENDENTE", BD!$D788="")), TODAY()-BD!$C788, "")</f>
        <v/>
      </c>
    </row>
    <row r="789" spans="1:20" ht="14.25" customHeight="1" x14ac:dyDescent="0.35">
      <c r="A789" s="32"/>
      <c r="B789" s="82">
        <f>'NOV-26'!A50</f>
        <v>0</v>
      </c>
      <c r="C789" s="82">
        <f>'NOV-26'!B50</f>
        <v>0</v>
      </c>
      <c r="D789" s="82">
        <f>'NOV-26'!C50</f>
        <v>0</v>
      </c>
      <c r="E789" s="83">
        <f>'NOV-26'!D50</f>
        <v>0</v>
      </c>
      <c r="F789" s="84">
        <f>'NOV-26'!E50</f>
        <v>0</v>
      </c>
      <c r="G789" s="85">
        <f>'NOV-26'!F50</f>
        <v>0</v>
      </c>
      <c r="H789" s="85">
        <f t="shared" si="0"/>
        <v>0</v>
      </c>
      <c r="I789" s="83" t="s">
        <v>105</v>
      </c>
      <c r="J789" s="83" t="str">
        <f t="shared" si="1"/>
        <v/>
      </c>
      <c r="K789" s="85">
        <f t="shared" si="2"/>
        <v>0</v>
      </c>
      <c r="L789" s="83" t="str">
        <f t="shared" si="3"/>
        <v/>
      </c>
      <c r="M789" s="83">
        <f>'NOV-26'!H50</f>
        <v>0</v>
      </c>
      <c r="N789" s="92" t="str">
        <f ca="1">IF(BD!$C789="","",IF(AND(TODAY()&gt;BD!$C789,OR(BD!$D789="PENDENTE",BD!$D789="")),"VENCIDO",""))</f>
        <v/>
      </c>
      <c r="O789" s="82" t="str">
        <f ca="1">IF(N789 = "VENCIDO",BD!$B789,"")</f>
        <v/>
      </c>
      <c r="P789" s="82" t="str">
        <f ca="1">IF(N789 = "VENCIDO",BD!$C789,"")</f>
        <v/>
      </c>
      <c r="Q789" s="83" t="str">
        <f ca="1">IF(N789 = "VENCIDO",BD!$E789,"")</f>
        <v/>
      </c>
      <c r="R789" s="83" t="str">
        <f ca="1">IF(N789 = "VENCIDO",BD!$F789,"")</f>
        <v/>
      </c>
      <c r="S789" s="85" t="str">
        <f ca="1">IF(N789 = "VENCIDO",BD!$G789,"")</f>
        <v/>
      </c>
      <c r="T789" s="83" t="str">
        <f ca="1">IF(AND(TODAY()&gt;BD!$C789, OR(BD!$D789="PENDENTE", BD!$D789="")), TODAY()-BD!$C789, "")</f>
        <v/>
      </c>
    </row>
    <row r="790" spans="1:20" ht="14.25" customHeight="1" x14ac:dyDescent="0.35">
      <c r="A790" s="32"/>
      <c r="B790" s="82">
        <f>'NOV-26'!A51</f>
        <v>0</v>
      </c>
      <c r="C790" s="82">
        <f>'NOV-26'!B51</f>
        <v>0</v>
      </c>
      <c r="D790" s="82">
        <f>'NOV-26'!C51</f>
        <v>0</v>
      </c>
      <c r="E790" s="83">
        <f>'NOV-26'!D51</f>
        <v>0</v>
      </c>
      <c r="F790" s="84">
        <f>'NOV-26'!E51</f>
        <v>0</v>
      </c>
      <c r="G790" s="85">
        <f>'NOV-26'!F51</f>
        <v>0</v>
      </c>
      <c r="H790" s="85">
        <f t="shared" si="0"/>
        <v>0</v>
      </c>
      <c r="I790" s="83" t="s">
        <v>105</v>
      </c>
      <c r="J790" s="83" t="str">
        <f t="shared" si="1"/>
        <v/>
      </c>
      <c r="K790" s="85">
        <f t="shared" si="2"/>
        <v>0</v>
      </c>
      <c r="L790" s="83" t="str">
        <f t="shared" si="3"/>
        <v/>
      </c>
      <c r="M790" s="83">
        <f>'NOV-26'!H51</f>
        <v>0</v>
      </c>
      <c r="N790" s="92" t="str">
        <f ca="1">IF(BD!$C790="","",IF(AND(TODAY()&gt;BD!$C790,OR(BD!$D790="PENDENTE",BD!$D790="")),"VENCIDO",""))</f>
        <v/>
      </c>
      <c r="O790" s="82" t="str">
        <f ca="1">IF(N790 = "VENCIDO",BD!$B790,"")</f>
        <v/>
      </c>
      <c r="P790" s="82" t="str">
        <f ca="1">IF(N790 = "VENCIDO",BD!$C790,"")</f>
        <v/>
      </c>
      <c r="Q790" s="83" t="str">
        <f ca="1">IF(N790 = "VENCIDO",BD!$E790,"")</f>
        <v/>
      </c>
      <c r="R790" s="83" t="str">
        <f ca="1">IF(N790 = "VENCIDO",BD!$F790,"")</f>
        <v/>
      </c>
      <c r="S790" s="85" t="str">
        <f ca="1">IF(N790 = "VENCIDO",BD!$G790,"")</f>
        <v/>
      </c>
      <c r="T790" s="83" t="str">
        <f ca="1">IF(AND(TODAY()&gt;BD!$C790, OR(BD!$D790="PENDENTE", BD!$D790="")), TODAY()-BD!$C790, "")</f>
        <v/>
      </c>
    </row>
    <row r="791" spans="1:20" ht="14.25" customHeight="1" x14ac:dyDescent="0.35">
      <c r="A791" s="32"/>
      <c r="B791" s="82">
        <f>'NOV-26'!A52</f>
        <v>0</v>
      </c>
      <c r="C791" s="82">
        <f>'NOV-26'!B52</f>
        <v>0</v>
      </c>
      <c r="D791" s="82">
        <f>'NOV-26'!C52</f>
        <v>0</v>
      </c>
      <c r="E791" s="83">
        <f>'NOV-26'!D52</f>
        <v>0</v>
      </c>
      <c r="F791" s="84">
        <f>'NOV-26'!E52</f>
        <v>0</v>
      </c>
      <c r="G791" s="85">
        <f>'NOV-26'!F52</f>
        <v>0</v>
      </c>
      <c r="H791" s="85">
        <f t="shared" si="0"/>
        <v>0</v>
      </c>
      <c r="I791" s="83" t="s">
        <v>105</v>
      </c>
      <c r="J791" s="83" t="str">
        <f t="shared" si="1"/>
        <v/>
      </c>
      <c r="K791" s="85">
        <f t="shared" si="2"/>
        <v>0</v>
      </c>
      <c r="L791" s="83" t="str">
        <f t="shared" si="3"/>
        <v/>
      </c>
      <c r="M791" s="83">
        <f>'NOV-26'!H52</f>
        <v>0</v>
      </c>
      <c r="N791" s="92" t="str">
        <f ca="1">IF(BD!$C791="","",IF(AND(TODAY()&gt;BD!$C791,OR(BD!$D791="PENDENTE",BD!$D791="")),"VENCIDO",""))</f>
        <v/>
      </c>
      <c r="O791" s="82" t="str">
        <f ca="1">IF(N791 = "VENCIDO",BD!$B791,"")</f>
        <v/>
      </c>
      <c r="P791" s="82" t="str">
        <f ca="1">IF(N791 = "VENCIDO",BD!$C791,"")</f>
        <v/>
      </c>
      <c r="Q791" s="83" t="str">
        <f ca="1">IF(N791 = "VENCIDO",BD!$E791,"")</f>
        <v/>
      </c>
      <c r="R791" s="83" t="str">
        <f ca="1">IF(N791 = "VENCIDO",BD!$F791,"")</f>
        <v/>
      </c>
      <c r="S791" s="85" t="str">
        <f ca="1">IF(N791 = "VENCIDO",BD!$G791,"")</f>
        <v/>
      </c>
      <c r="T791" s="83" t="str">
        <f ca="1">IF(AND(TODAY()&gt;BD!$C791, OR(BD!$D791="PENDENTE", BD!$D791="")), TODAY()-BD!$C791, "")</f>
        <v/>
      </c>
    </row>
    <row r="792" spans="1:20" ht="14.25" customHeight="1" x14ac:dyDescent="0.35">
      <c r="A792" s="32"/>
      <c r="B792" s="82">
        <f>'NOV-26'!A53</f>
        <v>0</v>
      </c>
      <c r="C792" s="82">
        <f>'NOV-26'!B53</f>
        <v>0</v>
      </c>
      <c r="D792" s="82">
        <f>'NOV-26'!C53</f>
        <v>0</v>
      </c>
      <c r="E792" s="83">
        <f>'NOV-26'!D53</f>
        <v>0</v>
      </c>
      <c r="F792" s="84">
        <f>'NOV-26'!E53</f>
        <v>0</v>
      </c>
      <c r="G792" s="85">
        <f>'NOV-26'!F53</f>
        <v>0</v>
      </c>
      <c r="H792" s="85">
        <f t="shared" si="0"/>
        <v>0</v>
      </c>
      <c r="I792" s="83" t="s">
        <v>105</v>
      </c>
      <c r="J792" s="83" t="str">
        <f t="shared" si="1"/>
        <v/>
      </c>
      <c r="K792" s="85">
        <f t="shared" si="2"/>
        <v>0</v>
      </c>
      <c r="L792" s="83" t="str">
        <f t="shared" si="3"/>
        <v/>
      </c>
      <c r="M792" s="83">
        <f>'NOV-26'!H53</f>
        <v>0</v>
      </c>
      <c r="N792" s="92" t="str">
        <f ca="1">IF(BD!$C792="","",IF(AND(TODAY()&gt;BD!$C792,OR(BD!$D792="PENDENTE",BD!$D792="")),"VENCIDO",""))</f>
        <v/>
      </c>
      <c r="O792" s="82" t="str">
        <f ca="1">IF(N792 = "VENCIDO",BD!$B792,"")</f>
        <v/>
      </c>
      <c r="P792" s="82" t="str">
        <f ca="1">IF(N792 = "VENCIDO",BD!$C792,"")</f>
        <v/>
      </c>
      <c r="Q792" s="83" t="str">
        <f ca="1">IF(N792 = "VENCIDO",BD!$E792,"")</f>
        <v/>
      </c>
      <c r="R792" s="83" t="str">
        <f ca="1">IF(N792 = "VENCIDO",BD!$F792,"")</f>
        <v/>
      </c>
      <c r="S792" s="85" t="str">
        <f ca="1">IF(N792 = "VENCIDO",BD!$G792,"")</f>
        <v/>
      </c>
      <c r="T792" s="83" t="str">
        <f ca="1">IF(AND(TODAY()&gt;BD!$C792, OR(BD!$D792="PENDENTE", BD!$D792="")), TODAY()-BD!$C792, "")</f>
        <v/>
      </c>
    </row>
    <row r="793" spans="1:20" ht="14.25" customHeight="1" x14ac:dyDescent="0.35">
      <c r="A793" s="32"/>
      <c r="B793" s="82">
        <f>'NOV-26'!A54</f>
        <v>0</v>
      </c>
      <c r="C793" s="82">
        <f>'NOV-26'!B54</f>
        <v>0</v>
      </c>
      <c r="D793" s="82">
        <f>'NOV-26'!C54</f>
        <v>0</v>
      </c>
      <c r="E793" s="83">
        <f>'NOV-26'!D54</f>
        <v>0</v>
      </c>
      <c r="F793" s="84">
        <f>'NOV-26'!E54</f>
        <v>0</v>
      </c>
      <c r="G793" s="85">
        <f>'NOV-26'!F54</f>
        <v>0</v>
      </c>
      <c r="H793" s="85">
        <f t="shared" si="0"/>
        <v>0</v>
      </c>
      <c r="I793" s="83" t="s">
        <v>105</v>
      </c>
      <c r="J793" s="83" t="str">
        <f t="shared" si="1"/>
        <v/>
      </c>
      <c r="K793" s="85">
        <f t="shared" si="2"/>
        <v>0</v>
      </c>
      <c r="L793" s="83" t="str">
        <f t="shared" si="3"/>
        <v/>
      </c>
      <c r="M793" s="83">
        <f>'NOV-26'!H54</f>
        <v>0</v>
      </c>
      <c r="N793" s="92" t="str">
        <f ca="1">IF(BD!$C793="","",IF(AND(TODAY()&gt;BD!$C793,OR(BD!$D793="PENDENTE",BD!$D793="")),"VENCIDO",""))</f>
        <v/>
      </c>
      <c r="O793" s="82" t="str">
        <f ca="1">IF(N793 = "VENCIDO",BD!$B793,"")</f>
        <v/>
      </c>
      <c r="P793" s="82" t="str">
        <f ca="1">IF(N793 = "VENCIDO",BD!$C793,"")</f>
        <v/>
      </c>
      <c r="Q793" s="83" t="str">
        <f ca="1">IF(N793 = "VENCIDO",BD!$E793,"")</f>
        <v/>
      </c>
      <c r="R793" s="83" t="str">
        <f ca="1">IF(N793 = "VENCIDO",BD!$F793,"")</f>
        <v/>
      </c>
      <c r="S793" s="85" t="str">
        <f ca="1">IF(N793 = "VENCIDO",BD!$G793,"")</f>
        <v/>
      </c>
      <c r="T793" s="83" t="str">
        <f ca="1">IF(AND(TODAY()&gt;BD!$C793, OR(BD!$D793="PENDENTE", BD!$D793="")), TODAY()-BD!$C793, "")</f>
        <v/>
      </c>
    </row>
    <row r="794" spans="1:20" ht="14.25" customHeight="1" x14ac:dyDescent="0.35">
      <c r="A794" s="32"/>
      <c r="B794" s="82">
        <f>'NOV-26'!A55</f>
        <v>0</v>
      </c>
      <c r="C794" s="82">
        <f>'NOV-26'!B55</f>
        <v>0</v>
      </c>
      <c r="D794" s="82">
        <f>'NOV-26'!C55</f>
        <v>0</v>
      </c>
      <c r="E794" s="83">
        <f>'NOV-26'!D55</f>
        <v>0</v>
      </c>
      <c r="F794" s="84">
        <f>'NOV-26'!E55</f>
        <v>0</v>
      </c>
      <c r="G794" s="85">
        <f>'NOV-26'!F55</f>
        <v>0</v>
      </c>
      <c r="H794" s="85">
        <f t="shared" si="0"/>
        <v>0</v>
      </c>
      <c r="I794" s="83" t="s">
        <v>105</v>
      </c>
      <c r="J794" s="83" t="str">
        <f t="shared" si="1"/>
        <v/>
      </c>
      <c r="K794" s="85">
        <f t="shared" si="2"/>
        <v>0</v>
      </c>
      <c r="L794" s="83" t="str">
        <f t="shared" si="3"/>
        <v/>
      </c>
      <c r="M794" s="83">
        <f>'NOV-26'!H55</f>
        <v>0</v>
      </c>
      <c r="N794" s="92" t="str">
        <f ca="1">IF(BD!$C794="","",IF(AND(TODAY()&gt;BD!$C794,OR(BD!$D794="PENDENTE",BD!$D794="")),"VENCIDO",""))</f>
        <v/>
      </c>
      <c r="O794" s="82" t="str">
        <f ca="1">IF(N794 = "VENCIDO",BD!$B794,"")</f>
        <v/>
      </c>
      <c r="P794" s="82" t="str">
        <f ca="1">IF(N794 = "VENCIDO",BD!$C794,"")</f>
        <v/>
      </c>
      <c r="Q794" s="83" t="str">
        <f ca="1">IF(N794 = "VENCIDO",BD!$E794,"")</f>
        <v/>
      </c>
      <c r="R794" s="83" t="str">
        <f ca="1">IF(N794 = "VENCIDO",BD!$F794,"")</f>
        <v/>
      </c>
      <c r="S794" s="85" t="str">
        <f ca="1">IF(N794 = "VENCIDO",BD!$G794,"")</f>
        <v/>
      </c>
      <c r="T794" s="83" t="str">
        <f ca="1">IF(AND(TODAY()&gt;BD!$C794, OR(BD!$D794="PENDENTE", BD!$D794="")), TODAY()-BD!$C794, "")</f>
        <v/>
      </c>
    </row>
    <row r="795" spans="1:20" ht="14.25" customHeight="1" x14ac:dyDescent="0.35">
      <c r="A795" s="32"/>
      <c r="B795" s="82">
        <f>'NOV-26'!A56</f>
        <v>0</v>
      </c>
      <c r="C795" s="82">
        <f>'NOV-26'!B56</f>
        <v>0</v>
      </c>
      <c r="D795" s="82">
        <f>'NOV-26'!C56</f>
        <v>0</v>
      </c>
      <c r="E795" s="83">
        <f>'NOV-26'!D56</f>
        <v>0</v>
      </c>
      <c r="F795" s="84">
        <f>'NOV-26'!E56</f>
        <v>0</v>
      </c>
      <c r="G795" s="85">
        <f>'NOV-26'!F56</f>
        <v>0</v>
      </c>
      <c r="H795" s="85">
        <f t="shared" si="0"/>
        <v>0</v>
      </c>
      <c r="I795" s="83" t="s">
        <v>105</v>
      </c>
      <c r="J795" s="83" t="str">
        <f t="shared" si="1"/>
        <v/>
      </c>
      <c r="K795" s="85">
        <f t="shared" si="2"/>
        <v>0</v>
      </c>
      <c r="L795" s="83" t="str">
        <f t="shared" si="3"/>
        <v/>
      </c>
      <c r="M795" s="83">
        <f>'NOV-26'!H56</f>
        <v>0</v>
      </c>
      <c r="N795" s="92" t="str">
        <f ca="1">IF(BD!$C795="","",IF(AND(TODAY()&gt;BD!$C795,OR(BD!$D795="PENDENTE",BD!$D795="")),"VENCIDO",""))</f>
        <v/>
      </c>
      <c r="O795" s="82" t="str">
        <f ca="1">IF(N795 = "VENCIDO",BD!$B795,"")</f>
        <v/>
      </c>
      <c r="P795" s="82" t="str">
        <f ca="1">IF(N795 = "VENCIDO",BD!$C795,"")</f>
        <v/>
      </c>
      <c r="Q795" s="83" t="str">
        <f ca="1">IF(N795 = "VENCIDO",BD!$E795,"")</f>
        <v/>
      </c>
      <c r="R795" s="83" t="str">
        <f ca="1">IF(N795 = "VENCIDO",BD!$F795,"")</f>
        <v/>
      </c>
      <c r="S795" s="85" t="str">
        <f ca="1">IF(N795 = "VENCIDO",BD!$G795,"")</f>
        <v/>
      </c>
      <c r="T795" s="83" t="str">
        <f ca="1">IF(AND(TODAY()&gt;BD!$C795, OR(BD!$D795="PENDENTE", BD!$D795="")), TODAY()-BD!$C795, "")</f>
        <v/>
      </c>
    </row>
    <row r="796" spans="1:20" ht="14.25" customHeight="1" x14ac:dyDescent="0.35">
      <c r="A796" s="32"/>
      <c r="B796" s="82">
        <f>'NOV-26'!A57</f>
        <v>0</v>
      </c>
      <c r="C796" s="82">
        <f>'NOV-26'!B57</f>
        <v>0</v>
      </c>
      <c r="D796" s="82">
        <f>'NOV-26'!C57</f>
        <v>0</v>
      </c>
      <c r="E796" s="83">
        <f>'NOV-26'!D57</f>
        <v>0</v>
      </c>
      <c r="F796" s="84">
        <f>'NOV-26'!E57</f>
        <v>0</v>
      </c>
      <c r="G796" s="85">
        <f>'NOV-26'!F57</f>
        <v>0</v>
      </c>
      <c r="H796" s="85">
        <f t="shared" si="0"/>
        <v>0</v>
      </c>
      <c r="I796" s="83" t="s">
        <v>105</v>
      </c>
      <c r="J796" s="83" t="str">
        <f t="shared" si="1"/>
        <v/>
      </c>
      <c r="K796" s="85">
        <f t="shared" si="2"/>
        <v>0</v>
      </c>
      <c r="L796" s="83" t="str">
        <f t="shared" si="3"/>
        <v/>
      </c>
      <c r="M796" s="83">
        <f>'NOV-26'!H57</f>
        <v>0</v>
      </c>
      <c r="N796" s="92" t="str">
        <f ca="1">IF(BD!$C796="","",IF(AND(TODAY()&gt;BD!$C796,OR(BD!$D796="PENDENTE",BD!$D796="")),"VENCIDO",""))</f>
        <v/>
      </c>
      <c r="O796" s="82" t="str">
        <f ca="1">IF(N796 = "VENCIDO",BD!$B796,"")</f>
        <v/>
      </c>
      <c r="P796" s="82" t="str">
        <f ca="1">IF(N796 = "VENCIDO",BD!$C796,"")</f>
        <v/>
      </c>
      <c r="Q796" s="83" t="str">
        <f ca="1">IF(N796 = "VENCIDO",BD!$E796,"")</f>
        <v/>
      </c>
      <c r="R796" s="83" t="str">
        <f ca="1">IF(N796 = "VENCIDO",BD!$F796,"")</f>
        <v/>
      </c>
      <c r="S796" s="85" t="str">
        <f ca="1">IF(N796 = "VENCIDO",BD!$G796,"")</f>
        <v/>
      </c>
      <c r="T796" s="83" t="str">
        <f ca="1">IF(AND(TODAY()&gt;BD!$C796, OR(BD!$D796="PENDENTE", BD!$D796="")), TODAY()-BD!$C796, "")</f>
        <v/>
      </c>
    </row>
    <row r="797" spans="1:20" ht="14.25" customHeight="1" x14ac:dyDescent="0.35">
      <c r="A797" s="32"/>
      <c r="B797" s="82">
        <f>'NOV-26'!A58</f>
        <v>0</v>
      </c>
      <c r="C797" s="82">
        <f>'NOV-26'!B58</f>
        <v>0</v>
      </c>
      <c r="D797" s="82">
        <f>'NOV-26'!C58</f>
        <v>0</v>
      </c>
      <c r="E797" s="83">
        <f>'NOV-26'!D58</f>
        <v>0</v>
      </c>
      <c r="F797" s="84">
        <f>'NOV-26'!E58</f>
        <v>0</v>
      </c>
      <c r="G797" s="85">
        <f>'NOV-26'!F58</f>
        <v>0</v>
      </c>
      <c r="H797" s="85">
        <f t="shared" si="0"/>
        <v>0</v>
      </c>
      <c r="I797" s="83" t="s">
        <v>105</v>
      </c>
      <c r="J797" s="83" t="str">
        <f t="shared" si="1"/>
        <v/>
      </c>
      <c r="K797" s="85">
        <f t="shared" si="2"/>
        <v>0</v>
      </c>
      <c r="L797" s="83" t="str">
        <f t="shared" si="3"/>
        <v/>
      </c>
      <c r="M797" s="83">
        <f>'NOV-26'!H58</f>
        <v>0</v>
      </c>
      <c r="N797" s="92" t="str">
        <f ca="1">IF(BD!$C797="","",IF(AND(TODAY()&gt;BD!$C797,OR(BD!$D797="PENDENTE",BD!$D797="")),"VENCIDO",""))</f>
        <v/>
      </c>
      <c r="O797" s="82" t="str">
        <f ca="1">IF(N797 = "VENCIDO",BD!$B797,"")</f>
        <v/>
      </c>
      <c r="P797" s="82" t="str">
        <f ca="1">IF(N797 = "VENCIDO",BD!$C797,"")</f>
        <v/>
      </c>
      <c r="Q797" s="83" t="str">
        <f ca="1">IF(N797 = "VENCIDO",BD!$E797,"")</f>
        <v/>
      </c>
      <c r="R797" s="83" t="str">
        <f ca="1">IF(N797 = "VENCIDO",BD!$F797,"")</f>
        <v/>
      </c>
      <c r="S797" s="85" t="str">
        <f ca="1">IF(N797 = "VENCIDO",BD!$G797,"")</f>
        <v/>
      </c>
      <c r="T797" s="83" t="str">
        <f ca="1">IF(AND(TODAY()&gt;BD!$C797, OR(BD!$D797="PENDENTE", BD!$D797="")), TODAY()-BD!$C797, "")</f>
        <v/>
      </c>
    </row>
    <row r="798" spans="1:20" ht="14.25" customHeight="1" x14ac:dyDescent="0.35">
      <c r="A798" s="32"/>
      <c r="B798" s="82">
        <f>'NOV-26'!A59</f>
        <v>0</v>
      </c>
      <c r="C798" s="82">
        <f>'NOV-26'!B59</f>
        <v>0</v>
      </c>
      <c r="D798" s="82">
        <f>'NOV-26'!C59</f>
        <v>0</v>
      </c>
      <c r="E798" s="83">
        <f>'NOV-26'!D59</f>
        <v>0</v>
      </c>
      <c r="F798" s="84">
        <f>'NOV-26'!E59</f>
        <v>0</v>
      </c>
      <c r="G798" s="85">
        <f>'NOV-26'!F59</f>
        <v>0</v>
      </c>
      <c r="H798" s="85">
        <f t="shared" si="0"/>
        <v>0</v>
      </c>
      <c r="I798" s="83" t="s">
        <v>105</v>
      </c>
      <c r="J798" s="83" t="str">
        <f t="shared" si="1"/>
        <v/>
      </c>
      <c r="K798" s="85">
        <f t="shared" si="2"/>
        <v>0</v>
      </c>
      <c r="L798" s="83" t="str">
        <f t="shared" si="3"/>
        <v/>
      </c>
      <c r="M798" s="83">
        <f>'NOV-26'!H59</f>
        <v>0</v>
      </c>
      <c r="N798" s="92" t="str">
        <f ca="1">IF(BD!$C798="","",IF(AND(TODAY()&gt;BD!$C798,OR(BD!$D798="PENDENTE",BD!$D798="")),"VENCIDO",""))</f>
        <v/>
      </c>
      <c r="O798" s="82" t="str">
        <f ca="1">IF(N798 = "VENCIDO",BD!$B798,"")</f>
        <v/>
      </c>
      <c r="P798" s="82" t="str">
        <f ca="1">IF(N798 = "VENCIDO",BD!$C798,"")</f>
        <v/>
      </c>
      <c r="Q798" s="83" t="str">
        <f ca="1">IF(N798 = "VENCIDO",BD!$E798,"")</f>
        <v/>
      </c>
      <c r="R798" s="83" t="str">
        <f ca="1">IF(N798 = "VENCIDO",BD!$F798,"")</f>
        <v/>
      </c>
      <c r="S798" s="85" t="str">
        <f ca="1">IF(N798 = "VENCIDO",BD!$G798,"")</f>
        <v/>
      </c>
      <c r="T798" s="83" t="str">
        <f ca="1">IF(AND(TODAY()&gt;BD!$C798, OR(BD!$D798="PENDENTE", BD!$D798="")), TODAY()-BD!$C798, "")</f>
        <v/>
      </c>
    </row>
    <row r="799" spans="1:20" ht="14.25" customHeight="1" x14ac:dyDescent="0.35">
      <c r="A799" s="32"/>
      <c r="B799" s="82">
        <f>'NOV-26'!A60</f>
        <v>0</v>
      </c>
      <c r="C799" s="82">
        <f>'NOV-26'!B60</f>
        <v>0</v>
      </c>
      <c r="D799" s="82">
        <f>'NOV-26'!C60</f>
        <v>0</v>
      </c>
      <c r="E799" s="83">
        <f>'NOV-26'!D60</f>
        <v>0</v>
      </c>
      <c r="F799" s="84">
        <f>'NOV-26'!E60</f>
        <v>0</v>
      </c>
      <c r="G799" s="85">
        <f>'NOV-26'!F60</f>
        <v>0</v>
      </c>
      <c r="H799" s="85">
        <f t="shared" si="0"/>
        <v>0</v>
      </c>
      <c r="I799" s="83" t="s">
        <v>105</v>
      </c>
      <c r="J799" s="83" t="str">
        <f t="shared" si="1"/>
        <v/>
      </c>
      <c r="K799" s="85">
        <f t="shared" si="2"/>
        <v>0</v>
      </c>
      <c r="L799" s="83" t="str">
        <f t="shared" si="3"/>
        <v/>
      </c>
      <c r="M799" s="83">
        <f>'NOV-26'!H60</f>
        <v>0</v>
      </c>
      <c r="N799" s="92" t="str">
        <f ca="1">IF(BD!$C799="","",IF(AND(TODAY()&gt;BD!$C799,OR(BD!$D799="PENDENTE",BD!$D799="")),"VENCIDO",""))</f>
        <v/>
      </c>
      <c r="O799" s="82" t="str">
        <f ca="1">IF(N799 = "VENCIDO",BD!$B799,"")</f>
        <v/>
      </c>
      <c r="P799" s="82" t="str">
        <f ca="1">IF(N799 = "VENCIDO",BD!$C799,"")</f>
        <v/>
      </c>
      <c r="Q799" s="83" t="str">
        <f ca="1">IF(N799 = "VENCIDO",BD!$E799,"")</f>
        <v/>
      </c>
      <c r="R799" s="83" t="str">
        <f ca="1">IF(N799 = "VENCIDO",BD!$F799,"")</f>
        <v/>
      </c>
      <c r="S799" s="85" t="str">
        <f ca="1">IF(N799 = "VENCIDO",BD!$G799,"")</f>
        <v/>
      </c>
      <c r="T799" s="83" t="str">
        <f ca="1">IF(AND(TODAY()&gt;BD!$C799, OR(BD!$D799="PENDENTE", BD!$D799="")), TODAY()-BD!$C799, "")</f>
        <v/>
      </c>
    </row>
    <row r="800" spans="1:20" ht="14.25" customHeight="1" x14ac:dyDescent="0.35">
      <c r="A800" s="32"/>
      <c r="B800" s="82">
        <f>'NOV-26'!A61</f>
        <v>0</v>
      </c>
      <c r="C800" s="82">
        <f>'NOV-26'!B61</f>
        <v>0</v>
      </c>
      <c r="D800" s="82">
        <f>'NOV-26'!C61</f>
        <v>0</v>
      </c>
      <c r="E800" s="83">
        <f>'NOV-26'!D61</f>
        <v>0</v>
      </c>
      <c r="F800" s="84">
        <f>'NOV-26'!E61</f>
        <v>0</v>
      </c>
      <c r="G800" s="85">
        <f>'NOV-26'!F61</f>
        <v>0</v>
      </c>
      <c r="H800" s="85">
        <f t="shared" si="0"/>
        <v>0</v>
      </c>
      <c r="I800" s="83" t="s">
        <v>105</v>
      </c>
      <c r="J800" s="83" t="str">
        <f t="shared" si="1"/>
        <v/>
      </c>
      <c r="K800" s="85">
        <f t="shared" si="2"/>
        <v>0</v>
      </c>
      <c r="L800" s="83" t="str">
        <f t="shared" si="3"/>
        <v/>
      </c>
      <c r="M800" s="83">
        <f>'NOV-26'!H61</f>
        <v>0</v>
      </c>
      <c r="N800" s="92" t="str">
        <f ca="1">IF(BD!$C800="","",IF(AND(TODAY()&gt;BD!$C800,OR(BD!$D800="PENDENTE",BD!$D800="")),"VENCIDO",""))</f>
        <v/>
      </c>
      <c r="O800" s="82" t="str">
        <f ca="1">IF(N800 = "VENCIDO",BD!$B800,"")</f>
        <v/>
      </c>
      <c r="P800" s="82" t="str">
        <f ca="1">IF(N800 = "VENCIDO",BD!$C800,"")</f>
        <v/>
      </c>
      <c r="Q800" s="83" t="str">
        <f ca="1">IF(N800 = "VENCIDO",BD!$E800,"")</f>
        <v/>
      </c>
      <c r="R800" s="83" t="str">
        <f ca="1">IF(N800 = "VENCIDO",BD!$F800,"")</f>
        <v/>
      </c>
      <c r="S800" s="85" t="str">
        <f ca="1">IF(N800 = "VENCIDO",BD!$G800,"")</f>
        <v/>
      </c>
      <c r="T800" s="83" t="str">
        <f ca="1">IF(AND(TODAY()&gt;BD!$C800, OR(BD!$D800="PENDENTE", BD!$D800="")), TODAY()-BD!$C800, "")</f>
        <v/>
      </c>
    </row>
    <row r="801" spans="1:20" ht="14.25" customHeight="1" x14ac:dyDescent="0.35">
      <c r="A801" s="32"/>
      <c r="B801" s="82">
        <f>'NOV-26'!A62</f>
        <v>0</v>
      </c>
      <c r="C801" s="82">
        <f>'NOV-26'!B62</f>
        <v>0</v>
      </c>
      <c r="D801" s="82">
        <f>'NOV-26'!C62</f>
        <v>0</v>
      </c>
      <c r="E801" s="83">
        <f>'NOV-26'!D62</f>
        <v>0</v>
      </c>
      <c r="F801" s="84">
        <f>'NOV-26'!E62</f>
        <v>0</v>
      </c>
      <c r="G801" s="85">
        <f>'NOV-26'!F62</f>
        <v>0</v>
      </c>
      <c r="H801" s="85">
        <f t="shared" si="0"/>
        <v>0</v>
      </c>
      <c r="I801" s="83" t="s">
        <v>105</v>
      </c>
      <c r="J801" s="83" t="str">
        <f t="shared" si="1"/>
        <v/>
      </c>
      <c r="K801" s="85">
        <f t="shared" si="2"/>
        <v>0</v>
      </c>
      <c r="L801" s="83" t="str">
        <f t="shared" si="3"/>
        <v/>
      </c>
      <c r="M801" s="83">
        <f>'NOV-26'!H62</f>
        <v>0</v>
      </c>
      <c r="N801" s="92" t="str">
        <f ca="1">IF(BD!$C801="","",IF(AND(TODAY()&gt;BD!$C801,OR(BD!$D801="PENDENTE",BD!$D801="")),"VENCIDO",""))</f>
        <v/>
      </c>
      <c r="O801" s="82" t="str">
        <f ca="1">IF(N801 = "VENCIDO",BD!$B801,"")</f>
        <v/>
      </c>
      <c r="P801" s="82" t="str">
        <f ca="1">IF(N801 = "VENCIDO",BD!$C801,"")</f>
        <v/>
      </c>
      <c r="Q801" s="83" t="str">
        <f ca="1">IF(N801 = "VENCIDO",BD!$E801,"")</f>
        <v/>
      </c>
      <c r="R801" s="83" t="str">
        <f ca="1">IF(N801 = "VENCIDO",BD!$F801,"")</f>
        <v/>
      </c>
      <c r="S801" s="85" t="str">
        <f ca="1">IF(N801 = "VENCIDO",BD!$G801,"")</f>
        <v/>
      </c>
      <c r="T801" s="83" t="str">
        <f ca="1">IF(AND(TODAY()&gt;BD!$C801, OR(BD!$D801="PENDENTE", BD!$D801="")), TODAY()-BD!$C801, "")</f>
        <v/>
      </c>
    </row>
    <row r="802" spans="1:20" ht="14.25" customHeight="1" x14ac:dyDescent="0.35">
      <c r="A802" s="32"/>
      <c r="B802" s="82">
        <f>'NOV-26'!A63</f>
        <v>0</v>
      </c>
      <c r="C802" s="82">
        <f>'NOV-26'!B63</f>
        <v>0</v>
      </c>
      <c r="D802" s="82">
        <f>'NOV-26'!C63</f>
        <v>0</v>
      </c>
      <c r="E802" s="83">
        <f>'NOV-26'!D63</f>
        <v>0</v>
      </c>
      <c r="F802" s="84">
        <f>'NOV-26'!E63</f>
        <v>0</v>
      </c>
      <c r="G802" s="85">
        <f>'NOV-26'!F63</f>
        <v>0</v>
      </c>
      <c r="H802" s="85">
        <f t="shared" si="0"/>
        <v>0</v>
      </c>
      <c r="I802" s="83" t="s">
        <v>105</v>
      </c>
      <c r="J802" s="83" t="str">
        <f t="shared" si="1"/>
        <v/>
      </c>
      <c r="K802" s="85">
        <f t="shared" si="2"/>
        <v>0</v>
      </c>
      <c r="L802" s="83" t="str">
        <f t="shared" si="3"/>
        <v/>
      </c>
      <c r="M802" s="83">
        <f>'NOV-26'!H63</f>
        <v>0</v>
      </c>
      <c r="N802" s="92" t="str">
        <f ca="1">IF(BD!$C802="","",IF(AND(TODAY()&gt;BD!$C802,OR(BD!$D802="PENDENTE",BD!$D802="")),"VENCIDO",""))</f>
        <v/>
      </c>
      <c r="O802" s="82" t="str">
        <f ca="1">IF(N802 = "VENCIDO",BD!$B802,"")</f>
        <v/>
      </c>
      <c r="P802" s="82" t="str">
        <f ca="1">IF(N802 = "VENCIDO",BD!$C802,"")</f>
        <v/>
      </c>
      <c r="Q802" s="83" t="str">
        <f ca="1">IF(N802 = "VENCIDO",BD!$E802,"")</f>
        <v/>
      </c>
      <c r="R802" s="83" t="str">
        <f ca="1">IF(N802 = "VENCIDO",BD!$F802,"")</f>
        <v/>
      </c>
      <c r="S802" s="85" t="str">
        <f ca="1">IF(N802 = "VENCIDO",BD!$G802,"")</f>
        <v/>
      </c>
      <c r="T802" s="83" t="str">
        <f ca="1">IF(AND(TODAY()&gt;BD!$C802, OR(BD!$D802="PENDENTE", BD!$D802="")), TODAY()-BD!$C802, "")</f>
        <v/>
      </c>
    </row>
    <row r="803" spans="1:20" ht="14.25" customHeight="1" x14ac:dyDescent="0.35">
      <c r="A803" s="32"/>
      <c r="B803" s="82">
        <f>'NOV-26'!A64</f>
        <v>0</v>
      </c>
      <c r="C803" s="82">
        <f>'NOV-26'!B64</f>
        <v>0</v>
      </c>
      <c r="D803" s="82">
        <f>'NOV-26'!C64</f>
        <v>0</v>
      </c>
      <c r="E803" s="83">
        <f>'NOV-26'!D64</f>
        <v>0</v>
      </c>
      <c r="F803" s="84">
        <f>'NOV-26'!E64</f>
        <v>0</v>
      </c>
      <c r="G803" s="85">
        <f>'NOV-26'!F64</f>
        <v>0</v>
      </c>
      <c r="H803" s="85">
        <f t="shared" si="0"/>
        <v>0</v>
      </c>
      <c r="I803" s="83" t="s">
        <v>105</v>
      </c>
      <c r="J803" s="83" t="str">
        <f t="shared" si="1"/>
        <v/>
      </c>
      <c r="K803" s="85">
        <f t="shared" si="2"/>
        <v>0</v>
      </c>
      <c r="L803" s="83" t="str">
        <f t="shared" si="3"/>
        <v/>
      </c>
      <c r="M803" s="83">
        <f>'NOV-26'!H64</f>
        <v>0</v>
      </c>
      <c r="N803" s="92" t="str">
        <f ca="1">IF(BD!$C803="","",IF(AND(TODAY()&gt;BD!$C803,OR(BD!$D803="PENDENTE",BD!$D803="")),"VENCIDO",""))</f>
        <v/>
      </c>
      <c r="O803" s="82" t="str">
        <f ca="1">IF(N803 = "VENCIDO",BD!$B803,"")</f>
        <v/>
      </c>
      <c r="P803" s="82" t="str">
        <f ca="1">IF(N803 = "VENCIDO",BD!$C803,"")</f>
        <v/>
      </c>
      <c r="Q803" s="83" t="str">
        <f ca="1">IF(N803 = "VENCIDO",BD!$E803,"")</f>
        <v/>
      </c>
      <c r="R803" s="83" t="str">
        <f ca="1">IF(N803 = "VENCIDO",BD!$F803,"")</f>
        <v/>
      </c>
      <c r="S803" s="85" t="str">
        <f ca="1">IF(N803 = "VENCIDO",BD!$G803,"")</f>
        <v/>
      </c>
      <c r="T803" s="83" t="str">
        <f ca="1">IF(AND(TODAY()&gt;BD!$C803, OR(BD!$D803="PENDENTE", BD!$D803="")), TODAY()-BD!$C803, "")</f>
        <v/>
      </c>
    </row>
    <row r="804" spans="1:20" ht="14.25" customHeight="1" x14ac:dyDescent="0.35">
      <c r="A804" s="32"/>
      <c r="B804" s="82">
        <f>'NOV-26'!A65</f>
        <v>0</v>
      </c>
      <c r="C804" s="82">
        <f>'NOV-26'!B65</f>
        <v>0</v>
      </c>
      <c r="D804" s="82">
        <f>'NOV-26'!C65</f>
        <v>0</v>
      </c>
      <c r="E804" s="83">
        <f>'NOV-26'!D65</f>
        <v>0</v>
      </c>
      <c r="F804" s="84">
        <f>'NOV-26'!E65</f>
        <v>0</v>
      </c>
      <c r="G804" s="85">
        <f>'NOV-26'!F65</f>
        <v>0</v>
      </c>
      <c r="H804" s="85">
        <f t="shared" si="0"/>
        <v>0</v>
      </c>
      <c r="I804" s="83" t="s">
        <v>105</v>
      </c>
      <c r="J804" s="83" t="str">
        <f t="shared" si="1"/>
        <v/>
      </c>
      <c r="K804" s="85">
        <f t="shared" si="2"/>
        <v>0</v>
      </c>
      <c r="L804" s="83" t="str">
        <f t="shared" si="3"/>
        <v/>
      </c>
      <c r="M804" s="83">
        <f>'NOV-26'!H65</f>
        <v>0</v>
      </c>
      <c r="N804" s="92" t="str">
        <f ca="1">IF(BD!$C804="","",IF(AND(TODAY()&gt;BD!$C804,OR(BD!$D804="PENDENTE",BD!$D804="")),"VENCIDO",""))</f>
        <v/>
      </c>
      <c r="O804" s="82" t="str">
        <f ca="1">IF(N804 = "VENCIDO",BD!$B804,"")</f>
        <v/>
      </c>
      <c r="P804" s="82" t="str">
        <f ca="1">IF(N804 = "VENCIDO",BD!$C804,"")</f>
        <v/>
      </c>
      <c r="Q804" s="83" t="str">
        <f ca="1">IF(N804 = "VENCIDO",BD!$E804,"")</f>
        <v/>
      </c>
      <c r="R804" s="83" t="str">
        <f ca="1">IF(N804 = "VENCIDO",BD!$F804,"")</f>
        <v/>
      </c>
      <c r="S804" s="85" t="str">
        <f ca="1">IF(N804 = "VENCIDO",BD!$G804,"")</f>
        <v/>
      </c>
      <c r="T804" s="83" t="str">
        <f ca="1">IF(AND(TODAY()&gt;BD!$C804, OR(BD!$D804="PENDENTE", BD!$D804="")), TODAY()-BD!$C804, "")</f>
        <v/>
      </c>
    </row>
    <row r="805" spans="1:20" ht="14.25" customHeight="1" x14ac:dyDescent="0.35">
      <c r="A805" s="32"/>
      <c r="B805" s="82">
        <f>'NOV-26'!A66</f>
        <v>0</v>
      </c>
      <c r="C805" s="82">
        <f>'NOV-26'!B66</f>
        <v>0</v>
      </c>
      <c r="D805" s="82">
        <f>'NOV-26'!C66</f>
        <v>0</v>
      </c>
      <c r="E805" s="83">
        <f>'NOV-26'!D66</f>
        <v>0</v>
      </c>
      <c r="F805" s="84">
        <f>'NOV-26'!E66</f>
        <v>0</v>
      </c>
      <c r="G805" s="85">
        <f>'NOV-26'!F66</f>
        <v>0</v>
      </c>
      <c r="H805" s="85">
        <f t="shared" si="0"/>
        <v>0</v>
      </c>
      <c r="I805" s="83" t="s">
        <v>105</v>
      </c>
      <c r="J805" s="83" t="str">
        <f t="shared" si="1"/>
        <v/>
      </c>
      <c r="K805" s="85">
        <f t="shared" si="2"/>
        <v>0</v>
      </c>
      <c r="L805" s="83" t="str">
        <f t="shared" si="3"/>
        <v/>
      </c>
      <c r="M805" s="83">
        <f>'NOV-26'!H66</f>
        <v>0</v>
      </c>
      <c r="N805" s="92" t="str">
        <f ca="1">IF(BD!$C805="","",IF(AND(TODAY()&gt;BD!$C805,OR(BD!$D805="PENDENTE",BD!$D805="")),"VENCIDO",""))</f>
        <v/>
      </c>
      <c r="O805" s="82" t="str">
        <f ca="1">IF(N805 = "VENCIDO",BD!$B805,"")</f>
        <v/>
      </c>
      <c r="P805" s="82" t="str">
        <f ca="1">IF(N805 = "VENCIDO",BD!$C805,"")</f>
        <v/>
      </c>
      <c r="Q805" s="83" t="str">
        <f ca="1">IF(N805 = "VENCIDO",BD!$E805,"")</f>
        <v/>
      </c>
      <c r="R805" s="83" t="str">
        <f ca="1">IF(N805 = "VENCIDO",BD!$F805,"")</f>
        <v/>
      </c>
      <c r="S805" s="85" t="str">
        <f ca="1">IF(N805 = "VENCIDO",BD!$G805,"")</f>
        <v/>
      </c>
      <c r="T805" s="83" t="str">
        <f ca="1">IF(AND(TODAY()&gt;BD!$C805, OR(BD!$D805="PENDENTE", BD!$D805="")), TODAY()-BD!$C805, "")</f>
        <v/>
      </c>
    </row>
    <row r="806" spans="1:20" ht="14.25" customHeight="1" x14ac:dyDescent="0.35">
      <c r="A806" s="32"/>
      <c r="B806" s="82">
        <f>'NOV-26'!A67</f>
        <v>0</v>
      </c>
      <c r="C806" s="82">
        <f>'NOV-26'!B67</f>
        <v>0</v>
      </c>
      <c r="D806" s="82">
        <f>'NOV-26'!C67</f>
        <v>0</v>
      </c>
      <c r="E806" s="83">
        <f>'NOV-26'!D67</f>
        <v>0</v>
      </c>
      <c r="F806" s="84">
        <f>'NOV-26'!E67</f>
        <v>0</v>
      </c>
      <c r="G806" s="85">
        <f>'NOV-26'!F67</f>
        <v>0</v>
      </c>
      <c r="H806" s="85">
        <f t="shared" si="0"/>
        <v>0</v>
      </c>
      <c r="I806" s="83" t="s">
        <v>105</v>
      </c>
      <c r="J806" s="83" t="str">
        <f t="shared" si="1"/>
        <v/>
      </c>
      <c r="K806" s="85">
        <f t="shared" si="2"/>
        <v>0</v>
      </c>
      <c r="L806" s="83" t="str">
        <f t="shared" si="3"/>
        <v/>
      </c>
      <c r="M806" s="83">
        <f>'NOV-26'!H67</f>
        <v>0</v>
      </c>
      <c r="N806" s="92" t="str">
        <f ca="1">IF(BD!$C806="","",IF(AND(TODAY()&gt;BD!$C806,OR(BD!$D806="PENDENTE",BD!$D806="")),"VENCIDO",""))</f>
        <v/>
      </c>
      <c r="O806" s="82" t="str">
        <f ca="1">IF(N806 = "VENCIDO",BD!$B806,"")</f>
        <v/>
      </c>
      <c r="P806" s="82" t="str">
        <f ca="1">IF(N806 = "VENCIDO",BD!$C806,"")</f>
        <v/>
      </c>
      <c r="Q806" s="83" t="str">
        <f ca="1">IF(N806 = "VENCIDO",BD!$E806,"")</f>
        <v/>
      </c>
      <c r="R806" s="83" t="str">
        <f ca="1">IF(N806 = "VENCIDO",BD!$F806,"")</f>
        <v/>
      </c>
      <c r="S806" s="85" t="str">
        <f ca="1">IF(N806 = "VENCIDO",BD!$G806,"")</f>
        <v/>
      </c>
      <c r="T806" s="83" t="str">
        <f ca="1">IF(AND(TODAY()&gt;BD!$C806, OR(BD!$D806="PENDENTE", BD!$D806="")), TODAY()-BD!$C806, "")</f>
        <v/>
      </c>
    </row>
    <row r="807" spans="1:20" ht="14.25" customHeight="1" x14ac:dyDescent="0.35">
      <c r="A807" s="32"/>
      <c r="B807" s="82">
        <f>'NOV-26'!A68</f>
        <v>0</v>
      </c>
      <c r="C807" s="82">
        <f>'NOV-26'!B68</f>
        <v>0</v>
      </c>
      <c r="D807" s="82">
        <f>'NOV-26'!C68</f>
        <v>0</v>
      </c>
      <c r="E807" s="83">
        <f>'NOV-26'!D68</f>
        <v>0</v>
      </c>
      <c r="F807" s="84">
        <f>'NOV-26'!E68</f>
        <v>0</v>
      </c>
      <c r="G807" s="85">
        <f>'NOV-26'!F68</f>
        <v>0</v>
      </c>
      <c r="H807" s="85">
        <f t="shared" si="0"/>
        <v>0</v>
      </c>
      <c r="I807" s="83" t="s">
        <v>105</v>
      </c>
      <c r="J807" s="83" t="str">
        <f t="shared" si="1"/>
        <v/>
      </c>
      <c r="K807" s="85">
        <f t="shared" si="2"/>
        <v>0</v>
      </c>
      <c r="L807" s="83" t="str">
        <f t="shared" si="3"/>
        <v/>
      </c>
      <c r="M807" s="83">
        <f>'NOV-26'!H68</f>
        <v>0</v>
      </c>
      <c r="N807" s="92" t="str">
        <f ca="1">IF(BD!$C807="","",IF(AND(TODAY()&gt;BD!$C807,OR(BD!$D807="PENDENTE",BD!$D807="")),"VENCIDO",""))</f>
        <v/>
      </c>
      <c r="O807" s="82" t="str">
        <f ca="1">IF(N807 = "VENCIDO",BD!$B807,"")</f>
        <v/>
      </c>
      <c r="P807" s="82" t="str">
        <f ca="1">IF(N807 = "VENCIDO",BD!$C807,"")</f>
        <v/>
      </c>
      <c r="Q807" s="83" t="str">
        <f ca="1">IF(N807 = "VENCIDO",BD!$E807,"")</f>
        <v/>
      </c>
      <c r="R807" s="83" t="str">
        <f ca="1">IF(N807 = "VENCIDO",BD!$F807,"")</f>
        <v/>
      </c>
      <c r="S807" s="85" t="str">
        <f ca="1">IF(N807 = "VENCIDO",BD!$G807,"")</f>
        <v/>
      </c>
      <c r="T807" s="83" t="str">
        <f ca="1">IF(AND(TODAY()&gt;BD!$C807, OR(BD!$D807="PENDENTE", BD!$D807="")), TODAY()-BD!$C807, "")</f>
        <v/>
      </c>
    </row>
    <row r="808" spans="1:20" ht="14.25" customHeight="1" x14ac:dyDescent="0.35">
      <c r="A808" s="32"/>
      <c r="B808" s="82">
        <f>'NOV-26'!A69</f>
        <v>0</v>
      </c>
      <c r="C808" s="82">
        <f>'NOV-26'!B69</f>
        <v>0</v>
      </c>
      <c r="D808" s="82">
        <f>'NOV-26'!C69</f>
        <v>0</v>
      </c>
      <c r="E808" s="83">
        <f>'NOV-26'!D69</f>
        <v>0</v>
      </c>
      <c r="F808" s="84">
        <f>'NOV-26'!E69</f>
        <v>0</v>
      </c>
      <c r="G808" s="85">
        <f>'NOV-26'!F69</f>
        <v>0</v>
      </c>
      <c r="H808" s="85">
        <f t="shared" si="0"/>
        <v>0</v>
      </c>
      <c r="I808" s="83" t="s">
        <v>105</v>
      </c>
      <c r="J808" s="83" t="str">
        <f t="shared" si="1"/>
        <v/>
      </c>
      <c r="K808" s="85">
        <f t="shared" si="2"/>
        <v>0</v>
      </c>
      <c r="L808" s="83" t="str">
        <f t="shared" si="3"/>
        <v/>
      </c>
      <c r="M808" s="83">
        <f>'NOV-26'!H69</f>
        <v>0</v>
      </c>
      <c r="N808" s="92" t="str">
        <f ca="1">IF(BD!$C808="","",IF(AND(TODAY()&gt;BD!$C808,OR(BD!$D808="PENDENTE",BD!$D808="")),"VENCIDO",""))</f>
        <v/>
      </c>
      <c r="O808" s="82" t="str">
        <f ca="1">IF(N808 = "VENCIDO",BD!$B808,"")</f>
        <v/>
      </c>
      <c r="P808" s="82" t="str">
        <f ca="1">IF(N808 = "VENCIDO",BD!$C808,"")</f>
        <v/>
      </c>
      <c r="Q808" s="83" t="str">
        <f ca="1">IF(N808 = "VENCIDO",BD!$E808,"")</f>
        <v/>
      </c>
      <c r="R808" s="83" t="str">
        <f ca="1">IF(N808 = "VENCIDO",BD!$F808,"")</f>
        <v/>
      </c>
      <c r="S808" s="85" t="str">
        <f ca="1">IF(N808 = "VENCIDO",BD!$G808,"")</f>
        <v/>
      </c>
      <c r="T808" s="83" t="str">
        <f ca="1">IF(AND(TODAY()&gt;BD!$C808, OR(BD!$D808="PENDENTE", BD!$D808="")), TODAY()-BD!$C808, "")</f>
        <v/>
      </c>
    </row>
    <row r="809" spans="1:20" ht="14.25" customHeight="1" x14ac:dyDescent="0.35">
      <c r="A809" s="32"/>
      <c r="B809" s="82">
        <f>'NOV-26'!A70</f>
        <v>0</v>
      </c>
      <c r="C809" s="82">
        <f>'NOV-26'!B70</f>
        <v>0</v>
      </c>
      <c r="D809" s="82">
        <f>'NOV-26'!C70</f>
        <v>0</v>
      </c>
      <c r="E809" s="83">
        <f>'NOV-26'!D70</f>
        <v>0</v>
      </c>
      <c r="F809" s="84">
        <f>'NOV-26'!E70</f>
        <v>0</v>
      </c>
      <c r="G809" s="85">
        <f>'NOV-26'!F70</f>
        <v>0</v>
      </c>
      <c r="H809" s="85">
        <f t="shared" si="0"/>
        <v>0</v>
      </c>
      <c r="I809" s="83" t="s">
        <v>105</v>
      </c>
      <c r="J809" s="83" t="str">
        <f t="shared" si="1"/>
        <v/>
      </c>
      <c r="K809" s="85">
        <f t="shared" si="2"/>
        <v>0</v>
      </c>
      <c r="L809" s="83" t="str">
        <f t="shared" si="3"/>
        <v/>
      </c>
      <c r="M809" s="83">
        <f>'NOV-26'!H70</f>
        <v>0</v>
      </c>
      <c r="N809" s="92" t="str">
        <f ca="1">IF(BD!$C809="","",IF(AND(TODAY()&gt;BD!$C809,OR(BD!$D809="PENDENTE",BD!$D809="")),"VENCIDO",""))</f>
        <v/>
      </c>
      <c r="O809" s="82" t="str">
        <f ca="1">IF(N809 = "VENCIDO",BD!$B809,"")</f>
        <v/>
      </c>
      <c r="P809" s="82" t="str">
        <f ca="1">IF(N809 = "VENCIDO",BD!$C809,"")</f>
        <v/>
      </c>
      <c r="Q809" s="83" t="str">
        <f ca="1">IF(N809 = "VENCIDO",BD!$E809,"")</f>
        <v/>
      </c>
      <c r="R809" s="83" t="str">
        <f ca="1">IF(N809 = "VENCIDO",BD!$F809,"")</f>
        <v/>
      </c>
      <c r="S809" s="85" t="str">
        <f ca="1">IF(N809 = "VENCIDO",BD!$G809,"")</f>
        <v/>
      </c>
      <c r="T809" s="83" t="str">
        <f ca="1">IF(AND(TODAY()&gt;BD!$C809, OR(BD!$D809="PENDENTE", BD!$D809="")), TODAY()-BD!$C809, "")</f>
        <v/>
      </c>
    </row>
    <row r="810" spans="1:20" ht="14.25" customHeight="1" x14ac:dyDescent="0.35">
      <c r="A810" s="32"/>
      <c r="B810" s="82">
        <f>'NOV-26'!A71</f>
        <v>0</v>
      </c>
      <c r="C810" s="82">
        <f>'NOV-26'!B71</f>
        <v>0</v>
      </c>
      <c r="D810" s="82">
        <f>'NOV-26'!C71</f>
        <v>0</v>
      </c>
      <c r="E810" s="83">
        <f>'NOV-26'!D71</f>
        <v>0</v>
      </c>
      <c r="F810" s="84">
        <f>'NOV-26'!E71</f>
        <v>0</v>
      </c>
      <c r="G810" s="85">
        <f>'NOV-26'!F71</f>
        <v>0</v>
      </c>
      <c r="H810" s="85">
        <f t="shared" si="0"/>
        <v>0</v>
      </c>
      <c r="I810" s="83" t="s">
        <v>105</v>
      </c>
      <c r="J810" s="83" t="str">
        <f t="shared" si="1"/>
        <v/>
      </c>
      <c r="K810" s="85">
        <f t="shared" si="2"/>
        <v>0</v>
      </c>
      <c r="L810" s="83" t="str">
        <f t="shared" si="3"/>
        <v/>
      </c>
      <c r="M810" s="83">
        <f>'NOV-26'!H71</f>
        <v>0</v>
      </c>
      <c r="N810" s="92" t="str">
        <f ca="1">IF(BD!$C810="","",IF(AND(TODAY()&gt;BD!$C810,OR(BD!$D810="PENDENTE",BD!$D810="")),"VENCIDO",""))</f>
        <v/>
      </c>
      <c r="O810" s="82" t="str">
        <f ca="1">IF(N810 = "VENCIDO",BD!$B810,"")</f>
        <v/>
      </c>
      <c r="P810" s="82" t="str">
        <f ca="1">IF(N810 = "VENCIDO",BD!$C810,"")</f>
        <v/>
      </c>
      <c r="Q810" s="83" t="str">
        <f ca="1">IF(N810 = "VENCIDO",BD!$E810,"")</f>
        <v/>
      </c>
      <c r="R810" s="83" t="str">
        <f ca="1">IF(N810 = "VENCIDO",BD!$F810,"")</f>
        <v/>
      </c>
      <c r="S810" s="85" t="str">
        <f ca="1">IF(N810 = "VENCIDO",BD!$G810,"")</f>
        <v/>
      </c>
      <c r="T810" s="83" t="str">
        <f ca="1">IF(AND(TODAY()&gt;BD!$C810, OR(BD!$D810="PENDENTE", BD!$D810="")), TODAY()-BD!$C810, "")</f>
        <v/>
      </c>
    </row>
    <row r="811" spans="1:20" ht="14.25" customHeight="1" x14ac:dyDescent="0.35">
      <c r="A811" s="32"/>
      <c r="B811" s="82">
        <f>'NOV-26'!A72</f>
        <v>0</v>
      </c>
      <c r="C811" s="82">
        <f>'NOV-26'!B72</f>
        <v>0</v>
      </c>
      <c r="D811" s="82">
        <f>'NOV-26'!C72</f>
        <v>0</v>
      </c>
      <c r="E811" s="83">
        <f>'NOV-26'!D72</f>
        <v>0</v>
      </c>
      <c r="F811" s="84">
        <f>'NOV-26'!E72</f>
        <v>0</v>
      </c>
      <c r="G811" s="85">
        <f>'NOV-26'!F72</f>
        <v>0</v>
      </c>
      <c r="H811" s="85">
        <f t="shared" si="0"/>
        <v>0</v>
      </c>
      <c r="I811" s="83" t="s">
        <v>105</v>
      </c>
      <c r="J811" s="83" t="str">
        <f t="shared" si="1"/>
        <v/>
      </c>
      <c r="K811" s="85">
        <f t="shared" si="2"/>
        <v>0</v>
      </c>
      <c r="L811" s="83" t="str">
        <f t="shared" si="3"/>
        <v/>
      </c>
      <c r="M811" s="83">
        <f>'NOV-26'!H72</f>
        <v>0</v>
      </c>
      <c r="N811" s="92" t="str">
        <f ca="1">IF(BD!$C811="","",IF(AND(TODAY()&gt;BD!$C811,OR(BD!$D811="PENDENTE",BD!$D811="")),"VENCIDO",""))</f>
        <v/>
      </c>
      <c r="O811" s="82" t="str">
        <f ca="1">IF(N811 = "VENCIDO",BD!$B811,"")</f>
        <v/>
      </c>
      <c r="P811" s="82" t="str">
        <f ca="1">IF(N811 = "VENCIDO",BD!$C811,"")</f>
        <v/>
      </c>
      <c r="Q811" s="83" t="str">
        <f ca="1">IF(N811 = "VENCIDO",BD!$E811,"")</f>
        <v/>
      </c>
      <c r="R811" s="83" t="str">
        <f ca="1">IF(N811 = "VENCIDO",BD!$F811,"")</f>
        <v/>
      </c>
      <c r="S811" s="85" t="str">
        <f ca="1">IF(N811 = "VENCIDO",BD!$G811,"")</f>
        <v/>
      </c>
      <c r="T811" s="83" t="str">
        <f ca="1">IF(AND(TODAY()&gt;BD!$C811, OR(BD!$D811="PENDENTE", BD!$D811="")), TODAY()-BD!$C811, "")</f>
        <v/>
      </c>
    </row>
    <row r="812" spans="1:20" ht="14.25" customHeight="1" x14ac:dyDescent="0.35">
      <c r="A812" s="32"/>
      <c r="B812" s="82">
        <f>'NOV-26'!A73</f>
        <v>0</v>
      </c>
      <c r="C812" s="82">
        <f>'NOV-26'!B73</f>
        <v>0</v>
      </c>
      <c r="D812" s="82">
        <f>'NOV-26'!C73</f>
        <v>0</v>
      </c>
      <c r="E812" s="83">
        <f>'NOV-26'!D73</f>
        <v>0</v>
      </c>
      <c r="F812" s="84">
        <f>'NOV-26'!E73</f>
        <v>0</v>
      </c>
      <c r="G812" s="85">
        <f>'NOV-26'!F73</f>
        <v>0</v>
      </c>
      <c r="H812" s="85">
        <f t="shared" si="0"/>
        <v>0</v>
      </c>
      <c r="I812" s="83" t="s">
        <v>105</v>
      </c>
      <c r="J812" s="83" t="str">
        <f t="shared" si="1"/>
        <v/>
      </c>
      <c r="K812" s="85">
        <f t="shared" si="2"/>
        <v>0</v>
      </c>
      <c r="L812" s="83" t="str">
        <f t="shared" si="3"/>
        <v/>
      </c>
      <c r="M812" s="83">
        <f>'NOV-26'!H73</f>
        <v>0</v>
      </c>
      <c r="N812" s="92" t="str">
        <f ca="1">IF(BD!$C812="","",IF(AND(TODAY()&gt;BD!$C812,OR(BD!$D812="PENDENTE",BD!$D812="")),"VENCIDO",""))</f>
        <v/>
      </c>
      <c r="O812" s="82" t="str">
        <f ca="1">IF(N812 = "VENCIDO",BD!$B812,"")</f>
        <v/>
      </c>
      <c r="P812" s="82" t="str">
        <f ca="1">IF(N812 = "VENCIDO",BD!$C812,"")</f>
        <v/>
      </c>
      <c r="Q812" s="83" t="str">
        <f ca="1">IF(N812 = "VENCIDO",BD!$E812,"")</f>
        <v/>
      </c>
      <c r="R812" s="83" t="str">
        <f ca="1">IF(N812 = "VENCIDO",BD!$F812,"")</f>
        <v/>
      </c>
      <c r="S812" s="85" t="str">
        <f ca="1">IF(N812 = "VENCIDO",BD!$G812,"")</f>
        <v/>
      </c>
      <c r="T812" s="83" t="str">
        <f ca="1">IF(AND(TODAY()&gt;BD!$C812, OR(BD!$D812="PENDENTE", BD!$D812="")), TODAY()-BD!$C812, "")</f>
        <v/>
      </c>
    </row>
    <row r="813" spans="1:20" ht="14.25" customHeight="1" x14ac:dyDescent="0.35">
      <c r="A813" s="32"/>
      <c r="B813" s="82">
        <f>'NOV-26'!A74</f>
        <v>0</v>
      </c>
      <c r="C813" s="82">
        <f>'NOV-26'!B74</f>
        <v>0</v>
      </c>
      <c r="D813" s="82">
        <f>'NOV-26'!C74</f>
        <v>0</v>
      </c>
      <c r="E813" s="83">
        <f>'NOV-26'!D74</f>
        <v>0</v>
      </c>
      <c r="F813" s="84">
        <f>'NOV-26'!E74</f>
        <v>0</v>
      </c>
      <c r="G813" s="85">
        <f>'NOV-26'!F74</f>
        <v>0</v>
      </c>
      <c r="H813" s="85">
        <f t="shared" si="0"/>
        <v>0</v>
      </c>
      <c r="I813" s="83" t="s">
        <v>105</v>
      </c>
      <c r="J813" s="83" t="str">
        <f t="shared" si="1"/>
        <v/>
      </c>
      <c r="K813" s="85">
        <f t="shared" si="2"/>
        <v>0</v>
      </c>
      <c r="L813" s="83" t="str">
        <f t="shared" si="3"/>
        <v/>
      </c>
      <c r="M813" s="83">
        <f>'NOV-26'!H74</f>
        <v>0</v>
      </c>
      <c r="N813" s="92" t="str">
        <f ca="1">IF(BD!$C813="","",IF(AND(TODAY()&gt;BD!$C813,OR(BD!$D813="PENDENTE",BD!$D813="")),"VENCIDO",""))</f>
        <v/>
      </c>
      <c r="O813" s="82" t="str">
        <f ca="1">IF(N813 = "VENCIDO",BD!$B813,"")</f>
        <v/>
      </c>
      <c r="P813" s="82" t="str">
        <f ca="1">IF(N813 = "VENCIDO",BD!$C813,"")</f>
        <v/>
      </c>
      <c r="Q813" s="83" t="str">
        <f ca="1">IF(N813 = "VENCIDO",BD!$E813,"")</f>
        <v/>
      </c>
      <c r="R813" s="83" t="str">
        <f ca="1">IF(N813 = "VENCIDO",BD!$F813,"")</f>
        <v/>
      </c>
      <c r="S813" s="85" t="str">
        <f ca="1">IF(N813 = "VENCIDO",BD!$G813,"")</f>
        <v/>
      </c>
      <c r="T813" s="83" t="str">
        <f ca="1">IF(AND(TODAY()&gt;BD!$C813, OR(BD!$D813="PENDENTE", BD!$D813="")), TODAY()-BD!$C813, "")</f>
        <v/>
      </c>
    </row>
    <row r="814" spans="1:20" ht="14.25" customHeight="1" x14ac:dyDescent="0.35">
      <c r="A814" s="32"/>
      <c r="B814" s="82">
        <f>'NOV-26'!A75</f>
        <v>0</v>
      </c>
      <c r="C814" s="82">
        <f>'NOV-26'!B75</f>
        <v>0</v>
      </c>
      <c r="D814" s="82">
        <f>'NOV-26'!C75</f>
        <v>0</v>
      </c>
      <c r="E814" s="83">
        <f>'NOV-26'!D75</f>
        <v>0</v>
      </c>
      <c r="F814" s="84">
        <f>'NOV-26'!E75</f>
        <v>0</v>
      </c>
      <c r="G814" s="85">
        <f>'NOV-26'!F75</f>
        <v>0</v>
      </c>
      <c r="H814" s="85">
        <f t="shared" si="0"/>
        <v>0</v>
      </c>
      <c r="I814" s="83" t="s">
        <v>105</v>
      </c>
      <c r="J814" s="83" t="str">
        <f t="shared" si="1"/>
        <v/>
      </c>
      <c r="K814" s="85">
        <f t="shared" si="2"/>
        <v>0</v>
      </c>
      <c r="L814" s="83" t="str">
        <f t="shared" si="3"/>
        <v/>
      </c>
      <c r="M814" s="83">
        <f>'NOV-26'!H75</f>
        <v>0</v>
      </c>
      <c r="N814" s="92" t="str">
        <f ca="1">IF(BD!$C814="","",IF(AND(TODAY()&gt;BD!$C814,OR(BD!$D814="PENDENTE",BD!$D814="")),"VENCIDO",""))</f>
        <v/>
      </c>
      <c r="O814" s="82" t="str">
        <f ca="1">IF(N814 = "VENCIDO",BD!$B814,"")</f>
        <v/>
      </c>
      <c r="P814" s="82" t="str">
        <f ca="1">IF(N814 = "VENCIDO",BD!$C814,"")</f>
        <v/>
      </c>
      <c r="Q814" s="83" t="str">
        <f ca="1">IF(N814 = "VENCIDO",BD!$E814,"")</f>
        <v/>
      </c>
      <c r="R814" s="83" t="str">
        <f ca="1">IF(N814 = "VENCIDO",BD!$F814,"")</f>
        <v/>
      </c>
      <c r="S814" s="85" t="str">
        <f ca="1">IF(N814 = "VENCIDO",BD!$G814,"")</f>
        <v/>
      </c>
      <c r="T814" s="83" t="str">
        <f ca="1">IF(AND(TODAY()&gt;BD!$C814, OR(BD!$D814="PENDENTE", BD!$D814="")), TODAY()-BD!$C814, "")</f>
        <v/>
      </c>
    </row>
    <row r="815" spans="1:20" ht="14.25" customHeight="1" x14ac:dyDescent="0.35">
      <c r="A815" s="32"/>
      <c r="B815" s="82">
        <f>'NOV-26'!A76</f>
        <v>0</v>
      </c>
      <c r="C815" s="82">
        <f>'NOV-26'!B76</f>
        <v>0</v>
      </c>
      <c r="D815" s="82">
        <f>'NOV-26'!C76</f>
        <v>0</v>
      </c>
      <c r="E815" s="83">
        <f>'NOV-26'!D76</f>
        <v>0</v>
      </c>
      <c r="F815" s="84">
        <f>'NOV-26'!E76</f>
        <v>0</v>
      </c>
      <c r="G815" s="85">
        <f>'NOV-26'!F76</f>
        <v>0</v>
      </c>
      <c r="H815" s="85">
        <f t="shared" si="0"/>
        <v>0</v>
      </c>
      <c r="I815" s="83" t="s">
        <v>105</v>
      </c>
      <c r="J815" s="83" t="str">
        <f t="shared" si="1"/>
        <v/>
      </c>
      <c r="K815" s="85">
        <f t="shared" si="2"/>
        <v>0</v>
      </c>
      <c r="L815" s="83" t="str">
        <f t="shared" si="3"/>
        <v/>
      </c>
      <c r="M815" s="83">
        <f>'NOV-26'!H76</f>
        <v>0</v>
      </c>
      <c r="N815" s="92" t="str">
        <f ca="1">IF(BD!$C815="","",IF(AND(TODAY()&gt;BD!$C815,OR(BD!$D815="PENDENTE",BD!$D815="")),"VENCIDO",""))</f>
        <v/>
      </c>
      <c r="O815" s="82" t="str">
        <f ca="1">IF(N815 = "VENCIDO",BD!$B815,"")</f>
        <v/>
      </c>
      <c r="P815" s="82" t="str">
        <f ca="1">IF(N815 = "VENCIDO",BD!$C815,"")</f>
        <v/>
      </c>
      <c r="Q815" s="83" t="str">
        <f ca="1">IF(N815 = "VENCIDO",BD!$E815,"")</f>
        <v/>
      </c>
      <c r="R815" s="83" t="str">
        <f ca="1">IF(N815 = "VENCIDO",BD!$F815,"")</f>
        <v/>
      </c>
      <c r="S815" s="85" t="str">
        <f ca="1">IF(N815 = "VENCIDO",BD!$G815,"")</f>
        <v/>
      </c>
      <c r="T815" s="83" t="str">
        <f ca="1">IF(AND(TODAY()&gt;BD!$C815, OR(BD!$D815="PENDENTE", BD!$D815="")), TODAY()-BD!$C815, "")</f>
        <v/>
      </c>
    </row>
    <row r="816" spans="1:20" ht="14.25" customHeight="1" x14ac:dyDescent="0.35">
      <c r="A816" s="32"/>
      <c r="B816" s="82">
        <f>'DEZ-26'!A3</f>
        <v>0</v>
      </c>
      <c r="C816" s="82">
        <f>'DEZ-26'!B3</f>
        <v>0</v>
      </c>
      <c r="D816" s="82">
        <f>'DEZ-26'!C3</f>
        <v>0</v>
      </c>
      <c r="E816" s="83">
        <f>'DEZ-26'!D3</f>
        <v>0</v>
      </c>
      <c r="F816" s="84">
        <f>'DEZ-26'!E3</f>
        <v>0</v>
      </c>
      <c r="G816" s="85">
        <f>'DEZ-26'!F3</f>
        <v>0</v>
      </c>
      <c r="H816" s="85">
        <f t="shared" si="0"/>
        <v>0</v>
      </c>
      <c r="I816" s="83" t="s">
        <v>106</v>
      </c>
      <c r="J816" s="83" t="str">
        <f t="shared" si="1"/>
        <v/>
      </c>
      <c r="K816" s="85">
        <f t="shared" si="2"/>
        <v>0</v>
      </c>
      <c r="L816" s="83" t="str">
        <f t="shared" si="3"/>
        <v/>
      </c>
      <c r="M816" s="83">
        <f>'DEZ-26'!H3</f>
        <v>0</v>
      </c>
      <c r="N816" s="92" t="str">
        <f ca="1">IF(BD!$C816="","",IF(AND(TODAY()&gt;BD!$C816,OR(BD!$D816="PENDENTE",BD!$D816="")),"VENCIDO",""))</f>
        <v/>
      </c>
      <c r="O816" s="82" t="str">
        <f ca="1">IF(N816 = "VENCIDO",BD!$B816,"")</f>
        <v/>
      </c>
      <c r="P816" s="82" t="str">
        <f ca="1">IF(N816 = "VENCIDO",BD!$C816,"")</f>
        <v/>
      </c>
      <c r="Q816" s="83" t="str">
        <f ca="1">IF(N816 = "VENCIDO",BD!$E816,"")</f>
        <v/>
      </c>
      <c r="R816" s="83" t="str">
        <f ca="1">IF(N816 = "VENCIDO",BD!$F816,"")</f>
        <v/>
      </c>
      <c r="S816" s="85" t="str">
        <f ca="1">IF(N816 = "VENCIDO",BD!$G816,"")</f>
        <v/>
      </c>
      <c r="T816" s="83" t="str">
        <f ca="1">IF(AND(TODAY()&gt;BD!$C816, OR(BD!$D816="PENDENTE", BD!$D816="")), TODAY()-BD!$C816, "")</f>
        <v/>
      </c>
    </row>
    <row r="817" spans="1:20" ht="14.25" customHeight="1" x14ac:dyDescent="0.35">
      <c r="A817" s="32"/>
      <c r="B817" s="82">
        <f>'DEZ-26'!A4</f>
        <v>0</v>
      </c>
      <c r="C817" s="82">
        <f>'DEZ-26'!B4</f>
        <v>0</v>
      </c>
      <c r="D817" s="82">
        <f>'DEZ-26'!C4</f>
        <v>0</v>
      </c>
      <c r="E817" s="83">
        <f>'DEZ-26'!D4</f>
        <v>0</v>
      </c>
      <c r="F817" s="84">
        <f>'DEZ-26'!E4</f>
        <v>0</v>
      </c>
      <c r="G817" s="85">
        <f>'DEZ-26'!F4</f>
        <v>0</v>
      </c>
      <c r="H817" s="85">
        <f t="shared" si="0"/>
        <v>0</v>
      </c>
      <c r="I817" s="83" t="s">
        <v>106</v>
      </c>
      <c r="J817" s="83" t="str">
        <f t="shared" si="1"/>
        <v/>
      </c>
      <c r="K817" s="85">
        <f t="shared" si="2"/>
        <v>0</v>
      </c>
      <c r="L817" s="83" t="str">
        <f t="shared" si="3"/>
        <v/>
      </c>
      <c r="M817" s="83">
        <f>'DEZ-26'!H4</f>
        <v>0</v>
      </c>
      <c r="N817" s="92" t="str">
        <f ca="1">IF(BD!$C817="","",IF(AND(TODAY()&gt;BD!$C817,OR(BD!$D817="PENDENTE",BD!$D817="")),"VENCIDO",""))</f>
        <v/>
      </c>
      <c r="O817" s="82" t="str">
        <f ca="1">IF(N817 = "VENCIDO",BD!$B817,"")</f>
        <v/>
      </c>
      <c r="P817" s="82" t="str">
        <f ca="1">IF(N817 = "VENCIDO",BD!$C817,"")</f>
        <v/>
      </c>
      <c r="Q817" s="83" t="str">
        <f ca="1">IF(N817 = "VENCIDO",BD!$E817,"")</f>
        <v/>
      </c>
      <c r="R817" s="83" t="str">
        <f ca="1">IF(N817 = "VENCIDO",BD!$F817,"")</f>
        <v/>
      </c>
      <c r="S817" s="85" t="str">
        <f ca="1">IF(N817 = "VENCIDO",BD!$G817,"")</f>
        <v/>
      </c>
      <c r="T817" s="83" t="str">
        <f ca="1">IF(AND(TODAY()&gt;BD!$C817, OR(BD!$D817="PENDENTE", BD!$D817="")), TODAY()-BD!$C817, "")</f>
        <v/>
      </c>
    </row>
    <row r="818" spans="1:20" ht="14.25" customHeight="1" x14ac:dyDescent="0.35">
      <c r="A818" s="32"/>
      <c r="B818" s="82">
        <f>'DEZ-26'!A5</f>
        <v>0</v>
      </c>
      <c r="C818" s="82">
        <f>'DEZ-26'!B5</f>
        <v>0</v>
      </c>
      <c r="D818" s="82">
        <f>'DEZ-26'!C5</f>
        <v>0</v>
      </c>
      <c r="E818" s="83">
        <f>'DEZ-26'!D5</f>
        <v>0</v>
      </c>
      <c r="F818" s="84">
        <f>'DEZ-26'!E5</f>
        <v>0</v>
      </c>
      <c r="G818" s="85">
        <f>'DEZ-26'!F5</f>
        <v>0</v>
      </c>
      <c r="H818" s="85">
        <f t="shared" si="0"/>
        <v>0</v>
      </c>
      <c r="I818" s="83" t="s">
        <v>106</v>
      </c>
      <c r="J818" s="83" t="str">
        <f t="shared" si="1"/>
        <v/>
      </c>
      <c r="K818" s="85">
        <f t="shared" si="2"/>
        <v>0</v>
      </c>
      <c r="L818" s="83" t="str">
        <f t="shared" si="3"/>
        <v/>
      </c>
      <c r="M818" s="83">
        <f>'DEZ-26'!H5</f>
        <v>0</v>
      </c>
      <c r="N818" s="92" t="str">
        <f ca="1">IF(BD!$C818="","",IF(AND(TODAY()&gt;BD!$C818,OR(BD!$D818="PENDENTE",BD!$D818="")),"VENCIDO",""))</f>
        <v/>
      </c>
      <c r="O818" s="82" t="str">
        <f ca="1">IF(N818 = "VENCIDO",BD!$B818,"")</f>
        <v/>
      </c>
      <c r="P818" s="82" t="str">
        <f ca="1">IF(N818 = "VENCIDO",BD!$C818,"")</f>
        <v/>
      </c>
      <c r="Q818" s="83" t="str">
        <f ca="1">IF(N818 = "VENCIDO",BD!$E818,"")</f>
        <v/>
      </c>
      <c r="R818" s="83" t="str">
        <f ca="1">IF(N818 = "VENCIDO",BD!$F818,"")</f>
        <v/>
      </c>
      <c r="S818" s="85" t="str">
        <f ca="1">IF(N818 = "VENCIDO",BD!$G818,"")</f>
        <v/>
      </c>
      <c r="T818" s="83" t="str">
        <f ca="1">IF(AND(TODAY()&gt;BD!$C818, OR(BD!$D818="PENDENTE", BD!$D818="")), TODAY()-BD!$C818, "")</f>
        <v/>
      </c>
    </row>
    <row r="819" spans="1:20" ht="14.25" customHeight="1" x14ac:dyDescent="0.35">
      <c r="A819" s="32"/>
      <c r="B819" s="82">
        <f>'DEZ-26'!A6</f>
        <v>0</v>
      </c>
      <c r="C819" s="82">
        <f>'DEZ-26'!B6</f>
        <v>0</v>
      </c>
      <c r="D819" s="82">
        <f>'DEZ-26'!C6</f>
        <v>0</v>
      </c>
      <c r="E819" s="83">
        <f>'DEZ-26'!D6</f>
        <v>0</v>
      </c>
      <c r="F819" s="84">
        <f>'DEZ-26'!E6</f>
        <v>0</v>
      </c>
      <c r="G819" s="85">
        <f>'DEZ-26'!F6</f>
        <v>0</v>
      </c>
      <c r="H819" s="85">
        <f t="shared" si="0"/>
        <v>0</v>
      </c>
      <c r="I819" s="83" t="s">
        <v>106</v>
      </c>
      <c r="J819" s="83" t="str">
        <f t="shared" si="1"/>
        <v/>
      </c>
      <c r="K819" s="85">
        <f t="shared" si="2"/>
        <v>0</v>
      </c>
      <c r="L819" s="83" t="str">
        <f t="shared" si="3"/>
        <v/>
      </c>
      <c r="M819" s="83">
        <f>'DEZ-26'!H6</f>
        <v>0</v>
      </c>
      <c r="N819" s="92" t="str">
        <f ca="1">IF(BD!$C819="","",IF(AND(TODAY()&gt;BD!$C819,OR(BD!$D819="PENDENTE",BD!$D819="")),"VENCIDO",""))</f>
        <v/>
      </c>
      <c r="O819" s="82" t="str">
        <f ca="1">IF(N819 = "VENCIDO",BD!$B819,"")</f>
        <v/>
      </c>
      <c r="P819" s="82" t="str">
        <f ca="1">IF(N819 = "VENCIDO",BD!$C819,"")</f>
        <v/>
      </c>
      <c r="Q819" s="83" t="str">
        <f ca="1">IF(N819 = "VENCIDO",BD!$E819,"")</f>
        <v/>
      </c>
      <c r="R819" s="83" t="str">
        <f ca="1">IF(N819 = "VENCIDO",BD!$F819,"")</f>
        <v/>
      </c>
      <c r="S819" s="85" t="str">
        <f ca="1">IF(N819 = "VENCIDO",BD!$G819,"")</f>
        <v/>
      </c>
      <c r="T819" s="83" t="str">
        <f ca="1">IF(AND(TODAY()&gt;BD!$C819, OR(BD!$D819="PENDENTE", BD!$D819="")), TODAY()-BD!$C819, "")</f>
        <v/>
      </c>
    </row>
    <row r="820" spans="1:20" ht="14.25" customHeight="1" x14ac:dyDescent="0.35">
      <c r="A820" s="32"/>
      <c r="B820" s="82">
        <f>'DEZ-26'!A7</f>
        <v>0</v>
      </c>
      <c r="C820" s="82">
        <f>'DEZ-26'!B7</f>
        <v>0</v>
      </c>
      <c r="D820" s="82">
        <f>'DEZ-26'!C7</f>
        <v>0</v>
      </c>
      <c r="E820" s="83">
        <f>'DEZ-26'!D7</f>
        <v>0</v>
      </c>
      <c r="F820" s="84">
        <f>'DEZ-26'!E7</f>
        <v>0</v>
      </c>
      <c r="G820" s="85">
        <f>'DEZ-26'!F7</f>
        <v>0</v>
      </c>
      <c r="H820" s="85">
        <f t="shared" si="0"/>
        <v>0</v>
      </c>
      <c r="I820" s="83" t="s">
        <v>106</v>
      </c>
      <c r="J820" s="83" t="str">
        <f t="shared" si="1"/>
        <v/>
      </c>
      <c r="K820" s="85">
        <f t="shared" si="2"/>
        <v>0</v>
      </c>
      <c r="L820" s="83" t="str">
        <f t="shared" si="3"/>
        <v/>
      </c>
      <c r="M820" s="83">
        <f>'DEZ-26'!H7</f>
        <v>0</v>
      </c>
      <c r="N820" s="92" t="str">
        <f ca="1">IF(BD!$C820="","",IF(AND(TODAY()&gt;BD!$C820,OR(BD!$D820="PENDENTE",BD!$D820="")),"VENCIDO",""))</f>
        <v/>
      </c>
      <c r="O820" s="82" t="str">
        <f ca="1">IF(N820 = "VENCIDO",BD!$B820,"")</f>
        <v/>
      </c>
      <c r="P820" s="82" t="str">
        <f ca="1">IF(N820 = "VENCIDO",BD!$C820,"")</f>
        <v/>
      </c>
      <c r="Q820" s="83" t="str">
        <f ca="1">IF(N820 = "VENCIDO",BD!$E820,"")</f>
        <v/>
      </c>
      <c r="R820" s="83" t="str">
        <f ca="1">IF(N820 = "VENCIDO",BD!$F820,"")</f>
        <v/>
      </c>
      <c r="S820" s="85" t="str">
        <f ca="1">IF(N820 = "VENCIDO",BD!$G820,"")</f>
        <v/>
      </c>
      <c r="T820" s="83" t="str">
        <f ca="1">IF(AND(TODAY()&gt;BD!$C820, OR(BD!$D820="PENDENTE", BD!$D820="")), TODAY()-BD!$C820, "")</f>
        <v/>
      </c>
    </row>
    <row r="821" spans="1:20" ht="14.25" customHeight="1" x14ac:dyDescent="0.35">
      <c r="A821" s="32"/>
      <c r="B821" s="82">
        <f>'DEZ-26'!A8</f>
        <v>0</v>
      </c>
      <c r="C821" s="82">
        <f>'DEZ-26'!B8</f>
        <v>0</v>
      </c>
      <c r="D821" s="82">
        <f>'DEZ-26'!C8</f>
        <v>0</v>
      </c>
      <c r="E821" s="83">
        <f>'DEZ-26'!D8</f>
        <v>0</v>
      </c>
      <c r="F821" s="84">
        <f>'DEZ-26'!E8</f>
        <v>0</v>
      </c>
      <c r="G821" s="85">
        <f>'DEZ-26'!F8</f>
        <v>0</v>
      </c>
      <c r="H821" s="85">
        <f t="shared" si="0"/>
        <v>0</v>
      </c>
      <c r="I821" s="83" t="s">
        <v>106</v>
      </c>
      <c r="J821" s="83" t="str">
        <f t="shared" si="1"/>
        <v/>
      </c>
      <c r="K821" s="85">
        <f t="shared" si="2"/>
        <v>0</v>
      </c>
      <c r="L821" s="83" t="str">
        <f t="shared" si="3"/>
        <v/>
      </c>
      <c r="M821" s="83">
        <f>'DEZ-26'!H8</f>
        <v>0</v>
      </c>
      <c r="N821" s="92" t="str">
        <f ca="1">IF(BD!$C821="","",IF(AND(TODAY()&gt;BD!$C821,OR(BD!$D821="PENDENTE",BD!$D821="")),"VENCIDO",""))</f>
        <v/>
      </c>
      <c r="O821" s="82" t="str">
        <f ca="1">IF(N821 = "VENCIDO",BD!$B821,"")</f>
        <v/>
      </c>
      <c r="P821" s="82" t="str">
        <f ca="1">IF(N821 = "VENCIDO",BD!$C821,"")</f>
        <v/>
      </c>
      <c r="Q821" s="83" t="str">
        <f ca="1">IF(N821 = "VENCIDO",BD!$E821,"")</f>
        <v/>
      </c>
      <c r="R821" s="83" t="str">
        <f ca="1">IF(N821 = "VENCIDO",BD!$F821,"")</f>
        <v/>
      </c>
      <c r="S821" s="85" t="str">
        <f ca="1">IF(N821 = "VENCIDO",BD!$G821,"")</f>
        <v/>
      </c>
      <c r="T821" s="83" t="str">
        <f ca="1">IF(AND(TODAY()&gt;BD!$C821, OR(BD!$D821="PENDENTE", BD!$D821="")), TODAY()-BD!$C821, "")</f>
        <v/>
      </c>
    </row>
    <row r="822" spans="1:20" ht="14.25" customHeight="1" x14ac:dyDescent="0.35">
      <c r="A822" s="32"/>
      <c r="B822" s="82">
        <f>'DEZ-26'!A9</f>
        <v>0</v>
      </c>
      <c r="C822" s="82">
        <f>'DEZ-26'!B9</f>
        <v>0</v>
      </c>
      <c r="D822" s="82">
        <f>'DEZ-26'!C9</f>
        <v>0</v>
      </c>
      <c r="E822" s="83">
        <f>'DEZ-26'!D9</f>
        <v>0</v>
      </c>
      <c r="F822" s="84">
        <f>'DEZ-26'!E9</f>
        <v>0</v>
      </c>
      <c r="G822" s="85">
        <f>'DEZ-26'!F9</f>
        <v>0</v>
      </c>
      <c r="H822" s="85">
        <f t="shared" si="0"/>
        <v>0</v>
      </c>
      <c r="I822" s="83" t="s">
        <v>106</v>
      </c>
      <c r="J822" s="83" t="str">
        <f t="shared" si="1"/>
        <v/>
      </c>
      <c r="K822" s="85">
        <f t="shared" si="2"/>
        <v>0</v>
      </c>
      <c r="L822" s="83" t="str">
        <f t="shared" si="3"/>
        <v/>
      </c>
      <c r="M822" s="83">
        <f>'DEZ-26'!H9</f>
        <v>0</v>
      </c>
      <c r="N822" s="92" t="str">
        <f ca="1">IF(BD!$C822="","",IF(AND(TODAY()&gt;BD!$C822,OR(BD!$D822="PENDENTE",BD!$D822="")),"VENCIDO",""))</f>
        <v/>
      </c>
      <c r="O822" s="82" t="str">
        <f ca="1">IF(N822 = "VENCIDO",BD!$B822,"")</f>
        <v/>
      </c>
      <c r="P822" s="82" t="str">
        <f ca="1">IF(N822 = "VENCIDO",BD!$C822,"")</f>
        <v/>
      </c>
      <c r="Q822" s="83" t="str">
        <f ca="1">IF(N822 = "VENCIDO",BD!$E822,"")</f>
        <v/>
      </c>
      <c r="R822" s="83" t="str">
        <f ca="1">IF(N822 = "VENCIDO",BD!$F822,"")</f>
        <v/>
      </c>
      <c r="S822" s="85" t="str">
        <f ca="1">IF(N822 = "VENCIDO",BD!$G822,"")</f>
        <v/>
      </c>
      <c r="T822" s="83" t="str">
        <f ca="1">IF(AND(TODAY()&gt;BD!$C822, OR(BD!$D822="PENDENTE", BD!$D822="")), TODAY()-BD!$C822, "")</f>
        <v/>
      </c>
    </row>
    <row r="823" spans="1:20" ht="14.25" customHeight="1" x14ac:dyDescent="0.35">
      <c r="A823" s="32"/>
      <c r="B823" s="82">
        <f>'DEZ-26'!A10</f>
        <v>0</v>
      </c>
      <c r="C823" s="82">
        <f>'DEZ-26'!B10</f>
        <v>0</v>
      </c>
      <c r="D823" s="82">
        <f>'DEZ-26'!C10</f>
        <v>0</v>
      </c>
      <c r="E823" s="83">
        <f>'DEZ-26'!D10</f>
        <v>0</v>
      </c>
      <c r="F823" s="84">
        <f>'DEZ-26'!E10</f>
        <v>0</v>
      </c>
      <c r="G823" s="85">
        <f>'DEZ-26'!F10</f>
        <v>0</v>
      </c>
      <c r="H823" s="85">
        <f t="shared" si="0"/>
        <v>0</v>
      </c>
      <c r="I823" s="83" t="s">
        <v>106</v>
      </c>
      <c r="J823" s="83" t="str">
        <f t="shared" si="1"/>
        <v/>
      </c>
      <c r="K823" s="85">
        <f t="shared" si="2"/>
        <v>0</v>
      </c>
      <c r="L823" s="83" t="str">
        <f t="shared" si="3"/>
        <v/>
      </c>
      <c r="M823" s="83">
        <f>'DEZ-26'!H10</f>
        <v>0</v>
      </c>
      <c r="N823" s="92" t="str">
        <f ca="1">IF(BD!$C823="","",IF(AND(TODAY()&gt;BD!$C823,OR(BD!$D823="PENDENTE",BD!$D823="")),"VENCIDO",""))</f>
        <v/>
      </c>
      <c r="O823" s="82" t="str">
        <f ca="1">IF(N823 = "VENCIDO",BD!$B823,"")</f>
        <v/>
      </c>
      <c r="P823" s="82" t="str">
        <f ca="1">IF(N823 = "VENCIDO",BD!$C823,"")</f>
        <v/>
      </c>
      <c r="Q823" s="83" t="str">
        <f ca="1">IF(N823 = "VENCIDO",BD!$E823,"")</f>
        <v/>
      </c>
      <c r="R823" s="83" t="str">
        <f ca="1">IF(N823 = "VENCIDO",BD!$F823,"")</f>
        <v/>
      </c>
      <c r="S823" s="85" t="str">
        <f ca="1">IF(N823 = "VENCIDO",BD!$G823,"")</f>
        <v/>
      </c>
      <c r="T823" s="83" t="str">
        <f ca="1">IF(AND(TODAY()&gt;BD!$C823, OR(BD!$D823="PENDENTE", BD!$D823="")), TODAY()-BD!$C823, "")</f>
        <v/>
      </c>
    </row>
    <row r="824" spans="1:20" ht="14.25" customHeight="1" x14ac:dyDescent="0.35">
      <c r="A824" s="32"/>
      <c r="B824" s="82">
        <f>'DEZ-26'!A11</f>
        <v>0</v>
      </c>
      <c r="C824" s="82">
        <f>'DEZ-26'!B11</f>
        <v>0</v>
      </c>
      <c r="D824" s="82">
        <f>'DEZ-26'!C11</f>
        <v>0</v>
      </c>
      <c r="E824" s="83">
        <f>'DEZ-26'!D11</f>
        <v>0</v>
      </c>
      <c r="F824" s="84">
        <f>'DEZ-26'!E11</f>
        <v>0</v>
      </c>
      <c r="G824" s="85">
        <f>'DEZ-26'!F11</f>
        <v>0</v>
      </c>
      <c r="H824" s="85">
        <f t="shared" si="0"/>
        <v>0</v>
      </c>
      <c r="I824" s="83" t="s">
        <v>106</v>
      </c>
      <c r="J824" s="83" t="str">
        <f t="shared" si="1"/>
        <v/>
      </c>
      <c r="K824" s="85">
        <f t="shared" si="2"/>
        <v>0</v>
      </c>
      <c r="L824" s="83" t="str">
        <f t="shared" si="3"/>
        <v/>
      </c>
      <c r="M824" s="83">
        <f>'DEZ-26'!H11</f>
        <v>0</v>
      </c>
      <c r="N824" s="92" t="str">
        <f ca="1">IF(BD!$C824="","",IF(AND(TODAY()&gt;BD!$C824,OR(BD!$D824="PENDENTE",BD!$D824="")),"VENCIDO",""))</f>
        <v/>
      </c>
      <c r="O824" s="82" t="str">
        <f ca="1">IF(N824 = "VENCIDO",BD!$B824,"")</f>
        <v/>
      </c>
      <c r="P824" s="82" t="str">
        <f ca="1">IF(N824 = "VENCIDO",BD!$C824,"")</f>
        <v/>
      </c>
      <c r="Q824" s="83" t="str">
        <f ca="1">IF(N824 = "VENCIDO",BD!$E824,"")</f>
        <v/>
      </c>
      <c r="R824" s="83" t="str">
        <f ca="1">IF(N824 = "VENCIDO",BD!$F824,"")</f>
        <v/>
      </c>
      <c r="S824" s="85" t="str">
        <f ca="1">IF(N824 = "VENCIDO",BD!$G824,"")</f>
        <v/>
      </c>
      <c r="T824" s="83" t="str">
        <f ca="1">IF(AND(TODAY()&gt;BD!$C824, OR(BD!$D824="PENDENTE", BD!$D824="")), TODAY()-BD!$C824, "")</f>
        <v/>
      </c>
    </row>
    <row r="825" spans="1:20" ht="14.25" customHeight="1" x14ac:dyDescent="0.35">
      <c r="A825" s="32"/>
      <c r="B825" s="82">
        <f>'DEZ-26'!A12</f>
        <v>0</v>
      </c>
      <c r="C825" s="82">
        <f>'DEZ-26'!B12</f>
        <v>0</v>
      </c>
      <c r="D825" s="82">
        <f>'DEZ-26'!C12</f>
        <v>0</v>
      </c>
      <c r="E825" s="83">
        <f>'DEZ-26'!D12</f>
        <v>0</v>
      </c>
      <c r="F825" s="84">
        <f>'DEZ-26'!E12</f>
        <v>0</v>
      </c>
      <c r="G825" s="85">
        <f>'DEZ-26'!F12</f>
        <v>0</v>
      </c>
      <c r="H825" s="85">
        <f t="shared" si="0"/>
        <v>0</v>
      </c>
      <c r="I825" s="83" t="s">
        <v>106</v>
      </c>
      <c r="J825" s="83" t="str">
        <f t="shared" si="1"/>
        <v/>
      </c>
      <c r="K825" s="85">
        <f t="shared" si="2"/>
        <v>0</v>
      </c>
      <c r="L825" s="83" t="str">
        <f t="shared" si="3"/>
        <v/>
      </c>
      <c r="M825" s="83">
        <f>'DEZ-26'!H12</f>
        <v>0</v>
      </c>
      <c r="N825" s="92" t="str">
        <f ca="1">IF(BD!$C825="","",IF(AND(TODAY()&gt;BD!$C825,OR(BD!$D825="PENDENTE",BD!$D825="")),"VENCIDO",""))</f>
        <v/>
      </c>
      <c r="O825" s="82" t="str">
        <f ca="1">IF(N825 = "VENCIDO",BD!$B825,"")</f>
        <v/>
      </c>
      <c r="P825" s="82" t="str">
        <f ca="1">IF(N825 = "VENCIDO",BD!$C825,"")</f>
        <v/>
      </c>
      <c r="Q825" s="83" t="str">
        <f ca="1">IF(N825 = "VENCIDO",BD!$E825,"")</f>
        <v/>
      </c>
      <c r="R825" s="83" t="str">
        <f ca="1">IF(N825 = "VENCIDO",BD!$F825,"")</f>
        <v/>
      </c>
      <c r="S825" s="85" t="str">
        <f ca="1">IF(N825 = "VENCIDO",BD!$G825,"")</f>
        <v/>
      </c>
      <c r="T825" s="83" t="str">
        <f ca="1">IF(AND(TODAY()&gt;BD!$C825, OR(BD!$D825="PENDENTE", BD!$D825="")), TODAY()-BD!$C825, "")</f>
        <v/>
      </c>
    </row>
    <row r="826" spans="1:20" ht="14.25" customHeight="1" x14ac:dyDescent="0.35">
      <c r="A826" s="32"/>
      <c r="B826" s="82">
        <f>'DEZ-26'!A13</f>
        <v>0</v>
      </c>
      <c r="C826" s="82">
        <f>'DEZ-26'!B13</f>
        <v>0</v>
      </c>
      <c r="D826" s="82">
        <f>'DEZ-26'!C13</f>
        <v>0</v>
      </c>
      <c r="E826" s="83">
        <f>'DEZ-26'!D13</f>
        <v>0</v>
      </c>
      <c r="F826" s="84">
        <f>'DEZ-26'!E13</f>
        <v>0</v>
      </c>
      <c r="G826" s="85">
        <f>'DEZ-26'!F13</f>
        <v>0</v>
      </c>
      <c r="H826" s="85">
        <f t="shared" si="0"/>
        <v>0</v>
      </c>
      <c r="I826" s="83" t="s">
        <v>106</v>
      </c>
      <c r="J826" s="83" t="str">
        <f t="shared" si="1"/>
        <v/>
      </c>
      <c r="K826" s="85">
        <f t="shared" si="2"/>
        <v>0</v>
      </c>
      <c r="L826" s="83" t="str">
        <f t="shared" si="3"/>
        <v/>
      </c>
      <c r="M826" s="83">
        <f>'DEZ-26'!H13</f>
        <v>0</v>
      </c>
      <c r="N826" s="92" t="str">
        <f ca="1">IF(BD!$C826="","",IF(AND(TODAY()&gt;BD!$C826,OR(BD!$D826="PENDENTE",BD!$D826="")),"VENCIDO",""))</f>
        <v/>
      </c>
      <c r="O826" s="82" t="str">
        <f ca="1">IF(N826 = "VENCIDO",BD!$B826,"")</f>
        <v/>
      </c>
      <c r="P826" s="82" t="str">
        <f ca="1">IF(N826 = "VENCIDO",BD!$C826,"")</f>
        <v/>
      </c>
      <c r="Q826" s="83" t="str">
        <f ca="1">IF(N826 = "VENCIDO",BD!$E826,"")</f>
        <v/>
      </c>
      <c r="R826" s="83" t="str">
        <f ca="1">IF(N826 = "VENCIDO",BD!$F826,"")</f>
        <v/>
      </c>
      <c r="S826" s="85" t="str">
        <f ca="1">IF(N826 = "VENCIDO",BD!$G826,"")</f>
        <v/>
      </c>
      <c r="T826" s="83" t="str">
        <f ca="1">IF(AND(TODAY()&gt;BD!$C826, OR(BD!$D826="PENDENTE", BD!$D826="")), TODAY()-BD!$C826, "")</f>
        <v/>
      </c>
    </row>
    <row r="827" spans="1:20" ht="14.25" customHeight="1" x14ac:dyDescent="0.35">
      <c r="A827" s="32"/>
      <c r="B827" s="82">
        <f>'DEZ-26'!A14</f>
        <v>0</v>
      </c>
      <c r="C827" s="82">
        <f>'DEZ-26'!B14</f>
        <v>0</v>
      </c>
      <c r="D827" s="82">
        <f>'DEZ-26'!C14</f>
        <v>0</v>
      </c>
      <c r="E827" s="83">
        <f>'DEZ-26'!D14</f>
        <v>0</v>
      </c>
      <c r="F827" s="84">
        <f>'DEZ-26'!E14</f>
        <v>0</v>
      </c>
      <c r="G827" s="85">
        <f>'DEZ-26'!F14</f>
        <v>0</v>
      </c>
      <c r="H827" s="85">
        <f t="shared" si="0"/>
        <v>0</v>
      </c>
      <c r="I827" s="83" t="s">
        <v>106</v>
      </c>
      <c r="J827" s="83" t="str">
        <f t="shared" si="1"/>
        <v/>
      </c>
      <c r="K827" s="85">
        <f t="shared" si="2"/>
        <v>0</v>
      </c>
      <c r="L827" s="83" t="str">
        <f t="shared" si="3"/>
        <v/>
      </c>
      <c r="M827" s="83">
        <f>'DEZ-26'!H14</f>
        <v>0</v>
      </c>
      <c r="N827" s="92" t="str">
        <f ca="1">IF(BD!$C827="","",IF(AND(TODAY()&gt;BD!$C827,OR(BD!$D827="PENDENTE",BD!$D827="")),"VENCIDO",""))</f>
        <v/>
      </c>
      <c r="O827" s="82" t="str">
        <f ca="1">IF(N827 = "VENCIDO",BD!$B827,"")</f>
        <v/>
      </c>
      <c r="P827" s="82" t="str">
        <f ca="1">IF(N827 = "VENCIDO",BD!$C827,"")</f>
        <v/>
      </c>
      <c r="Q827" s="83" t="str">
        <f ca="1">IF(N827 = "VENCIDO",BD!$E827,"")</f>
        <v/>
      </c>
      <c r="R827" s="83" t="str">
        <f ca="1">IF(N827 = "VENCIDO",BD!$F827,"")</f>
        <v/>
      </c>
      <c r="S827" s="85" t="str">
        <f ca="1">IF(N827 = "VENCIDO",BD!$G827,"")</f>
        <v/>
      </c>
      <c r="T827" s="83" t="str">
        <f ca="1">IF(AND(TODAY()&gt;BD!$C827, OR(BD!$D827="PENDENTE", BD!$D827="")), TODAY()-BD!$C827, "")</f>
        <v/>
      </c>
    </row>
    <row r="828" spans="1:20" ht="14.25" customHeight="1" x14ac:dyDescent="0.35">
      <c r="A828" s="32"/>
      <c r="B828" s="82">
        <f>'DEZ-26'!A15</f>
        <v>0</v>
      </c>
      <c r="C828" s="82">
        <f>'DEZ-26'!B15</f>
        <v>0</v>
      </c>
      <c r="D828" s="82">
        <f>'DEZ-26'!C15</f>
        <v>0</v>
      </c>
      <c r="E828" s="83">
        <f>'DEZ-26'!D15</f>
        <v>0</v>
      </c>
      <c r="F828" s="84">
        <f>'DEZ-26'!E15</f>
        <v>0</v>
      </c>
      <c r="G828" s="85">
        <f>'DEZ-26'!F15</f>
        <v>0</v>
      </c>
      <c r="H828" s="85">
        <f t="shared" si="0"/>
        <v>0</v>
      </c>
      <c r="I828" s="83" t="s">
        <v>106</v>
      </c>
      <c r="J828" s="83" t="str">
        <f t="shared" si="1"/>
        <v/>
      </c>
      <c r="K828" s="85">
        <f t="shared" si="2"/>
        <v>0</v>
      </c>
      <c r="L828" s="83" t="str">
        <f t="shared" si="3"/>
        <v/>
      </c>
      <c r="M828" s="83">
        <f>'DEZ-26'!H15</f>
        <v>0</v>
      </c>
      <c r="N828" s="92" t="str">
        <f ca="1">IF(BD!$C828="","",IF(AND(TODAY()&gt;BD!$C828,OR(BD!$D828="PENDENTE",BD!$D828="")),"VENCIDO",""))</f>
        <v/>
      </c>
      <c r="O828" s="82" t="str">
        <f ca="1">IF(N828 = "VENCIDO",BD!$B828,"")</f>
        <v/>
      </c>
      <c r="P828" s="82" t="str">
        <f ca="1">IF(N828 = "VENCIDO",BD!$C828,"")</f>
        <v/>
      </c>
      <c r="Q828" s="83" t="str">
        <f ca="1">IF(N828 = "VENCIDO",BD!$E828,"")</f>
        <v/>
      </c>
      <c r="R828" s="83" t="str">
        <f ca="1">IF(N828 = "VENCIDO",BD!$F828,"")</f>
        <v/>
      </c>
      <c r="S828" s="85" t="str">
        <f ca="1">IF(N828 = "VENCIDO",BD!$G828,"")</f>
        <v/>
      </c>
      <c r="T828" s="83" t="str">
        <f ca="1">IF(AND(TODAY()&gt;BD!$C828, OR(BD!$D828="PENDENTE", BD!$D828="")), TODAY()-BD!$C828, "")</f>
        <v/>
      </c>
    </row>
    <row r="829" spans="1:20" ht="14.25" customHeight="1" x14ac:dyDescent="0.35">
      <c r="A829" s="32"/>
      <c r="B829" s="82">
        <f>'DEZ-26'!A16</f>
        <v>0</v>
      </c>
      <c r="C829" s="82">
        <f>'DEZ-26'!B16</f>
        <v>0</v>
      </c>
      <c r="D829" s="82">
        <f>'DEZ-26'!C16</f>
        <v>0</v>
      </c>
      <c r="E829" s="83">
        <f>'DEZ-26'!D16</f>
        <v>0</v>
      </c>
      <c r="F829" s="84">
        <f>'DEZ-26'!E16</f>
        <v>0</v>
      </c>
      <c r="G829" s="85">
        <f>'DEZ-26'!F16</f>
        <v>0</v>
      </c>
      <c r="H829" s="85">
        <f t="shared" si="0"/>
        <v>0</v>
      </c>
      <c r="I829" s="83" t="s">
        <v>106</v>
      </c>
      <c r="J829" s="83" t="str">
        <f t="shared" si="1"/>
        <v/>
      </c>
      <c r="K829" s="85">
        <f t="shared" si="2"/>
        <v>0</v>
      </c>
      <c r="L829" s="83" t="str">
        <f t="shared" si="3"/>
        <v/>
      </c>
      <c r="M829" s="83">
        <f>'DEZ-26'!H16</f>
        <v>0</v>
      </c>
      <c r="N829" s="92" t="str">
        <f ca="1">IF(BD!$C829="","",IF(AND(TODAY()&gt;BD!$C829,OR(BD!$D829="PENDENTE",BD!$D829="")),"VENCIDO",""))</f>
        <v/>
      </c>
      <c r="O829" s="82" t="str">
        <f ca="1">IF(N829 = "VENCIDO",BD!$B829,"")</f>
        <v/>
      </c>
      <c r="P829" s="82" t="str">
        <f ca="1">IF(N829 = "VENCIDO",BD!$C829,"")</f>
        <v/>
      </c>
      <c r="Q829" s="83" t="str">
        <f ca="1">IF(N829 = "VENCIDO",BD!$E829,"")</f>
        <v/>
      </c>
      <c r="R829" s="83" t="str">
        <f ca="1">IF(N829 = "VENCIDO",BD!$F829,"")</f>
        <v/>
      </c>
      <c r="S829" s="85" t="str">
        <f ca="1">IF(N829 = "VENCIDO",BD!$G829,"")</f>
        <v/>
      </c>
      <c r="T829" s="83" t="str">
        <f ca="1">IF(AND(TODAY()&gt;BD!$C829, OR(BD!$D829="PENDENTE", BD!$D829="")), TODAY()-BD!$C829, "")</f>
        <v/>
      </c>
    </row>
    <row r="830" spans="1:20" ht="14.25" customHeight="1" x14ac:dyDescent="0.35">
      <c r="A830" s="32"/>
      <c r="B830" s="82">
        <f>'DEZ-26'!A17</f>
        <v>0</v>
      </c>
      <c r="C830" s="82">
        <f>'DEZ-26'!B17</f>
        <v>0</v>
      </c>
      <c r="D830" s="82">
        <f>'DEZ-26'!C17</f>
        <v>0</v>
      </c>
      <c r="E830" s="83">
        <f>'DEZ-26'!D17</f>
        <v>0</v>
      </c>
      <c r="F830" s="84">
        <f>'DEZ-26'!E17</f>
        <v>0</v>
      </c>
      <c r="G830" s="85">
        <f>'DEZ-26'!F17</f>
        <v>0</v>
      </c>
      <c r="H830" s="85">
        <f t="shared" si="0"/>
        <v>0</v>
      </c>
      <c r="I830" s="83" t="s">
        <v>106</v>
      </c>
      <c r="J830" s="83" t="str">
        <f t="shared" si="1"/>
        <v/>
      </c>
      <c r="K830" s="85">
        <f t="shared" si="2"/>
        <v>0</v>
      </c>
      <c r="L830" s="83" t="str">
        <f t="shared" si="3"/>
        <v/>
      </c>
      <c r="M830" s="83">
        <f>'DEZ-26'!H17</f>
        <v>0</v>
      </c>
      <c r="N830" s="92" t="str">
        <f ca="1">IF(BD!$C830="","",IF(AND(TODAY()&gt;BD!$C830,OR(BD!$D830="PENDENTE",BD!$D830="")),"VENCIDO",""))</f>
        <v/>
      </c>
      <c r="O830" s="82" t="str">
        <f ca="1">IF(N830 = "VENCIDO",BD!$B830,"")</f>
        <v/>
      </c>
      <c r="P830" s="82" t="str">
        <f ca="1">IF(N830 = "VENCIDO",BD!$C830,"")</f>
        <v/>
      </c>
      <c r="Q830" s="83" t="str">
        <f ca="1">IF(N830 = "VENCIDO",BD!$E830,"")</f>
        <v/>
      </c>
      <c r="R830" s="83" t="str">
        <f ca="1">IF(N830 = "VENCIDO",BD!$F830,"")</f>
        <v/>
      </c>
      <c r="S830" s="85" t="str">
        <f ca="1">IF(N830 = "VENCIDO",BD!$G830,"")</f>
        <v/>
      </c>
      <c r="T830" s="83" t="str">
        <f ca="1">IF(AND(TODAY()&gt;BD!$C830, OR(BD!$D830="PENDENTE", BD!$D830="")), TODAY()-BD!$C830, "")</f>
        <v/>
      </c>
    </row>
    <row r="831" spans="1:20" ht="14.25" customHeight="1" x14ac:dyDescent="0.35">
      <c r="A831" s="32"/>
      <c r="B831" s="82">
        <f>'DEZ-26'!A18</f>
        <v>0</v>
      </c>
      <c r="C831" s="82">
        <f>'DEZ-26'!B18</f>
        <v>0</v>
      </c>
      <c r="D831" s="82">
        <f>'DEZ-26'!C18</f>
        <v>0</v>
      </c>
      <c r="E831" s="83">
        <f>'DEZ-26'!D18</f>
        <v>0</v>
      </c>
      <c r="F831" s="84">
        <f>'DEZ-26'!E18</f>
        <v>0</v>
      </c>
      <c r="G831" s="85">
        <f>'DEZ-26'!F18</f>
        <v>0</v>
      </c>
      <c r="H831" s="85">
        <f t="shared" si="0"/>
        <v>0</v>
      </c>
      <c r="I831" s="83" t="s">
        <v>106</v>
      </c>
      <c r="J831" s="83" t="str">
        <f t="shared" si="1"/>
        <v/>
      </c>
      <c r="K831" s="85">
        <f t="shared" si="2"/>
        <v>0</v>
      </c>
      <c r="L831" s="83" t="str">
        <f t="shared" si="3"/>
        <v/>
      </c>
      <c r="M831" s="83">
        <f>'DEZ-26'!H18</f>
        <v>0</v>
      </c>
      <c r="N831" s="92" t="str">
        <f ca="1">IF(BD!$C831="","",IF(AND(TODAY()&gt;BD!$C831,OR(BD!$D831="PENDENTE",BD!$D831="")),"VENCIDO",""))</f>
        <v/>
      </c>
      <c r="O831" s="82" t="str">
        <f ca="1">IF(N831 = "VENCIDO",BD!$B831,"")</f>
        <v/>
      </c>
      <c r="P831" s="82" t="str">
        <f ca="1">IF(N831 = "VENCIDO",BD!$C831,"")</f>
        <v/>
      </c>
      <c r="Q831" s="83" t="str">
        <f ca="1">IF(N831 = "VENCIDO",BD!$E831,"")</f>
        <v/>
      </c>
      <c r="R831" s="83" t="str">
        <f ca="1">IF(N831 = "VENCIDO",BD!$F831,"")</f>
        <v/>
      </c>
      <c r="S831" s="85" t="str">
        <f ca="1">IF(N831 = "VENCIDO",BD!$G831,"")</f>
        <v/>
      </c>
      <c r="T831" s="83" t="str">
        <f ca="1">IF(AND(TODAY()&gt;BD!$C831, OR(BD!$D831="PENDENTE", BD!$D831="")), TODAY()-BD!$C831, "")</f>
        <v/>
      </c>
    </row>
    <row r="832" spans="1:20" ht="14.25" customHeight="1" x14ac:dyDescent="0.35">
      <c r="A832" s="32"/>
      <c r="B832" s="82">
        <f>'DEZ-26'!A19</f>
        <v>0</v>
      </c>
      <c r="C832" s="82">
        <f>'DEZ-26'!B19</f>
        <v>0</v>
      </c>
      <c r="D832" s="82">
        <f>'DEZ-26'!C19</f>
        <v>0</v>
      </c>
      <c r="E832" s="83">
        <f>'DEZ-26'!D19</f>
        <v>0</v>
      </c>
      <c r="F832" s="84">
        <f>'DEZ-26'!E19</f>
        <v>0</v>
      </c>
      <c r="G832" s="85">
        <f>'DEZ-26'!F19</f>
        <v>0</v>
      </c>
      <c r="H832" s="85">
        <f t="shared" si="0"/>
        <v>0</v>
      </c>
      <c r="I832" s="83" t="s">
        <v>106</v>
      </c>
      <c r="J832" s="83" t="str">
        <f t="shared" si="1"/>
        <v/>
      </c>
      <c r="K832" s="85">
        <f t="shared" si="2"/>
        <v>0</v>
      </c>
      <c r="L832" s="83" t="str">
        <f t="shared" si="3"/>
        <v/>
      </c>
      <c r="M832" s="83">
        <f>'DEZ-26'!H19</f>
        <v>0</v>
      </c>
      <c r="N832" s="92" t="str">
        <f ca="1">IF(BD!$C832="","",IF(AND(TODAY()&gt;BD!$C832,OR(BD!$D832="PENDENTE",BD!$D832="")),"VENCIDO",""))</f>
        <v/>
      </c>
      <c r="O832" s="82" t="str">
        <f ca="1">IF(N832 = "VENCIDO",BD!$B832,"")</f>
        <v/>
      </c>
      <c r="P832" s="82" t="str">
        <f ca="1">IF(N832 = "VENCIDO",BD!$C832,"")</f>
        <v/>
      </c>
      <c r="Q832" s="83" t="str">
        <f ca="1">IF(N832 = "VENCIDO",BD!$E832,"")</f>
        <v/>
      </c>
      <c r="R832" s="83" t="str">
        <f ca="1">IF(N832 = "VENCIDO",BD!$F832,"")</f>
        <v/>
      </c>
      <c r="S832" s="85" t="str">
        <f ca="1">IF(N832 = "VENCIDO",BD!$G832,"")</f>
        <v/>
      </c>
      <c r="T832" s="83" t="str">
        <f ca="1">IF(AND(TODAY()&gt;BD!$C832, OR(BD!$D832="PENDENTE", BD!$D832="")), TODAY()-BD!$C832, "")</f>
        <v/>
      </c>
    </row>
    <row r="833" spans="1:20" ht="14.25" customHeight="1" x14ac:dyDescent="0.35">
      <c r="A833" s="32"/>
      <c r="B833" s="82">
        <f>'DEZ-26'!A20</f>
        <v>0</v>
      </c>
      <c r="C833" s="82">
        <f>'DEZ-26'!B20</f>
        <v>0</v>
      </c>
      <c r="D833" s="82">
        <f>'DEZ-26'!C20</f>
        <v>0</v>
      </c>
      <c r="E833" s="83">
        <f>'DEZ-26'!D20</f>
        <v>0</v>
      </c>
      <c r="F833" s="84">
        <f>'DEZ-26'!E20</f>
        <v>0</v>
      </c>
      <c r="G833" s="85">
        <f>'DEZ-26'!F20</f>
        <v>0</v>
      </c>
      <c r="H833" s="85">
        <f t="shared" si="0"/>
        <v>0</v>
      </c>
      <c r="I833" s="83" t="s">
        <v>106</v>
      </c>
      <c r="J833" s="83" t="str">
        <f t="shared" si="1"/>
        <v/>
      </c>
      <c r="K833" s="85">
        <f t="shared" si="2"/>
        <v>0</v>
      </c>
      <c r="L833" s="83" t="str">
        <f t="shared" si="3"/>
        <v/>
      </c>
      <c r="M833" s="83">
        <f>'DEZ-26'!H20</f>
        <v>0</v>
      </c>
      <c r="N833" s="92" t="str">
        <f ca="1">IF(BD!$C833="","",IF(AND(TODAY()&gt;BD!$C833,OR(BD!$D833="PENDENTE",BD!$D833="")),"VENCIDO",""))</f>
        <v/>
      </c>
      <c r="O833" s="82" t="str">
        <f ca="1">IF(N833 = "VENCIDO",BD!$B833,"")</f>
        <v/>
      </c>
      <c r="P833" s="82" t="str">
        <f ca="1">IF(N833 = "VENCIDO",BD!$C833,"")</f>
        <v/>
      </c>
      <c r="Q833" s="83" t="str">
        <f ca="1">IF(N833 = "VENCIDO",BD!$E833,"")</f>
        <v/>
      </c>
      <c r="R833" s="83" t="str">
        <f ca="1">IF(N833 = "VENCIDO",BD!$F833,"")</f>
        <v/>
      </c>
      <c r="S833" s="85" t="str">
        <f ca="1">IF(N833 = "VENCIDO",BD!$G833,"")</f>
        <v/>
      </c>
      <c r="T833" s="83" t="str">
        <f ca="1">IF(AND(TODAY()&gt;BD!$C833, OR(BD!$D833="PENDENTE", BD!$D833="")), TODAY()-BD!$C833, "")</f>
        <v/>
      </c>
    </row>
    <row r="834" spans="1:20" ht="14.25" customHeight="1" x14ac:dyDescent="0.35">
      <c r="A834" s="32"/>
      <c r="B834" s="82">
        <f>'DEZ-26'!A21</f>
        <v>0</v>
      </c>
      <c r="C834" s="82">
        <f>'DEZ-26'!B21</f>
        <v>0</v>
      </c>
      <c r="D834" s="82">
        <f>'DEZ-26'!C21</f>
        <v>0</v>
      </c>
      <c r="E834" s="83">
        <f>'DEZ-26'!D21</f>
        <v>0</v>
      </c>
      <c r="F834" s="84">
        <f>'DEZ-26'!E21</f>
        <v>0</v>
      </c>
      <c r="G834" s="85">
        <f>'DEZ-26'!F21</f>
        <v>0</v>
      </c>
      <c r="H834" s="85">
        <f t="shared" si="0"/>
        <v>0</v>
      </c>
      <c r="I834" s="83" t="s">
        <v>106</v>
      </c>
      <c r="J834" s="83" t="str">
        <f t="shared" si="1"/>
        <v/>
      </c>
      <c r="K834" s="85">
        <f t="shared" si="2"/>
        <v>0</v>
      </c>
      <c r="L834" s="83" t="str">
        <f t="shared" si="3"/>
        <v/>
      </c>
      <c r="M834" s="83">
        <f>'DEZ-26'!H21</f>
        <v>0</v>
      </c>
      <c r="N834" s="92" t="str">
        <f ca="1">IF(BD!$C834="","",IF(AND(TODAY()&gt;BD!$C834,OR(BD!$D834="PENDENTE",BD!$D834="")),"VENCIDO",""))</f>
        <v/>
      </c>
      <c r="O834" s="82" t="str">
        <f ca="1">IF(N834 = "VENCIDO",BD!$B834,"")</f>
        <v/>
      </c>
      <c r="P834" s="82" t="str">
        <f ca="1">IF(N834 = "VENCIDO",BD!$C834,"")</f>
        <v/>
      </c>
      <c r="Q834" s="83" t="str">
        <f ca="1">IF(N834 = "VENCIDO",BD!$E834,"")</f>
        <v/>
      </c>
      <c r="R834" s="83" t="str">
        <f ca="1">IF(N834 = "VENCIDO",BD!$F834,"")</f>
        <v/>
      </c>
      <c r="S834" s="85" t="str">
        <f ca="1">IF(N834 = "VENCIDO",BD!$G834,"")</f>
        <v/>
      </c>
      <c r="T834" s="83" t="str">
        <f ca="1">IF(AND(TODAY()&gt;BD!$C834, OR(BD!$D834="PENDENTE", BD!$D834="")), TODAY()-BD!$C834, "")</f>
        <v/>
      </c>
    </row>
    <row r="835" spans="1:20" ht="14.25" customHeight="1" x14ac:dyDescent="0.35">
      <c r="A835" s="32"/>
      <c r="B835" s="82">
        <f>'DEZ-26'!A22</f>
        <v>0</v>
      </c>
      <c r="C835" s="82">
        <f>'DEZ-26'!B22</f>
        <v>0</v>
      </c>
      <c r="D835" s="82">
        <f>'DEZ-26'!C22</f>
        <v>0</v>
      </c>
      <c r="E835" s="83">
        <f>'DEZ-26'!D22</f>
        <v>0</v>
      </c>
      <c r="F835" s="84">
        <f>'DEZ-26'!E22</f>
        <v>0</v>
      </c>
      <c r="G835" s="85">
        <f>'DEZ-26'!F22</f>
        <v>0</v>
      </c>
      <c r="H835" s="85">
        <f t="shared" si="0"/>
        <v>0</v>
      </c>
      <c r="I835" s="83" t="s">
        <v>106</v>
      </c>
      <c r="J835" s="83" t="str">
        <f t="shared" si="1"/>
        <v/>
      </c>
      <c r="K835" s="85">
        <f t="shared" si="2"/>
        <v>0</v>
      </c>
      <c r="L835" s="83" t="str">
        <f t="shared" si="3"/>
        <v/>
      </c>
      <c r="M835" s="83">
        <f>'DEZ-26'!H22</f>
        <v>0</v>
      </c>
      <c r="N835" s="92" t="str">
        <f ca="1">IF(BD!$C835="","",IF(AND(TODAY()&gt;BD!$C835,OR(BD!$D835="PENDENTE",BD!$D835="")),"VENCIDO",""))</f>
        <v/>
      </c>
      <c r="O835" s="82" t="str">
        <f ca="1">IF(N835 = "VENCIDO",BD!$B835,"")</f>
        <v/>
      </c>
      <c r="P835" s="82" t="str">
        <f ca="1">IF(N835 = "VENCIDO",BD!$C835,"")</f>
        <v/>
      </c>
      <c r="Q835" s="83" t="str">
        <f ca="1">IF(N835 = "VENCIDO",BD!$E835,"")</f>
        <v/>
      </c>
      <c r="R835" s="83" t="str">
        <f ca="1">IF(N835 = "VENCIDO",BD!$F835,"")</f>
        <v/>
      </c>
      <c r="S835" s="85" t="str">
        <f ca="1">IF(N835 = "VENCIDO",BD!$G835,"")</f>
        <v/>
      </c>
      <c r="T835" s="83" t="str">
        <f ca="1">IF(AND(TODAY()&gt;BD!$C835, OR(BD!$D835="PENDENTE", BD!$D835="")), TODAY()-BD!$C835, "")</f>
        <v/>
      </c>
    </row>
    <row r="836" spans="1:20" ht="14.25" customHeight="1" x14ac:dyDescent="0.35">
      <c r="A836" s="32"/>
      <c r="B836" s="82">
        <f>'DEZ-26'!A23</f>
        <v>0</v>
      </c>
      <c r="C836" s="82">
        <f>'DEZ-26'!B23</f>
        <v>0</v>
      </c>
      <c r="D836" s="82">
        <f>'DEZ-26'!C23</f>
        <v>0</v>
      </c>
      <c r="E836" s="83">
        <f>'DEZ-26'!D23</f>
        <v>0</v>
      </c>
      <c r="F836" s="84">
        <f>'DEZ-26'!E23</f>
        <v>0</v>
      </c>
      <c r="G836" s="85">
        <f>'DEZ-26'!F23</f>
        <v>0</v>
      </c>
      <c r="H836" s="85">
        <f t="shared" si="0"/>
        <v>0</v>
      </c>
      <c r="I836" s="83" t="s">
        <v>106</v>
      </c>
      <c r="J836" s="83" t="str">
        <f t="shared" si="1"/>
        <v/>
      </c>
      <c r="K836" s="85">
        <f t="shared" si="2"/>
        <v>0</v>
      </c>
      <c r="L836" s="83" t="str">
        <f t="shared" si="3"/>
        <v/>
      </c>
      <c r="M836" s="83">
        <f>'DEZ-26'!H23</f>
        <v>0</v>
      </c>
      <c r="N836" s="92" t="str">
        <f ca="1">IF(BD!$C836="","",IF(AND(TODAY()&gt;BD!$C836,OR(BD!$D836="PENDENTE",BD!$D836="")),"VENCIDO",""))</f>
        <v/>
      </c>
      <c r="O836" s="82" t="str">
        <f ca="1">IF(N836 = "VENCIDO",BD!$B836,"")</f>
        <v/>
      </c>
      <c r="P836" s="82" t="str">
        <f ca="1">IF(N836 = "VENCIDO",BD!$C836,"")</f>
        <v/>
      </c>
      <c r="Q836" s="83" t="str">
        <f ca="1">IF(N836 = "VENCIDO",BD!$E836,"")</f>
        <v/>
      </c>
      <c r="R836" s="83" t="str">
        <f ca="1">IF(N836 = "VENCIDO",BD!$F836,"")</f>
        <v/>
      </c>
      <c r="S836" s="85" t="str">
        <f ca="1">IF(N836 = "VENCIDO",BD!$G836,"")</f>
        <v/>
      </c>
      <c r="T836" s="83" t="str">
        <f ca="1">IF(AND(TODAY()&gt;BD!$C836, OR(BD!$D836="PENDENTE", BD!$D836="")), TODAY()-BD!$C836, "")</f>
        <v/>
      </c>
    </row>
    <row r="837" spans="1:20" ht="14.25" customHeight="1" x14ac:dyDescent="0.35">
      <c r="A837" s="32"/>
      <c r="B837" s="82">
        <f>'DEZ-26'!A24</f>
        <v>0</v>
      </c>
      <c r="C837" s="82">
        <f>'DEZ-26'!B24</f>
        <v>0</v>
      </c>
      <c r="D837" s="82">
        <f>'DEZ-26'!C24</f>
        <v>0</v>
      </c>
      <c r="E837" s="83">
        <f>'DEZ-26'!D24</f>
        <v>0</v>
      </c>
      <c r="F837" s="84">
        <f>'DEZ-26'!E24</f>
        <v>0</v>
      </c>
      <c r="G837" s="85">
        <f>'DEZ-26'!F24</f>
        <v>0</v>
      </c>
      <c r="H837" s="85">
        <f t="shared" si="0"/>
        <v>0</v>
      </c>
      <c r="I837" s="83" t="s">
        <v>106</v>
      </c>
      <c r="J837" s="83" t="str">
        <f t="shared" si="1"/>
        <v/>
      </c>
      <c r="K837" s="85">
        <f t="shared" si="2"/>
        <v>0</v>
      </c>
      <c r="L837" s="83" t="str">
        <f t="shared" si="3"/>
        <v/>
      </c>
      <c r="M837" s="83">
        <f>'DEZ-26'!H24</f>
        <v>0</v>
      </c>
      <c r="N837" s="92" t="str">
        <f ca="1">IF(BD!$C837="","",IF(AND(TODAY()&gt;BD!$C837,OR(BD!$D837="PENDENTE",BD!$D837="")),"VENCIDO",""))</f>
        <v/>
      </c>
      <c r="O837" s="82" t="str">
        <f ca="1">IF(N837 = "VENCIDO",BD!$B837,"")</f>
        <v/>
      </c>
      <c r="P837" s="82" t="str">
        <f ca="1">IF(N837 = "VENCIDO",BD!$C837,"")</f>
        <v/>
      </c>
      <c r="Q837" s="83" t="str">
        <f ca="1">IF(N837 = "VENCIDO",BD!$E837,"")</f>
        <v/>
      </c>
      <c r="R837" s="83" t="str">
        <f ca="1">IF(N837 = "VENCIDO",BD!$F837,"")</f>
        <v/>
      </c>
      <c r="S837" s="85" t="str">
        <f ca="1">IF(N837 = "VENCIDO",BD!$G837,"")</f>
        <v/>
      </c>
      <c r="T837" s="83" t="str">
        <f ca="1">IF(AND(TODAY()&gt;BD!$C837, OR(BD!$D837="PENDENTE", BD!$D837="")), TODAY()-BD!$C837, "")</f>
        <v/>
      </c>
    </row>
    <row r="838" spans="1:20" ht="14.25" customHeight="1" x14ac:dyDescent="0.35">
      <c r="A838" s="32"/>
      <c r="B838" s="82">
        <f>'DEZ-26'!A25</f>
        <v>0</v>
      </c>
      <c r="C838" s="82">
        <f>'DEZ-26'!B25</f>
        <v>0</v>
      </c>
      <c r="D838" s="82">
        <f>'DEZ-26'!C25</f>
        <v>0</v>
      </c>
      <c r="E838" s="93">
        <f>'DEZ-26'!D25</f>
        <v>0</v>
      </c>
      <c r="F838" s="84">
        <f>'DEZ-26'!E25</f>
        <v>0</v>
      </c>
      <c r="G838" s="85">
        <f>'DEZ-26'!F25</f>
        <v>0</v>
      </c>
      <c r="H838" s="85">
        <f t="shared" si="0"/>
        <v>0</v>
      </c>
      <c r="I838" s="83" t="s">
        <v>106</v>
      </c>
      <c r="J838" s="83" t="str">
        <f t="shared" si="1"/>
        <v/>
      </c>
      <c r="K838" s="85">
        <f t="shared" si="2"/>
        <v>0</v>
      </c>
      <c r="L838" s="83" t="str">
        <f t="shared" si="3"/>
        <v/>
      </c>
      <c r="M838" s="83">
        <f>'DEZ-26'!H25</f>
        <v>0</v>
      </c>
      <c r="N838" s="92" t="str">
        <f ca="1">IF(BD!$C838="","",IF(AND(TODAY()&gt;BD!$C838,OR(BD!$D838="PENDENTE",BD!$D838="")),"VENCIDO",""))</f>
        <v/>
      </c>
      <c r="O838" s="82" t="str">
        <f ca="1">IF(N838 = "VENCIDO",BD!$B838,"")</f>
        <v/>
      </c>
      <c r="P838" s="82" t="str">
        <f ca="1">IF(N838 = "VENCIDO",BD!$C838,"")</f>
        <v/>
      </c>
      <c r="Q838" s="83" t="str">
        <f ca="1">IF(N838 = "VENCIDO",BD!$E838,"")</f>
        <v/>
      </c>
      <c r="R838" s="83" t="str">
        <f ca="1">IF(N838 = "VENCIDO",BD!$F838,"")</f>
        <v/>
      </c>
      <c r="S838" s="85" t="str">
        <f ca="1">IF(N838 = "VENCIDO",BD!$G838,"")</f>
        <v/>
      </c>
      <c r="T838" s="83" t="str">
        <f ca="1">IF(AND(TODAY()&gt;BD!$C838, OR(BD!$D838="PENDENTE", BD!$D838="")), TODAY()-BD!$C838, "")</f>
        <v/>
      </c>
    </row>
    <row r="839" spans="1:20" ht="14.25" customHeight="1" x14ac:dyDescent="0.35">
      <c r="A839" s="32"/>
      <c r="B839" s="82">
        <f>'DEZ-26'!A26</f>
        <v>0</v>
      </c>
      <c r="C839" s="82">
        <f>'DEZ-26'!B26</f>
        <v>0</v>
      </c>
      <c r="D839" s="82">
        <f>'DEZ-26'!C26</f>
        <v>0</v>
      </c>
      <c r="E839" s="83">
        <f>'DEZ-26'!D26</f>
        <v>0</v>
      </c>
      <c r="F839" s="84">
        <f>'DEZ-26'!E26</f>
        <v>0</v>
      </c>
      <c r="G839" s="85">
        <f>'DEZ-26'!F26</f>
        <v>0</v>
      </c>
      <c r="H839" s="85">
        <f t="shared" si="0"/>
        <v>0</v>
      </c>
      <c r="I839" s="83" t="s">
        <v>106</v>
      </c>
      <c r="J839" s="83" t="str">
        <f t="shared" si="1"/>
        <v/>
      </c>
      <c r="K839" s="85">
        <f t="shared" si="2"/>
        <v>0</v>
      </c>
      <c r="L839" s="83" t="str">
        <f t="shared" si="3"/>
        <v/>
      </c>
      <c r="M839" s="83">
        <f>'DEZ-26'!H26</f>
        <v>0</v>
      </c>
      <c r="N839" s="92" t="str">
        <f ca="1">IF(BD!$C839="","",IF(AND(TODAY()&gt;BD!$C839,OR(BD!$D839="PENDENTE",BD!$D839="")),"VENCIDO",""))</f>
        <v/>
      </c>
      <c r="O839" s="82" t="str">
        <f ca="1">IF(N839 = "VENCIDO",BD!$B839,"")</f>
        <v/>
      </c>
      <c r="P839" s="82" t="str">
        <f ca="1">IF(N839 = "VENCIDO",BD!$C839,"")</f>
        <v/>
      </c>
      <c r="Q839" s="83" t="str">
        <f ca="1">IF(N839 = "VENCIDO",BD!$E839,"")</f>
        <v/>
      </c>
      <c r="R839" s="83" t="str">
        <f ca="1">IF(N839 = "VENCIDO",BD!$F839,"")</f>
        <v/>
      </c>
      <c r="S839" s="85" t="str">
        <f ca="1">IF(N839 = "VENCIDO",BD!$G839,"")</f>
        <v/>
      </c>
      <c r="T839" s="83" t="str">
        <f ca="1">IF(AND(TODAY()&gt;BD!$C839, OR(BD!$D839="PENDENTE", BD!$D839="")), TODAY()-BD!$C839, "")</f>
        <v/>
      </c>
    </row>
    <row r="840" spans="1:20" ht="14.25" customHeight="1" x14ac:dyDescent="0.35">
      <c r="A840" s="32"/>
      <c r="B840" s="82">
        <f>'DEZ-26'!A27</f>
        <v>0</v>
      </c>
      <c r="C840" s="82">
        <f>'DEZ-26'!B27</f>
        <v>0</v>
      </c>
      <c r="D840" s="82">
        <f>'DEZ-26'!C27</f>
        <v>0</v>
      </c>
      <c r="E840" s="83">
        <f>'DEZ-26'!D27</f>
        <v>0</v>
      </c>
      <c r="F840" s="84">
        <f>'DEZ-26'!E27</f>
        <v>0</v>
      </c>
      <c r="G840" s="85">
        <f>'DEZ-26'!F27</f>
        <v>0</v>
      </c>
      <c r="H840" s="85">
        <f t="shared" si="0"/>
        <v>0</v>
      </c>
      <c r="I840" s="83" t="s">
        <v>106</v>
      </c>
      <c r="J840" s="83" t="str">
        <f t="shared" si="1"/>
        <v/>
      </c>
      <c r="K840" s="85">
        <f t="shared" si="2"/>
        <v>0</v>
      </c>
      <c r="L840" s="83" t="str">
        <f t="shared" si="3"/>
        <v/>
      </c>
      <c r="M840" s="83">
        <f>'DEZ-26'!H27</f>
        <v>0</v>
      </c>
      <c r="N840" s="92" t="str">
        <f ca="1">IF(BD!$C840="","",IF(AND(TODAY()&gt;BD!$C840,OR(BD!$D840="PENDENTE",BD!$D840="")),"VENCIDO",""))</f>
        <v/>
      </c>
      <c r="O840" s="82" t="str">
        <f ca="1">IF(N840 = "VENCIDO",BD!$B840,"")</f>
        <v/>
      </c>
      <c r="P840" s="82" t="str">
        <f ca="1">IF(N840 = "VENCIDO",BD!$C840,"")</f>
        <v/>
      </c>
      <c r="Q840" s="83" t="str">
        <f ca="1">IF(N840 = "VENCIDO",BD!$E840,"")</f>
        <v/>
      </c>
      <c r="R840" s="83" t="str">
        <f ca="1">IF(N840 = "VENCIDO",BD!$F840,"")</f>
        <v/>
      </c>
      <c r="S840" s="85" t="str">
        <f ca="1">IF(N840 = "VENCIDO",BD!$G840,"")</f>
        <v/>
      </c>
      <c r="T840" s="83" t="str">
        <f ca="1">IF(AND(TODAY()&gt;BD!$C840, OR(BD!$D840="PENDENTE", BD!$D840="")), TODAY()-BD!$C840, "")</f>
        <v/>
      </c>
    </row>
    <row r="841" spans="1:20" ht="14.25" customHeight="1" x14ac:dyDescent="0.35">
      <c r="A841" s="32"/>
      <c r="B841" s="82">
        <f>'DEZ-26'!A28</f>
        <v>0</v>
      </c>
      <c r="C841" s="82">
        <f>'DEZ-26'!B28</f>
        <v>0</v>
      </c>
      <c r="D841" s="82">
        <f>'DEZ-26'!C28</f>
        <v>0</v>
      </c>
      <c r="E841" s="83">
        <f>'DEZ-26'!D28</f>
        <v>0</v>
      </c>
      <c r="F841" s="84">
        <f>'DEZ-26'!E28</f>
        <v>0</v>
      </c>
      <c r="G841" s="85">
        <f>'DEZ-26'!F28</f>
        <v>0</v>
      </c>
      <c r="H841" s="85">
        <f t="shared" si="0"/>
        <v>0</v>
      </c>
      <c r="I841" s="83" t="s">
        <v>106</v>
      </c>
      <c r="J841" s="83" t="str">
        <f t="shared" si="1"/>
        <v/>
      </c>
      <c r="K841" s="85">
        <f t="shared" si="2"/>
        <v>0</v>
      </c>
      <c r="L841" s="83" t="str">
        <f t="shared" si="3"/>
        <v/>
      </c>
      <c r="M841" s="83">
        <f>'DEZ-26'!H28</f>
        <v>0</v>
      </c>
      <c r="N841" s="92" t="str">
        <f ca="1">IF(BD!$C841="","",IF(AND(TODAY()&gt;BD!$C841,OR(BD!$D841="PENDENTE",BD!$D841="")),"VENCIDO",""))</f>
        <v/>
      </c>
      <c r="O841" s="82" t="str">
        <f ca="1">IF(N841 = "VENCIDO",BD!$B841,"")</f>
        <v/>
      </c>
      <c r="P841" s="82" t="str">
        <f ca="1">IF(N841 = "VENCIDO",BD!$C841,"")</f>
        <v/>
      </c>
      <c r="Q841" s="83" t="str">
        <f ca="1">IF(N841 = "VENCIDO",BD!$E841,"")</f>
        <v/>
      </c>
      <c r="R841" s="83" t="str">
        <f ca="1">IF(N841 = "VENCIDO",BD!$F841,"")</f>
        <v/>
      </c>
      <c r="S841" s="85" t="str">
        <f ca="1">IF(N841 = "VENCIDO",BD!$G841,"")</f>
        <v/>
      </c>
      <c r="T841" s="83" t="str">
        <f ca="1">IF(AND(TODAY()&gt;BD!$C841, OR(BD!$D841="PENDENTE", BD!$D841="")), TODAY()-BD!$C841, "")</f>
        <v/>
      </c>
    </row>
    <row r="842" spans="1:20" ht="14.25" customHeight="1" x14ac:dyDescent="0.35">
      <c r="A842" s="32"/>
      <c r="B842" s="82">
        <f>'DEZ-26'!A29</f>
        <v>0</v>
      </c>
      <c r="C842" s="82">
        <f>'DEZ-26'!B29</f>
        <v>0</v>
      </c>
      <c r="D842" s="82">
        <f>'DEZ-26'!C29</f>
        <v>0</v>
      </c>
      <c r="E842" s="83">
        <f>'DEZ-26'!D29</f>
        <v>0</v>
      </c>
      <c r="F842" s="84">
        <f>'DEZ-26'!E29</f>
        <v>0</v>
      </c>
      <c r="G842" s="85">
        <f>'DEZ-26'!F29</f>
        <v>0</v>
      </c>
      <c r="H842" s="85">
        <f t="shared" si="0"/>
        <v>0</v>
      </c>
      <c r="I842" s="83" t="s">
        <v>106</v>
      </c>
      <c r="J842" s="83" t="str">
        <f t="shared" si="1"/>
        <v/>
      </c>
      <c r="K842" s="85">
        <f t="shared" si="2"/>
        <v>0</v>
      </c>
      <c r="L842" s="83" t="str">
        <f t="shared" si="3"/>
        <v/>
      </c>
      <c r="M842" s="83">
        <f>'DEZ-26'!H29</f>
        <v>0</v>
      </c>
      <c r="N842" s="92" t="str">
        <f ca="1">IF(BD!$C842="","",IF(AND(TODAY()&gt;BD!$C842,OR(BD!$D842="PENDENTE",BD!$D842="")),"VENCIDO",""))</f>
        <v/>
      </c>
      <c r="O842" s="82" t="str">
        <f ca="1">IF(N842 = "VENCIDO",BD!$B842,"")</f>
        <v/>
      </c>
      <c r="P842" s="82" t="str">
        <f ca="1">IF(N842 = "VENCIDO",BD!$C842,"")</f>
        <v/>
      </c>
      <c r="Q842" s="83" t="str">
        <f ca="1">IF(N842 = "VENCIDO",BD!$E842,"")</f>
        <v/>
      </c>
      <c r="R842" s="83" t="str">
        <f ca="1">IF(N842 = "VENCIDO",BD!$F842,"")</f>
        <v/>
      </c>
      <c r="S842" s="85" t="str">
        <f ca="1">IF(N842 = "VENCIDO",BD!$G842,"")</f>
        <v/>
      </c>
      <c r="T842" s="83" t="str">
        <f ca="1">IF(AND(TODAY()&gt;BD!$C842, OR(BD!$D842="PENDENTE", BD!$D842="")), TODAY()-BD!$C842, "")</f>
        <v/>
      </c>
    </row>
    <row r="843" spans="1:20" ht="14.25" customHeight="1" x14ac:dyDescent="0.35">
      <c r="A843" s="32"/>
      <c r="B843" s="82">
        <f>'DEZ-26'!A30</f>
        <v>0</v>
      </c>
      <c r="C843" s="82">
        <f>'DEZ-26'!B30</f>
        <v>0</v>
      </c>
      <c r="D843" s="82">
        <f>'DEZ-26'!C30</f>
        <v>0</v>
      </c>
      <c r="E843" s="83">
        <f>'DEZ-26'!D30</f>
        <v>0</v>
      </c>
      <c r="F843" s="84">
        <f>'DEZ-26'!E30</f>
        <v>0</v>
      </c>
      <c r="G843" s="85">
        <f>'DEZ-26'!F30</f>
        <v>0</v>
      </c>
      <c r="H843" s="85">
        <f t="shared" si="0"/>
        <v>0</v>
      </c>
      <c r="I843" s="83" t="s">
        <v>106</v>
      </c>
      <c r="J843" s="83" t="str">
        <f t="shared" si="1"/>
        <v/>
      </c>
      <c r="K843" s="85">
        <f t="shared" si="2"/>
        <v>0</v>
      </c>
      <c r="L843" s="83" t="str">
        <f t="shared" si="3"/>
        <v/>
      </c>
      <c r="M843" s="83">
        <f>'DEZ-26'!H30</f>
        <v>0</v>
      </c>
      <c r="N843" s="92" t="str">
        <f ca="1">IF(BD!$C843="","",IF(AND(TODAY()&gt;BD!$C843,OR(BD!$D843="PENDENTE",BD!$D843="")),"VENCIDO",""))</f>
        <v/>
      </c>
      <c r="O843" s="82" t="str">
        <f ca="1">IF(N843 = "VENCIDO",BD!$B843,"")</f>
        <v/>
      </c>
      <c r="P843" s="82" t="str">
        <f ca="1">IF(N843 = "VENCIDO",BD!$C843,"")</f>
        <v/>
      </c>
      <c r="Q843" s="83" t="str">
        <f ca="1">IF(N843 = "VENCIDO",BD!$E843,"")</f>
        <v/>
      </c>
      <c r="R843" s="83" t="str">
        <f ca="1">IF(N843 = "VENCIDO",BD!$F843,"")</f>
        <v/>
      </c>
      <c r="S843" s="85" t="str">
        <f ca="1">IF(N843 = "VENCIDO",BD!$G843,"")</f>
        <v/>
      </c>
      <c r="T843" s="83" t="str">
        <f ca="1">IF(AND(TODAY()&gt;BD!$C843, OR(BD!$D843="PENDENTE", BD!$D843="")), TODAY()-BD!$C843, "")</f>
        <v/>
      </c>
    </row>
    <row r="844" spans="1:20" ht="14.25" customHeight="1" x14ac:dyDescent="0.35">
      <c r="A844" s="32"/>
      <c r="B844" s="82">
        <f>'DEZ-26'!A31</f>
        <v>0</v>
      </c>
      <c r="C844" s="82">
        <f>'DEZ-26'!B31</f>
        <v>0</v>
      </c>
      <c r="D844" s="82">
        <f>'DEZ-26'!C31</f>
        <v>0</v>
      </c>
      <c r="E844" s="83">
        <f>'DEZ-26'!D31</f>
        <v>0</v>
      </c>
      <c r="F844" s="84">
        <f>'DEZ-26'!E31</f>
        <v>0</v>
      </c>
      <c r="G844" s="85">
        <f>'DEZ-26'!F31</f>
        <v>0</v>
      </c>
      <c r="H844" s="85">
        <f t="shared" si="0"/>
        <v>0</v>
      </c>
      <c r="I844" s="83" t="s">
        <v>106</v>
      </c>
      <c r="J844" s="83" t="str">
        <f t="shared" si="1"/>
        <v/>
      </c>
      <c r="K844" s="85">
        <f t="shared" si="2"/>
        <v>0</v>
      </c>
      <c r="L844" s="83" t="str">
        <f t="shared" si="3"/>
        <v/>
      </c>
      <c r="M844" s="83">
        <f>'DEZ-26'!H31</f>
        <v>0</v>
      </c>
      <c r="N844" s="92" t="str">
        <f ca="1">IF(BD!$C844="","",IF(AND(TODAY()&gt;BD!$C844,OR(BD!$D844="PENDENTE",BD!$D844="")),"VENCIDO",""))</f>
        <v/>
      </c>
      <c r="O844" s="82" t="str">
        <f ca="1">IF(N844 = "VENCIDO",BD!$B844,"")</f>
        <v/>
      </c>
      <c r="P844" s="82" t="str">
        <f ca="1">IF(N844 = "VENCIDO",BD!$C844,"")</f>
        <v/>
      </c>
      <c r="Q844" s="83" t="str">
        <f ca="1">IF(N844 = "VENCIDO",BD!$E844,"")</f>
        <v/>
      </c>
      <c r="R844" s="83" t="str">
        <f ca="1">IF(N844 = "VENCIDO",BD!$F844,"")</f>
        <v/>
      </c>
      <c r="S844" s="85" t="str">
        <f ca="1">IF(N844 = "VENCIDO",BD!$G844,"")</f>
        <v/>
      </c>
      <c r="T844" s="83" t="str">
        <f ca="1">IF(AND(TODAY()&gt;BD!$C844, OR(BD!$D844="PENDENTE", BD!$D844="")), TODAY()-BD!$C844, "")</f>
        <v/>
      </c>
    </row>
    <row r="845" spans="1:20" ht="14.25" customHeight="1" x14ac:dyDescent="0.35">
      <c r="A845" s="32"/>
      <c r="B845" s="82">
        <f>'DEZ-26'!A32</f>
        <v>0</v>
      </c>
      <c r="C845" s="82">
        <f>'DEZ-26'!B32</f>
        <v>0</v>
      </c>
      <c r="D845" s="82">
        <f>'DEZ-26'!C32</f>
        <v>0</v>
      </c>
      <c r="E845" s="83">
        <f>'DEZ-26'!D32</f>
        <v>0</v>
      </c>
      <c r="F845" s="84">
        <f>'DEZ-26'!E32</f>
        <v>0</v>
      </c>
      <c r="G845" s="85">
        <f>'DEZ-26'!F32</f>
        <v>0</v>
      </c>
      <c r="H845" s="85">
        <f t="shared" si="0"/>
        <v>0</v>
      </c>
      <c r="I845" s="83" t="s">
        <v>106</v>
      </c>
      <c r="J845" s="83" t="str">
        <f t="shared" si="1"/>
        <v/>
      </c>
      <c r="K845" s="85">
        <f t="shared" si="2"/>
        <v>0</v>
      </c>
      <c r="L845" s="83" t="str">
        <f t="shared" si="3"/>
        <v/>
      </c>
      <c r="M845" s="83">
        <f>'DEZ-26'!H32</f>
        <v>0</v>
      </c>
      <c r="N845" s="92" t="str">
        <f ca="1">IF(BD!$C845="","",IF(AND(TODAY()&gt;BD!$C845,OR(BD!$D845="PENDENTE",BD!$D845="")),"VENCIDO",""))</f>
        <v/>
      </c>
      <c r="O845" s="82" t="str">
        <f ca="1">IF(N845 = "VENCIDO",BD!$B845,"")</f>
        <v/>
      </c>
      <c r="P845" s="82" t="str">
        <f ca="1">IF(N845 = "VENCIDO",BD!$C845,"")</f>
        <v/>
      </c>
      <c r="Q845" s="83" t="str">
        <f ca="1">IF(N845 = "VENCIDO",BD!$E845,"")</f>
        <v/>
      </c>
      <c r="R845" s="83" t="str">
        <f ca="1">IF(N845 = "VENCIDO",BD!$F845,"")</f>
        <v/>
      </c>
      <c r="S845" s="85" t="str">
        <f ca="1">IF(N845 = "VENCIDO",BD!$G845,"")</f>
        <v/>
      </c>
      <c r="T845" s="83" t="str">
        <f ca="1">IF(AND(TODAY()&gt;BD!$C845, OR(BD!$D845="PENDENTE", BD!$D845="")), TODAY()-BD!$C845, "")</f>
        <v/>
      </c>
    </row>
    <row r="846" spans="1:20" ht="14.25" customHeight="1" x14ac:dyDescent="0.35">
      <c r="A846" s="32"/>
      <c r="B846" s="82">
        <f>'DEZ-26'!A33</f>
        <v>0</v>
      </c>
      <c r="C846" s="82">
        <f>'DEZ-26'!B33</f>
        <v>0</v>
      </c>
      <c r="D846" s="82">
        <f>'DEZ-26'!C33</f>
        <v>0</v>
      </c>
      <c r="E846" s="83">
        <f>'DEZ-26'!D33</f>
        <v>0</v>
      </c>
      <c r="F846" s="84">
        <f>'DEZ-26'!E33</f>
        <v>0</v>
      </c>
      <c r="G846" s="85">
        <f>'DEZ-26'!F33</f>
        <v>0</v>
      </c>
      <c r="H846" s="85">
        <f t="shared" si="0"/>
        <v>0</v>
      </c>
      <c r="I846" s="83" t="s">
        <v>106</v>
      </c>
      <c r="J846" s="83" t="str">
        <f t="shared" si="1"/>
        <v/>
      </c>
      <c r="K846" s="85">
        <f t="shared" si="2"/>
        <v>0</v>
      </c>
      <c r="L846" s="83" t="str">
        <f t="shared" si="3"/>
        <v/>
      </c>
      <c r="M846" s="83">
        <f>'DEZ-26'!H33</f>
        <v>0</v>
      </c>
      <c r="N846" s="92" t="str">
        <f ca="1">IF(BD!$C846="","",IF(AND(TODAY()&gt;BD!$C846,OR(BD!$D846="PENDENTE",BD!$D846="")),"VENCIDO",""))</f>
        <v/>
      </c>
      <c r="O846" s="82" t="str">
        <f ca="1">IF(N846 = "VENCIDO",BD!$B846,"")</f>
        <v/>
      </c>
      <c r="P846" s="82" t="str">
        <f ca="1">IF(N846 = "VENCIDO",BD!$C846,"")</f>
        <v/>
      </c>
      <c r="Q846" s="83" t="str">
        <f ca="1">IF(N846 = "VENCIDO",BD!$E846,"")</f>
        <v/>
      </c>
      <c r="R846" s="83" t="str">
        <f ca="1">IF(N846 = "VENCIDO",BD!$F846,"")</f>
        <v/>
      </c>
      <c r="S846" s="85" t="str">
        <f ca="1">IF(N846 = "VENCIDO",BD!$G846,"")</f>
        <v/>
      </c>
      <c r="T846" s="83" t="str">
        <f ca="1">IF(AND(TODAY()&gt;BD!$C846, OR(BD!$D846="PENDENTE", BD!$D846="")), TODAY()-BD!$C846, "")</f>
        <v/>
      </c>
    </row>
    <row r="847" spans="1:20" ht="14.25" customHeight="1" x14ac:dyDescent="0.35">
      <c r="A847" s="32"/>
      <c r="B847" s="82">
        <f>'DEZ-26'!A34</f>
        <v>0</v>
      </c>
      <c r="C847" s="82">
        <f>'DEZ-26'!B34</f>
        <v>0</v>
      </c>
      <c r="D847" s="82">
        <f>'DEZ-26'!C34</f>
        <v>0</v>
      </c>
      <c r="E847" s="83">
        <f>'DEZ-26'!D34</f>
        <v>0</v>
      </c>
      <c r="F847" s="84">
        <f>'DEZ-26'!E34</f>
        <v>0</v>
      </c>
      <c r="G847" s="85">
        <f>'DEZ-26'!F34</f>
        <v>0</v>
      </c>
      <c r="H847" s="85">
        <f t="shared" si="0"/>
        <v>0</v>
      </c>
      <c r="I847" s="83" t="s">
        <v>106</v>
      </c>
      <c r="J847" s="83" t="str">
        <f t="shared" si="1"/>
        <v/>
      </c>
      <c r="K847" s="85">
        <f t="shared" si="2"/>
        <v>0</v>
      </c>
      <c r="L847" s="83" t="str">
        <f t="shared" si="3"/>
        <v/>
      </c>
      <c r="M847" s="83">
        <f>'DEZ-26'!H34</f>
        <v>0</v>
      </c>
      <c r="N847" s="92" t="str">
        <f ca="1">IF(BD!$C847="","",IF(AND(TODAY()&gt;BD!$C847,OR(BD!$D847="PENDENTE",BD!$D847="")),"VENCIDO",""))</f>
        <v/>
      </c>
      <c r="O847" s="82" t="str">
        <f ca="1">IF(N847 = "VENCIDO",BD!$B847,"")</f>
        <v/>
      </c>
      <c r="P847" s="82" t="str">
        <f ca="1">IF(N847 = "VENCIDO",BD!$C847,"")</f>
        <v/>
      </c>
      <c r="Q847" s="83" t="str">
        <f ca="1">IF(N847 = "VENCIDO",BD!$E847,"")</f>
        <v/>
      </c>
      <c r="R847" s="83" t="str">
        <f ca="1">IF(N847 = "VENCIDO",BD!$F847,"")</f>
        <v/>
      </c>
      <c r="S847" s="85" t="str">
        <f ca="1">IF(N847 = "VENCIDO",BD!$G847,"")</f>
        <v/>
      </c>
      <c r="T847" s="83" t="str">
        <f ca="1">IF(AND(TODAY()&gt;BD!$C847, OR(BD!$D847="PENDENTE", BD!$D847="")), TODAY()-BD!$C847, "")</f>
        <v/>
      </c>
    </row>
    <row r="848" spans="1:20" ht="14.25" customHeight="1" x14ac:dyDescent="0.35">
      <c r="A848" s="32"/>
      <c r="B848" s="82">
        <f>'DEZ-26'!A35</f>
        <v>0</v>
      </c>
      <c r="C848" s="82">
        <f>'DEZ-26'!B35</f>
        <v>0</v>
      </c>
      <c r="D848" s="82">
        <f>'DEZ-26'!C35</f>
        <v>0</v>
      </c>
      <c r="E848" s="93">
        <f>'DEZ-26'!D35</f>
        <v>0</v>
      </c>
      <c r="F848" s="84">
        <f>'DEZ-26'!E35</f>
        <v>0</v>
      </c>
      <c r="G848" s="85">
        <f>'DEZ-26'!F35</f>
        <v>0</v>
      </c>
      <c r="H848" s="85">
        <f t="shared" si="0"/>
        <v>0</v>
      </c>
      <c r="I848" s="83" t="s">
        <v>106</v>
      </c>
      <c r="J848" s="83" t="str">
        <f t="shared" si="1"/>
        <v/>
      </c>
      <c r="K848" s="85">
        <f t="shared" si="2"/>
        <v>0</v>
      </c>
      <c r="L848" s="83" t="str">
        <f t="shared" si="3"/>
        <v/>
      </c>
      <c r="M848" s="83">
        <f>'DEZ-26'!H35</f>
        <v>0</v>
      </c>
      <c r="N848" s="92" t="str">
        <f ca="1">IF(BD!$C848="","",IF(AND(TODAY()&gt;BD!$C848,OR(BD!$D848="PENDENTE",BD!$D848="")),"VENCIDO",""))</f>
        <v/>
      </c>
      <c r="O848" s="82" t="str">
        <f ca="1">IF(N848 = "VENCIDO",BD!$B848,"")</f>
        <v/>
      </c>
      <c r="P848" s="82" t="str">
        <f ca="1">IF(N848 = "VENCIDO",BD!$C848,"")</f>
        <v/>
      </c>
      <c r="Q848" s="83" t="str">
        <f ca="1">IF(N848 = "VENCIDO",BD!$E848,"")</f>
        <v/>
      </c>
      <c r="R848" s="83" t="str">
        <f ca="1">IF(N848 = "VENCIDO",BD!$F848,"")</f>
        <v/>
      </c>
      <c r="S848" s="85" t="str">
        <f ca="1">IF(N848 = "VENCIDO",BD!$G848,"")</f>
        <v/>
      </c>
      <c r="T848" s="83" t="str">
        <f ca="1">IF(AND(TODAY()&gt;BD!$C848, OR(BD!$D848="PENDENTE", BD!$D848="")), TODAY()-BD!$C848, "")</f>
        <v/>
      </c>
    </row>
    <row r="849" spans="1:20" ht="14.25" customHeight="1" x14ac:dyDescent="0.35">
      <c r="A849" s="32"/>
      <c r="B849" s="82">
        <f>'DEZ-26'!A36</f>
        <v>0</v>
      </c>
      <c r="C849" s="82">
        <f>'DEZ-26'!B36</f>
        <v>0</v>
      </c>
      <c r="D849" s="82">
        <f>'DEZ-26'!C36</f>
        <v>0</v>
      </c>
      <c r="E849" s="93">
        <f>'DEZ-26'!D36</f>
        <v>0</v>
      </c>
      <c r="F849" s="84">
        <f>'DEZ-26'!E36</f>
        <v>0</v>
      </c>
      <c r="G849" s="85">
        <f>'DEZ-26'!F36</f>
        <v>0</v>
      </c>
      <c r="H849" s="85">
        <f t="shared" si="0"/>
        <v>0</v>
      </c>
      <c r="I849" s="83" t="s">
        <v>106</v>
      </c>
      <c r="J849" s="83" t="str">
        <f t="shared" si="1"/>
        <v/>
      </c>
      <c r="K849" s="85">
        <f t="shared" si="2"/>
        <v>0</v>
      </c>
      <c r="L849" s="83" t="str">
        <f t="shared" si="3"/>
        <v/>
      </c>
      <c r="M849" s="83">
        <f>'DEZ-26'!H36</f>
        <v>0</v>
      </c>
      <c r="N849" s="92" t="str">
        <f ca="1">IF(BD!$C849="","",IF(AND(TODAY()&gt;BD!$C849,OR(BD!$D849="PENDENTE",BD!$D849="")),"VENCIDO",""))</f>
        <v/>
      </c>
      <c r="O849" s="82" t="str">
        <f ca="1">IF(N849 = "VENCIDO",BD!$B849,"")</f>
        <v/>
      </c>
      <c r="P849" s="82" t="str">
        <f ca="1">IF(N849 = "VENCIDO",BD!$C849,"")</f>
        <v/>
      </c>
      <c r="Q849" s="83" t="str">
        <f ca="1">IF(N849 = "VENCIDO",BD!$E849,"")</f>
        <v/>
      </c>
      <c r="R849" s="83" t="str">
        <f ca="1">IF(N849 = "VENCIDO",BD!$F849,"")</f>
        <v/>
      </c>
      <c r="S849" s="85" t="str">
        <f ca="1">IF(N849 = "VENCIDO",BD!$G849,"")</f>
        <v/>
      </c>
      <c r="T849" s="83" t="str">
        <f ca="1">IF(AND(TODAY()&gt;BD!$C849, OR(BD!$D849="PENDENTE", BD!$D849="")), TODAY()-BD!$C849, "")</f>
        <v/>
      </c>
    </row>
    <row r="850" spans="1:20" ht="14.25" customHeight="1" x14ac:dyDescent="0.35">
      <c r="A850" s="32"/>
      <c r="B850" s="82">
        <f>'DEZ-26'!A37</f>
        <v>0</v>
      </c>
      <c r="C850" s="82">
        <f>'DEZ-26'!B37</f>
        <v>0</v>
      </c>
      <c r="D850" s="82">
        <f>'DEZ-26'!C37</f>
        <v>0</v>
      </c>
      <c r="E850" s="83">
        <f>'DEZ-26'!D37</f>
        <v>0</v>
      </c>
      <c r="F850" s="84">
        <f>'DEZ-26'!E37</f>
        <v>0</v>
      </c>
      <c r="G850" s="85">
        <f>'DEZ-26'!F37</f>
        <v>0</v>
      </c>
      <c r="H850" s="85">
        <f t="shared" si="0"/>
        <v>0</v>
      </c>
      <c r="I850" s="83" t="s">
        <v>106</v>
      </c>
      <c r="J850" s="83" t="str">
        <f t="shared" si="1"/>
        <v/>
      </c>
      <c r="K850" s="85">
        <f t="shared" si="2"/>
        <v>0</v>
      </c>
      <c r="L850" s="83" t="str">
        <f t="shared" si="3"/>
        <v/>
      </c>
      <c r="M850" s="83">
        <f>'DEZ-26'!H37</f>
        <v>0</v>
      </c>
      <c r="N850" s="92" t="str">
        <f ca="1">IF(BD!$C850="","",IF(AND(TODAY()&gt;BD!$C850,OR(BD!$D850="PENDENTE",BD!$D850="")),"VENCIDO",""))</f>
        <v/>
      </c>
      <c r="O850" s="82" t="str">
        <f ca="1">IF(N850 = "VENCIDO",BD!$B850,"")</f>
        <v/>
      </c>
      <c r="P850" s="82" t="str">
        <f ca="1">IF(N850 = "VENCIDO",BD!$C850,"")</f>
        <v/>
      </c>
      <c r="Q850" s="83" t="str">
        <f ca="1">IF(N850 = "VENCIDO",BD!$E850,"")</f>
        <v/>
      </c>
      <c r="R850" s="83" t="str">
        <f ca="1">IF(N850 = "VENCIDO",BD!$F850,"")</f>
        <v/>
      </c>
      <c r="S850" s="85" t="str">
        <f ca="1">IF(N850 = "VENCIDO",BD!$G850,"")</f>
        <v/>
      </c>
      <c r="T850" s="83" t="str">
        <f ca="1">IF(AND(TODAY()&gt;BD!$C850, OR(BD!$D850="PENDENTE", BD!$D850="")), TODAY()-BD!$C850, "")</f>
        <v/>
      </c>
    </row>
    <row r="851" spans="1:20" ht="14.25" customHeight="1" x14ac:dyDescent="0.35">
      <c r="A851" s="32"/>
      <c r="B851" s="82">
        <f>'DEZ-26'!A38</f>
        <v>0</v>
      </c>
      <c r="C851" s="82">
        <f>'DEZ-26'!B38</f>
        <v>0</v>
      </c>
      <c r="D851" s="82">
        <f>'DEZ-26'!C38</f>
        <v>0</v>
      </c>
      <c r="E851" s="83">
        <f>'DEZ-26'!D38</f>
        <v>0</v>
      </c>
      <c r="F851" s="84">
        <f>'DEZ-26'!E38</f>
        <v>0</v>
      </c>
      <c r="G851" s="85">
        <f>'DEZ-26'!F38</f>
        <v>0</v>
      </c>
      <c r="H851" s="85">
        <f t="shared" si="0"/>
        <v>0</v>
      </c>
      <c r="I851" s="83" t="s">
        <v>106</v>
      </c>
      <c r="J851" s="83" t="str">
        <f t="shared" si="1"/>
        <v/>
      </c>
      <c r="K851" s="85">
        <f t="shared" si="2"/>
        <v>0</v>
      </c>
      <c r="L851" s="83" t="str">
        <f t="shared" si="3"/>
        <v/>
      </c>
      <c r="M851" s="83">
        <f>'DEZ-26'!H38</f>
        <v>0</v>
      </c>
      <c r="N851" s="92" t="str">
        <f ca="1">IF(BD!$C851="","",IF(AND(TODAY()&gt;BD!$C851,OR(BD!$D851="PENDENTE",BD!$D851="")),"VENCIDO",""))</f>
        <v/>
      </c>
      <c r="O851" s="82" t="str">
        <f ca="1">IF(N851 = "VENCIDO",BD!$B851,"")</f>
        <v/>
      </c>
      <c r="P851" s="82" t="str">
        <f ca="1">IF(N851 = "VENCIDO",BD!$C851,"")</f>
        <v/>
      </c>
      <c r="Q851" s="83" t="str">
        <f ca="1">IF(N851 = "VENCIDO",BD!$E851,"")</f>
        <v/>
      </c>
      <c r="R851" s="83" t="str">
        <f ca="1">IF(N851 = "VENCIDO",BD!$F851,"")</f>
        <v/>
      </c>
      <c r="S851" s="85" t="str">
        <f ca="1">IF(N851 = "VENCIDO",BD!$G851,"")</f>
        <v/>
      </c>
      <c r="T851" s="83" t="str">
        <f ca="1">IF(AND(TODAY()&gt;BD!$C851, OR(BD!$D851="PENDENTE", BD!$D851="")), TODAY()-BD!$C851, "")</f>
        <v/>
      </c>
    </row>
    <row r="852" spans="1:20" ht="14.25" customHeight="1" x14ac:dyDescent="0.35">
      <c r="A852" s="32"/>
      <c r="B852" s="82">
        <f>'DEZ-26'!A39</f>
        <v>0</v>
      </c>
      <c r="C852" s="82">
        <f>'DEZ-26'!B39</f>
        <v>0</v>
      </c>
      <c r="D852" s="82">
        <f>'DEZ-26'!C39</f>
        <v>0</v>
      </c>
      <c r="E852" s="83">
        <f>'DEZ-26'!D39</f>
        <v>0</v>
      </c>
      <c r="F852" s="84">
        <f>'DEZ-26'!E39</f>
        <v>0</v>
      </c>
      <c r="G852" s="85">
        <f>'DEZ-26'!F39</f>
        <v>0</v>
      </c>
      <c r="H852" s="85">
        <f t="shared" si="0"/>
        <v>0</v>
      </c>
      <c r="I852" s="83" t="s">
        <v>106</v>
      </c>
      <c r="J852" s="83" t="str">
        <f t="shared" si="1"/>
        <v/>
      </c>
      <c r="K852" s="85">
        <f t="shared" si="2"/>
        <v>0</v>
      </c>
      <c r="L852" s="83" t="str">
        <f t="shared" si="3"/>
        <v/>
      </c>
      <c r="M852" s="83">
        <f>'DEZ-26'!H39</f>
        <v>0</v>
      </c>
      <c r="N852" s="92" t="str">
        <f ca="1">IF(BD!$C852="","",IF(AND(TODAY()&gt;BD!$C852,OR(BD!$D852="PENDENTE",BD!$D852="")),"VENCIDO",""))</f>
        <v/>
      </c>
      <c r="O852" s="82" t="str">
        <f ca="1">IF(N852 = "VENCIDO",BD!$B852,"")</f>
        <v/>
      </c>
      <c r="P852" s="82" t="str">
        <f ca="1">IF(N852 = "VENCIDO",BD!$C852,"")</f>
        <v/>
      </c>
      <c r="Q852" s="83" t="str">
        <f ca="1">IF(N852 = "VENCIDO",BD!$E852,"")</f>
        <v/>
      </c>
      <c r="R852" s="83" t="str">
        <f ca="1">IF(N852 = "VENCIDO",BD!$F852,"")</f>
        <v/>
      </c>
      <c r="S852" s="85" t="str">
        <f ca="1">IF(N852 = "VENCIDO",BD!$G852,"")</f>
        <v/>
      </c>
      <c r="T852" s="83" t="str">
        <f ca="1">IF(AND(TODAY()&gt;BD!$C852, OR(BD!$D852="PENDENTE", BD!$D852="")), TODAY()-BD!$C852, "")</f>
        <v/>
      </c>
    </row>
    <row r="853" spans="1:20" ht="14.25" customHeight="1" x14ac:dyDescent="0.35">
      <c r="A853" s="32"/>
      <c r="B853" s="82">
        <f>'DEZ-26'!A40</f>
        <v>0</v>
      </c>
      <c r="C853" s="82">
        <f>'DEZ-26'!B40</f>
        <v>0</v>
      </c>
      <c r="D853" s="82">
        <f>'DEZ-26'!C40</f>
        <v>0</v>
      </c>
      <c r="E853" s="83">
        <f>'DEZ-26'!D40</f>
        <v>0</v>
      </c>
      <c r="F853" s="84">
        <f>'DEZ-26'!E40</f>
        <v>0</v>
      </c>
      <c r="G853" s="85">
        <f>'DEZ-26'!F40</f>
        <v>0</v>
      </c>
      <c r="H853" s="85">
        <f t="shared" si="0"/>
        <v>0</v>
      </c>
      <c r="I853" s="83" t="s">
        <v>106</v>
      </c>
      <c r="J853" s="83" t="str">
        <f t="shared" si="1"/>
        <v/>
      </c>
      <c r="K853" s="85">
        <f t="shared" si="2"/>
        <v>0</v>
      </c>
      <c r="L853" s="83" t="str">
        <f t="shared" si="3"/>
        <v/>
      </c>
      <c r="M853" s="83">
        <f>'DEZ-26'!H40</f>
        <v>0</v>
      </c>
      <c r="N853" s="92" t="str">
        <f ca="1">IF(BD!$C853="","",IF(AND(TODAY()&gt;BD!$C853,OR(BD!$D853="PENDENTE",BD!$D853="")),"VENCIDO",""))</f>
        <v/>
      </c>
      <c r="O853" s="82" t="str">
        <f ca="1">IF(N853 = "VENCIDO",BD!$B853,"")</f>
        <v/>
      </c>
      <c r="P853" s="82" t="str">
        <f ca="1">IF(N853 = "VENCIDO",BD!$C853,"")</f>
        <v/>
      </c>
      <c r="Q853" s="83" t="str">
        <f ca="1">IF(N853 = "VENCIDO",BD!$E853,"")</f>
        <v/>
      </c>
      <c r="R853" s="83" t="str">
        <f ca="1">IF(N853 = "VENCIDO",BD!$F853,"")</f>
        <v/>
      </c>
      <c r="S853" s="85" t="str">
        <f ca="1">IF(N853 = "VENCIDO",BD!$G853,"")</f>
        <v/>
      </c>
      <c r="T853" s="83" t="str">
        <f ca="1">IF(AND(TODAY()&gt;BD!$C853, OR(BD!$D853="PENDENTE", BD!$D853="")), TODAY()-BD!$C853, "")</f>
        <v/>
      </c>
    </row>
    <row r="854" spans="1:20" ht="14.25" customHeight="1" x14ac:dyDescent="0.35">
      <c r="A854" s="32"/>
      <c r="B854" s="82">
        <f>'DEZ-26'!A41</f>
        <v>0</v>
      </c>
      <c r="C854" s="82">
        <f>'DEZ-26'!B41</f>
        <v>0</v>
      </c>
      <c r="D854" s="82">
        <f>'DEZ-26'!C41</f>
        <v>0</v>
      </c>
      <c r="E854" s="83">
        <f>'DEZ-26'!D41</f>
        <v>0</v>
      </c>
      <c r="F854" s="84">
        <f>'DEZ-26'!E41</f>
        <v>0</v>
      </c>
      <c r="G854" s="85">
        <f>'DEZ-26'!F41</f>
        <v>0</v>
      </c>
      <c r="H854" s="85">
        <f t="shared" si="0"/>
        <v>0</v>
      </c>
      <c r="I854" s="83" t="s">
        <v>106</v>
      </c>
      <c r="J854" s="83" t="str">
        <f t="shared" si="1"/>
        <v/>
      </c>
      <c r="K854" s="85">
        <f t="shared" si="2"/>
        <v>0</v>
      </c>
      <c r="L854" s="83" t="str">
        <f t="shared" si="3"/>
        <v/>
      </c>
      <c r="M854" s="83">
        <f>'DEZ-26'!H41</f>
        <v>0</v>
      </c>
      <c r="N854" s="92" t="str">
        <f ca="1">IF(BD!$C854="","",IF(AND(TODAY()&gt;BD!$C854,OR(BD!$D854="PENDENTE",BD!$D854="")),"VENCIDO",""))</f>
        <v/>
      </c>
      <c r="O854" s="82" t="str">
        <f ca="1">IF(N854 = "VENCIDO",BD!$B854,"")</f>
        <v/>
      </c>
      <c r="P854" s="82" t="str">
        <f ca="1">IF(N854 = "VENCIDO",BD!$C854,"")</f>
        <v/>
      </c>
      <c r="Q854" s="83" t="str">
        <f ca="1">IF(N854 = "VENCIDO",BD!$E854,"")</f>
        <v/>
      </c>
      <c r="R854" s="83" t="str">
        <f ca="1">IF(N854 = "VENCIDO",BD!$F854,"")</f>
        <v/>
      </c>
      <c r="S854" s="85" t="str">
        <f ca="1">IF(N854 = "VENCIDO",BD!$G854,"")</f>
        <v/>
      </c>
      <c r="T854" s="83" t="str">
        <f ca="1">IF(AND(TODAY()&gt;BD!$C854, OR(BD!$D854="PENDENTE", BD!$D854="")), TODAY()-BD!$C854, "")</f>
        <v/>
      </c>
    </row>
    <row r="855" spans="1:20" ht="14.25" customHeight="1" x14ac:dyDescent="0.35">
      <c r="A855" s="32"/>
      <c r="B855" s="82">
        <f>'DEZ-26'!A42</f>
        <v>0</v>
      </c>
      <c r="C855" s="82">
        <f>'DEZ-26'!B42</f>
        <v>0</v>
      </c>
      <c r="D855" s="82">
        <f>'DEZ-26'!C42</f>
        <v>0</v>
      </c>
      <c r="E855" s="83">
        <f>'DEZ-26'!D42</f>
        <v>0</v>
      </c>
      <c r="F855" s="84">
        <f>'DEZ-26'!E42</f>
        <v>0</v>
      </c>
      <c r="G855" s="85">
        <f>'DEZ-26'!F42</f>
        <v>0</v>
      </c>
      <c r="H855" s="85">
        <f t="shared" si="0"/>
        <v>0</v>
      </c>
      <c r="I855" s="83" t="s">
        <v>106</v>
      </c>
      <c r="J855" s="83" t="str">
        <f t="shared" si="1"/>
        <v/>
      </c>
      <c r="K855" s="85">
        <f t="shared" si="2"/>
        <v>0</v>
      </c>
      <c r="L855" s="83" t="str">
        <f t="shared" si="3"/>
        <v/>
      </c>
      <c r="M855" s="83">
        <f>'DEZ-26'!H42</f>
        <v>0</v>
      </c>
      <c r="N855" s="92" t="str">
        <f ca="1">IF(BD!$C855="","",IF(AND(TODAY()&gt;BD!$C855,OR(BD!$D855="PENDENTE",BD!$D855="")),"VENCIDO",""))</f>
        <v/>
      </c>
      <c r="O855" s="82" t="str">
        <f ca="1">IF(N855 = "VENCIDO",BD!$B855,"")</f>
        <v/>
      </c>
      <c r="P855" s="82" t="str">
        <f ca="1">IF(N855 = "VENCIDO",BD!$C855,"")</f>
        <v/>
      </c>
      <c r="Q855" s="83" t="str">
        <f ca="1">IF(N855 = "VENCIDO",BD!$E855,"")</f>
        <v/>
      </c>
      <c r="R855" s="83" t="str">
        <f ca="1">IF(N855 = "VENCIDO",BD!$F855,"")</f>
        <v/>
      </c>
      <c r="S855" s="85" t="str">
        <f ca="1">IF(N855 = "VENCIDO",BD!$G855,"")</f>
        <v/>
      </c>
      <c r="T855" s="83" t="str">
        <f ca="1">IF(AND(TODAY()&gt;BD!$C855, OR(BD!$D855="PENDENTE", BD!$D855="")), TODAY()-BD!$C855, "")</f>
        <v/>
      </c>
    </row>
    <row r="856" spans="1:20" ht="14.25" customHeight="1" x14ac:dyDescent="0.35">
      <c r="A856" s="32"/>
      <c r="B856" s="82">
        <f>'DEZ-26'!A43</f>
        <v>0</v>
      </c>
      <c r="C856" s="82">
        <f>'DEZ-26'!B43</f>
        <v>0</v>
      </c>
      <c r="D856" s="82">
        <f>'DEZ-26'!C43</f>
        <v>0</v>
      </c>
      <c r="E856" s="83">
        <f>'DEZ-26'!D43</f>
        <v>0</v>
      </c>
      <c r="F856" s="84">
        <f>'DEZ-26'!E43</f>
        <v>0</v>
      </c>
      <c r="G856" s="85">
        <f>'DEZ-26'!F43</f>
        <v>0</v>
      </c>
      <c r="H856" s="85">
        <f t="shared" si="0"/>
        <v>0</v>
      </c>
      <c r="I856" s="83" t="s">
        <v>106</v>
      </c>
      <c r="J856" s="83" t="str">
        <f t="shared" si="1"/>
        <v/>
      </c>
      <c r="K856" s="85">
        <f t="shared" si="2"/>
        <v>0</v>
      </c>
      <c r="L856" s="83" t="str">
        <f t="shared" si="3"/>
        <v/>
      </c>
      <c r="M856" s="83">
        <f>'DEZ-26'!H43</f>
        <v>0</v>
      </c>
      <c r="N856" s="92" t="str">
        <f ca="1">IF(BD!$C856="","",IF(AND(TODAY()&gt;BD!$C856,OR(BD!$D856="PENDENTE",BD!$D856="")),"VENCIDO",""))</f>
        <v/>
      </c>
      <c r="O856" s="82" t="str">
        <f ca="1">IF(N856 = "VENCIDO",BD!$B856,"")</f>
        <v/>
      </c>
      <c r="P856" s="82" t="str">
        <f ca="1">IF(N856 = "VENCIDO",BD!$C856,"")</f>
        <v/>
      </c>
      <c r="Q856" s="83" t="str">
        <f ca="1">IF(N856 = "VENCIDO",BD!$E856,"")</f>
        <v/>
      </c>
      <c r="R856" s="83" t="str">
        <f ca="1">IF(N856 = "VENCIDO",BD!$F856,"")</f>
        <v/>
      </c>
      <c r="S856" s="85" t="str">
        <f ca="1">IF(N856 = "VENCIDO",BD!$G856,"")</f>
        <v/>
      </c>
      <c r="T856" s="83" t="str">
        <f ca="1">IF(AND(TODAY()&gt;BD!$C856, OR(BD!$D856="PENDENTE", BD!$D856="")), TODAY()-BD!$C856, "")</f>
        <v/>
      </c>
    </row>
    <row r="857" spans="1:20" ht="14.25" customHeight="1" x14ac:dyDescent="0.35">
      <c r="A857" s="32"/>
      <c r="B857" s="82">
        <f>'DEZ-26'!A44</f>
        <v>0</v>
      </c>
      <c r="C857" s="82">
        <f>'DEZ-26'!B44</f>
        <v>0</v>
      </c>
      <c r="D857" s="82">
        <f>'DEZ-26'!C44</f>
        <v>0</v>
      </c>
      <c r="E857" s="83">
        <f>'DEZ-26'!D44</f>
        <v>0</v>
      </c>
      <c r="F857" s="84">
        <f>'DEZ-26'!E44</f>
        <v>0</v>
      </c>
      <c r="G857" s="85">
        <f>'DEZ-26'!F44</f>
        <v>0</v>
      </c>
      <c r="H857" s="85">
        <f t="shared" si="0"/>
        <v>0</v>
      </c>
      <c r="I857" s="83" t="s">
        <v>106</v>
      </c>
      <c r="J857" s="83" t="str">
        <f t="shared" si="1"/>
        <v/>
      </c>
      <c r="K857" s="85">
        <f t="shared" si="2"/>
        <v>0</v>
      </c>
      <c r="L857" s="83" t="str">
        <f t="shared" si="3"/>
        <v/>
      </c>
      <c r="M857" s="83">
        <f>'DEZ-26'!H44</f>
        <v>0</v>
      </c>
      <c r="N857" s="92" t="str">
        <f ca="1">IF(BD!$C857="","",IF(AND(TODAY()&gt;BD!$C857,OR(BD!$D857="PENDENTE",BD!$D857="")),"VENCIDO",""))</f>
        <v/>
      </c>
      <c r="O857" s="82" t="str">
        <f ca="1">IF(N857 = "VENCIDO",BD!$B857,"")</f>
        <v/>
      </c>
      <c r="P857" s="82" t="str">
        <f ca="1">IF(N857 = "VENCIDO",BD!$C857,"")</f>
        <v/>
      </c>
      <c r="Q857" s="83" t="str">
        <f ca="1">IF(N857 = "VENCIDO",BD!$E857,"")</f>
        <v/>
      </c>
      <c r="R857" s="83" t="str">
        <f ca="1">IF(N857 = "VENCIDO",BD!$F857,"")</f>
        <v/>
      </c>
      <c r="S857" s="85" t="str">
        <f ca="1">IF(N857 = "VENCIDO",BD!$G857,"")</f>
        <v/>
      </c>
      <c r="T857" s="83" t="str">
        <f ca="1">IF(AND(TODAY()&gt;BD!$C857, OR(BD!$D857="PENDENTE", BD!$D857="")), TODAY()-BD!$C857, "")</f>
        <v/>
      </c>
    </row>
    <row r="858" spans="1:20" ht="14.25" customHeight="1" x14ac:dyDescent="0.35">
      <c r="A858" s="32"/>
      <c r="B858" s="82">
        <f>'DEZ-26'!A45</f>
        <v>0</v>
      </c>
      <c r="C858" s="82">
        <f>'DEZ-26'!B45</f>
        <v>0</v>
      </c>
      <c r="D858" s="82">
        <f>'DEZ-26'!C45</f>
        <v>0</v>
      </c>
      <c r="E858" s="83">
        <f>'DEZ-26'!D45</f>
        <v>0</v>
      </c>
      <c r="F858" s="84">
        <f>'DEZ-26'!E45</f>
        <v>0</v>
      </c>
      <c r="G858" s="85">
        <f>'DEZ-26'!F45</f>
        <v>0</v>
      </c>
      <c r="H858" s="85">
        <f t="shared" si="0"/>
        <v>0</v>
      </c>
      <c r="I858" s="83" t="s">
        <v>106</v>
      </c>
      <c r="J858" s="83" t="str">
        <f t="shared" si="1"/>
        <v/>
      </c>
      <c r="K858" s="85">
        <f t="shared" si="2"/>
        <v>0</v>
      </c>
      <c r="L858" s="83" t="str">
        <f t="shared" si="3"/>
        <v/>
      </c>
      <c r="M858" s="83">
        <f>'DEZ-26'!H45</f>
        <v>0</v>
      </c>
      <c r="N858" s="92" t="str">
        <f ca="1">IF(BD!$C858="","",IF(AND(TODAY()&gt;BD!$C858,OR(BD!$D858="PENDENTE",BD!$D858="")),"VENCIDO",""))</f>
        <v/>
      </c>
      <c r="O858" s="82" t="str">
        <f ca="1">IF(N858 = "VENCIDO",BD!$B858,"")</f>
        <v/>
      </c>
      <c r="P858" s="82" t="str">
        <f ca="1">IF(N858 = "VENCIDO",BD!$C858,"")</f>
        <v/>
      </c>
      <c r="Q858" s="83" t="str">
        <f ca="1">IF(N858 = "VENCIDO",BD!$E858,"")</f>
        <v/>
      </c>
      <c r="R858" s="83" t="str">
        <f ca="1">IF(N858 = "VENCIDO",BD!$F858,"")</f>
        <v/>
      </c>
      <c r="S858" s="85" t="str">
        <f ca="1">IF(N858 = "VENCIDO",BD!$G858,"")</f>
        <v/>
      </c>
      <c r="T858" s="83" t="str">
        <f ca="1">IF(AND(TODAY()&gt;BD!$C858, OR(BD!$D858="PENDENTE", BD!$D858="")), TODAY()-BD!$C858, "")</f>
        <v/>
      </c>
    </row>
    <row r="859" spans="1:20" ht="14.25" customHeight="1" x14ac:dyDescent="0.35">
      <c r="A859" s="32"/>
      <c r="B859" s="82">
        <f>'DEZ-26'!A46</f>
        <v>0</v>
      </c>
      <c r="C859" s="82">
        <f>'DEZ-26'!B46</f>
        <v>0</v>
      </c>
      <c r="D859" s="82">
        <f>'DEZ-26'!C46</f>
        <v>0</v>
      </c>
      <c r="E859" s="83">
        <f>'DEZ-26'!D46</f>
        <v>0</v>
      </c>
      <c r="F859" s="84">
        <f>'DEZ-26'!E46</f>
        <v>0</v>
      </c>
      <c r="G859" s="85">
        <f>'DEZ-26'!F46</f>
        <v>0</v>
      </c>
      <c r="H859" s="85">
        <f t="shared" si="0"/>
        <v>0</v>
      </c>
      <c r="I859" s="83" t="s">
        <v>106</v>
      </c>
      <c r="J859" s="83" t="str">
        <f t="shared" si="1"/>
        <v/>
      </c>
      <c r="K859" s="85">
        <f t="shared" si="2"/>
        <v>0</v>
      </c>
      <c r="L859" s="83" t="str">
        <f t="shared" si="3"/>
        <v/>
      </c>
      <c r="M859" s="83">
        <f>'DEZ-26'!H46</f>
        <v>0</v>
      </c>
      <c r="N859" s="92" t="str">
        <f ca="1">IF(BD!$C859="","",IF(AND(TODAY()&gt;BD!$C859,OR(BD!$D859="PENDENTE",BD!$D859="")),"VENCIDO",""))</f>
        <v/>
      </c>
      <c r="O859" s="82" t="str">
        <f ca="1">IF(N859 = "VENCIDO",BD!$B859,"")</f>
        <v/>
      </c>
      <c r="P859" s="82" t="str">
        <f ca="1">IF(N859 = "VENCIDO",BD!$C859,"")</f>
        <v/>
      </c>
      <c r="Q859" s="83" t="str">
        <f ca="1">IF(N859 = "VENCIDO",BD!$E859,"")</f>
        <v/>
      </c>
      <c r="R859" s="83" t="str">
        <f ca="1">IF(N859 = "VENCIDO",BD!$F859,"")</f>
        <v/>
      </c>
      <c r="S859" s="85" t="str">
        <f ca="1">IF(N859 = "VENCIDO",BD!$G859,"")</f>
        <v/>
      </c>
      <c r="T859" s="83" t="str">
        <f ca="1">IF(AND(TODAY()&gt;BD!$C859, OR(BD!$D859="PENDENTE", BD!$D859="")), TODAY()-BD!$C859, "")</f>
        <v/>
      </c>
    </row>
    <row r="860" spans="1:20" ht="14.25" customHeight="1" x14ac:dyDescent="0.35">
      <c r="A860" s="32"/>
      <c r="B860" s="82">
        <f>'DEZ-26'!A47</f>
        <v>0</v>
      </c>
      <c r="C860" s="82">
        <f>'DEZ-26'!B47</f>
        <v>0</v>
      </c>
      <c r="D860" s="82">
        <f>'DEZ-26'!C47</f>
        <v>0</v>
      </c>
      <c r="E860" s="83">
        <f>'DEZ-26'!D47</f>
        <v>0</v>
      </c>
      <c r="F860" s="84">
        <f>'DEZ-26'!E47</f>
        <v>0</v>
      </c>
      <c r="G860" s="85">
        <f>'DEZ-26'!F47</f>
        <v>0</v>
      </c>
      <c r="H860" s="85">
        <f t="shared" si="0"/>
        <v>0</v>
      </c>
      <c r="I860" s="83" t="s">
        <v>106</v>
      </c>
      <c r="J860" s="83" t="str">
        <f t="shared" si="1"/>
        <v/>
      </c>
      <c r="K860" s="85">
        <f t="shared" si="2"/>
        <v>0</v>
      </c>
      <c r="L860" s="83" t="str">
        <f t="shared" si="3"/>
        <v/>
      </c>
      <c r="M860" s="83">
        <f>'DEZ-26'!H47</f>
        <v>0</v>
      </c>
      <c r="N860" s="92" t="str">
        <f ca="1">IF(BD!$C860="","",IF(AND(TODAY()&gt;BD!$C860,OR(BD!$D860="PENDENTE",BD!$D860="")),"VENCIDO",""))</f>
        <v/>
      </c>
      <c r="O860" s="82" t="str">
        <f ca="1">IF(N860 = "VENCIDO",BD!$B860,"")</f>
        <v/>
      </c>
      <c r="P860" s="82" t="str">
        <f ca="1">IF(N860 = "VENCIDO",BD!$C860,"")</f>
        <v/>
      </c>
      <c r="Q860" s="83" t="str">
        <f ca="1">IF(N860 = "VENCIDO",BD!$E860,"")</f>
        <v/>
      </c>
      <c r="R860" s="83" t="str">
        <f ca="1">IF(N860 = "VENCIDO",BD!$F860,"")</f>
        <v/>
      </c>
      <c r="S860" s="85" t="str">
        <f ca="1">IF(N860 = "VENCIDO",BD!$G860,"")</f>
        <v/>
      </c>
      <c r="T860" s="83" t="str">
        <f ca="1">IF(AND(TODAY()&gt;BD!$C860, OR(BD!$D860="PENDENTE", BD!$D860="")), TODAY()-BD!$C860, "")</f>
        <v/>
      </c>
    </row>
    <row r="861" spans="1:20" ht="14.25" customHeight="1" x14ac:dyDescent="0.35">
      <c r="A861" s="32"/>
      <c r="B861" s="82">
        <f>'DEZ-26'!A48</f>
        <v>0</v>
      </c>
      <c r="C861" s="82">
        <f>'DEZ-26'!B48</f>
        <v>0</v>
      </c>
      <c r="D861" s="82">
        <f>'DEZ-26'!C48</f>
        <v>0</v>
      </c>
      <c r="E861" s="83">
        <f>'DEZ-26'!D48</f>
        <v>0</v>
      </c>
      <c r="F861" s="84">
        <f>'DEZ-26'!E48</f>
        <v>0</v>
      </c>
      <c r="G861" s="85">
        <f>'DEZ-26'!F48</f>
        <v>0</v>
      </c>
      <c r="H861" s="85">
        <f t="shared" si="0"/>
        <v>0</v>
      </c>
      <c r="I861" s="83" t="s">
        <v>106</v>
      </c>
      <c r="J861" s="83" t="str">
        <f t="shared" si="1"/>
        <v/>
      </c>
      <c r="K861" s="85">
        <f t="shared" si="2"/>
        <v>0</v>
      </c>
      <c r="L861" s="83" t="str">
        <f t="shared" si="3"/>
        <v/>
      </c>
      <c r="M861" s="83">
        <f>'DEZ-26'!H48</f>
        <v>0</v>
      </c>
      <c r="N861" s="92" t="str">
        <f ca="1">IF(BD!$C861="","",IF(AND(TODAY()&gt;BD!$C861,OR(BD!$D861="PENDENTE",BD!$D861="")),"VENCIDO",""))</f>
        <v/>
      </c>
      <c r="O861" s="82" t="str">
        <f ca="1">IF(N861 = "VENCIDO",BD!$B861,"")</f>
        <v/>
      </c>
      <c r="P861" s="82" t="str">
        <f ca="1">IF(N861 = "VENCIDO",BD!$C861,"")</f>
        <v/>
      </c>
      <c r="Q861" s="83" t="str">
        <f ca="1">IF(N861 = "VENCIDO",BD!$E861,"")</f>
        <v/>
      </c>
      <c r="R861" s="83" t="str">
        <f ca="1">IF(N861 = "VENCIDO",BD!$F861,"")</f>
        <v/>
      </c>
      <c r="S861" s="85" t="str">
        <f ca="1">IF(N861 = "VENCIDO",BD!$G861,"")</f>
        <v/>
      </c>
      <c r="T861" s="83" t="str">
        <f ca="1">IF(AND(TODAY()&gt;BD!$C861, OR(BD!$D861="PENDENTE", BD!$D861="")), TODAY()-BD!$C861, "")</f>
        <v/>
      </c>
    </row>
    <row r="862" spans="1:20" ht="14.25" customHeight="1" x14ac:dyDescent="0.35">
      <c r="A862" s="32"/>
      <c r="B862" s="82">
        <f>'DEZ-26'!A49</f>
        <v>0</v>
      </c>
      <c r="C862" s="82">
        <f>'DEZ-26'!B49</f>
        <v>0</v>
      </c>
      <c r="D862" s="82">
        <f>'DEZ-26'!C49</f>
        <v>0</v>
      </c>
      <c r="E862" s="83">
        <f>'DEZ-26'!D49</f>
        <v>0</v>
      </c>
      <c r="F862" s="84">
        <f>'DEZ-26'!E49</f>
        <v>0</v>
      </c>
      <c r="G862" s="85">
        <f>'DEZ-26'!F49</f>
        <v>0</v>
      </c>
      <c r="H862" s="85">
        <f t="shared" si="0"/>
        <v>0</v>
      </c>
      <c r="I862" s="83" t="s">
        <v>106</v>
      </c>
      <c r="J862" s="83" t="str">
        <f t="shared" si="1"/>
        <v/>
      </c>
      <c r="K862" s="85">
        <f t="shared" si="2"/>
        <v>0</v>
      </c>
      <c r="L862" s="83" t="str">
        <f t="shared" si="3"/>
        <v/>
      </c>
      <c r="M862" s="83">
        <f>'DEZ-26'!H49</f>
        <v>0</v>
      </c>
      <c r="N862" s="92" t="str">
        <f ca="1">IF(BD!$C862="","",IF(AND(TODAY()&gt;BD!$C862,OR(BD!$D862="PENDENTE",BD!$D862="")),"VENCIDO",""))</f>
        <v/>
      </c>
      <c r="O862" s="82" t="str">
        <f ca="1">IF(N862 = "VENCIDO",BD!$B862,"")</f>
        <v/>
      </c>
      <c r="P862" s="82" t="str">
        <f ca="1">IF(N862 = "VENCIDO",BD!$C862,"")</f>
        <v/>
      </c>
      <c r="Q862" s="83" t="str">
        <f ca="1">IF(N862 = "VENCIDO",BD!$E862,"")</f>
        <v/>
      </c>
      <c r="R862" s="83" t="str">
        <f ca="1">IF(N862 = "VENCIDO",BD!$F862,"")</f>
        <v/>
      </c>
      <c r="S862" s="85" t="str">
        <f ca="1">IF(N862 = "VENCIDO",BD!$G862,"")</f>
        <v/>
      </c>
      <c r="T862" s="83" t="str">
        <f ca="1">IF(AND(TODAY()&gt;BD!$C862, OR(BD!$D862="PENDENTE", BD!$D862="")), TODAY()-BD!$C862, "")</f>
        <v/>
      </c>
    </row>
    <row r="863" spans="1:20" ht="14.25" customHeight="1" x14ac:dyDescent="0.35">
      <c r="A863" s="32"/>
      <c r="B863" s="82">
        <f>'DEZ-26'!A50</f>
        <v>0</v>
      </c>
      <c r="C863" s="82">
        <f>'DEZ-26'!B50</f>
        <v>0</v>
      </c>
      <c r="D863" s="82">
        <f>'DEZ-26'!C50</f>
        <v>0</v>
      </c>
      <c r="E863" s="83">
        <f>'DEZ-26'!D50</f>
        <v>0</v>
      </c>
      <c r="F863" s="84">
        <f>'DEZ-26'!E50</f>
        <v>0</v>
      </c>
      <c r="G863" s="85">
        <f>'DEZ-26'!F50</f>
        <v>0</v>
      </c>
      <c r="H863" s="85">
        <f t="shared" si="0"/>
        <v>0</v>
      </c>
      <c r="I863" s="83" t="s">
        <v>106</v>
      </c>
      <c r="J863" s="83" t="str">
        <f t="shared" si="1"/>
        <v/>
      </c>
      <c r="K863" s="85">
        <f t="shared" si="2"/>
        <v>0</v>
      </c>
      <c r="L863" s="83" t="str">
        <f t="shared" si="3"/>
        <v/>
      </c>
      <c r="M863" s="83">
        <f>'DEZ-26'!H50</f>
        <v>0</v>
      </c>
      <c r="N863" s="92" t="str">
        <f ca="1">IF(BD!$C863="","",IF(AND(TODAY()&gt;BD!$C863,OR(BD!$D863="PENDENTE",BD!$D863="")),"VENCIDO",""))</f>
        <v/>
      </c>
      <c r="O863" s="82" t="str">
        <f ca="1">IF(N863 = "VENCIDO",BD!$B863,"")</f>
        <v/>
      </c>
      <c r="P863" s="82" t="str">
        <f ca="1">IF(N863 = "VENCIDO",BD!$C863,"")</f>
        <v/>
      </c>
      <c r="Q863" s="83" t="str">
        <f ca="1">IF(N863 = "VENCIDO",BD!$E863,"")</f>
        <v/>
      </c>
      <c r="R863" s="83" t="str">
        <f ca="1">IF(N863 = "VENCIDO",BD!$F863,"")</f>
        <v/>
      </c>
      <c r="S863" s="85" t="str">
        <f ca="1">IF(N863 = "VENCIDO",BD!$G863,"")</f>
        <v/>
      </c>
      <c r="T863" s="83" t="str">
        <f ca="1">IF(AND(TODAY()&gt;BD!$C863, OR(BD!$D863="PENDENTE", BD!$D863="")), TODAY()-BD!$C863, "")</f>
        <v/>
      </c>
    </row>
    <row r="864" spans="1:20" ht="14.25" customHeight="1" x14ac:dyDescent="0.35">
      <c r="A864" s="32"/>
      <c r="B864" s="82">
        <f>'DEZ-26'!A51</f>
        <v>0</v>
      </c>
      <c r="C864" s="82">
        <f>'DEZ-26'!B51</f>
        <v>0</v>
      </c>
      <c r="D864" s="82">
        <f>'DEZ-26'!C51</f>
        <v>0</v>
      </c>
      <c r="E864" s="83">
        <f>'DEZ-26'!D51</f>
        <v>0</v>
      </c>
      <c r="F864" s="84">
        <f>'DEZ-26'!E51</f>
        <v>0</v>
      </c>
      <c r="G864" s="85">
        <f>'DEZ-26'!F51</f>
        <v>0</v>
      </c>
      <c r="H864" s="85">
        <f t="shared" si="0"/>
        <v>0</v>
      </c>
      <c r="I864" s="83" t="s">
        <v>106</v>
      </c>
      <c r="J864" s="83" t="str">
        <f t="shared" si="1"/>
        <v/>
      </c>
      <c r="K864" s="85">
        <f t="shared" si="2"/>
        <v>0</v>
      </c>
      <c r="L864" s="83" t="str">
        <f t="shared" si="3"/>
        <v/>
      </c>
      <c r="M864" s="83">
        <f>'DEZ-26'!H51</f>
        <v>0</v>
      </c>
      <c r="N864" s="92" t="str">
        <f ca="1">IF(BD!$C864="","",IF(AND(TODAY()&gt;BD!$C864,OR(BD!$D864="PENDENTE",BD!$D864="")),"VENCIDO",""))</f>
        <v/>
      </c>
      <c r="O864" s="82" t="str">
        <f ca="1">IF(N864 = "VENCIDO",BD!$B864,"")</f>
        <v/>
      </c>
      <c r="P864" s="82" t="str">
        <f ca="1">IF(N864 = "VENCIDO",BD!$C864,"")</f>
        <v/>
      </c>
      <c r="Q864" s="83" t="str">
        <f ca="1">IF(N864 = "VENCIDO",BD!$E864,"")</f>
        <v/>
      </c>
      <c r="R864" s="83" t="str">
        <f ca="1">IF(N864 = "VENCIDO",BD!$F864,"")</f>
        <v/>
      </c>
      <c r="S864" s="85" t="str">
        <f ca="1">IF(N864 = "VENCIDO",BD!$G864,"")</f>
        <v/>
      </c>
      <c r="T864" s="83" t="str">
        <f ca="1">IF(AND(TODAY()&gt;BD!$C864, OR(BD!$D864="PENDENTE", BD!$D864="")), TODAY()-BD!$C864, "")</f>
        <v/>
      </c>
    </row>
    <row r="865" spans="1:20" ht="14.25" customHeight="1" x14ac:dyDescent="0.35">
      <c r="A865" s="32"/>
      <c r="B865" s="82">
        <f>'DEZ-26'!A52</f>
        <v>0</v>
      </c>
      <c r="C865" s="82">
        <f>'DEZ-26'!B52</f>
        <v>0</v>
      </c>
      <c r="D865" s="82">
        <f>'DEZ-26'!C52</f>
        <v>0</v>
      </c>
      <c r="E865" s="83">
        <f>'DEZ-26'!D52</f>
        <v>0</v>
      </c>
      <c r="F865" s="84">
        <f>'DEZ-26'!E52</f>
        <v>0</v>
      </c>
      <c r="G865" s="85">
        <f>'DEZ-26'!F52</f>
        <v>0</v>
      </c>
      <c r="H865" s="85">
        <f t="shared" si="0"/>
        <v>0</v>
      </c>
      <c r="I865" s="83" t="s">
        <v>106</v>
      </c>
      <c r="J865" s="83" t="str">
        <f t="shared" si="1"/>
        <v/>
      </c>
      <c r="K865" s="85">
        <f t="shared" si="2"/>
        <v>0</v>
      </c>
      <c r="L865" s="83" t="str">
        <f t="shared" si="3"/>
        <v/>
      </c>
      <c r="M865" s="83">
        <f>'DEZ-26'!H52</f>
        <v>0</v>
      </c>
      <c r="N865" s="92" t="str">
        <f ca="1">IF(BD!$C865="","",IF(AND(TODAY()&gt;BD!$C865,OR(BD!$D865="PENDENTE",BD!$D865="")),"VENCIDO",""))</f>
        <v/>
      </c>
      <c r="O865" s="82" t="str">
        <f ca="1">IF(N865 = "VENCIDO",BD!$B865,"")</f>
        <v/>
      </c>
      <c r="P865" s="82" t="str">
        <f ca="1">IF(N865 = "VENCIDO",BD!$C865,"")</f>
        <v/>
      </c>
      <c r="Q865" s="83" t="str">
        <f ca="1">IF(N865 = "VENCIDO",BD!$E865,"")</f>
        <v/>
      </c>
      <c r="R865" s="83" t="str">
        <f ca="1">IF(N865 = "VENCIDO",BD!$F865,"")</f>
        <v/>
      </c>
      <c r="S865" s="85" t="str">
        <f ca="1">IF(N865 = "VENCIDO",BD!$G865,"")</f>
        <v/>
      </c>
      <c r="T865" s="83" t="str">
        <f ca="1">IF(AND(TODAY()&gt;BD!$C865, OR(BD!$D865="PENDENTE", BD!$D865="")), TODAY()-BD!$C865, "")</f>
        <v/>
      </c>
    </row>
    <row r="866" spans="1:20" ht="14.25" customHeight="1" x14ac:dyDescent="0.35">
      <c r="A866" s="32"/>
      <c r="B866" s="82">
        <f>'DEZ-26'!A53</f>
        <v>0</v>
      </c>
      <c r="C866" s="82">
        <f>'DEZ-26'!B53</f>
        <v>0</v>
      </c>
      <c r="D866" s="82">
        <f>'DEZ-26'!C53</f>
        <v>0</v>
      </c>
      <c r="E866" s="83">
        <f>'DEZ-26'!D53</f>
        <v>0</v>
      </c>
      <c r="F866" s="84">
        <f>'DEZ-26'!E53</f>
        <v>0</v>
      </c>
      <c r="G866" s="85">
        <f>'DEZ-26'!F53</f>
        <v>0</v>
      </c>
      <c r="H866" s="85">
        <f t="shared" si="0"/>
        <v>0</v>
      </c>
      <c r="I866" s="83" t="s">
        <v>106</v>
      </c>
      <c r="J866" s="83" t="str">
        <f t="shared" si="1"/>
        <v/>
      </c>
      <c r="K866" s="85">
        <f t="shared" si="2"/>
        <v>0</v>
      </c>
      <c r="L866" s="83" t="str">
        <f t="shared" si="3"/>
        <v/>
      </c>
      <c r="M866" s="83">
        <f>'DEZ-26'!H53</f>
        <v>0</v>
      </c>
      <c r="N866" s="92" t="str">
        <f ca="1">IF(BD!$C866="","",IF(AND(TODAY()&gt;BD!$C866,OR(BD!$D866="PENDENTE",BD!$D866="")),"VENCIDO",""))</f>
        <v/>
      </c>
      <c r="O866" s="82" t="str">
        <f ca="1">IF(N866 = "VENCIDO",BD!$B866,"")</f>
        <v/>
      </c>
      <c r="P866" s="82" t="str">
        <f ca="1">IF(N866 = "VENCIDO",BD!$C866,"")</f>
        <v/>
      </c>
      <c r="Q866" s="83" t="str">
        <f ca="1">IF(N866 = "VENCIDO",BD!$E866,"")</f>
        <v/>
      </c>
      <c r="R866" s="83" t="str">
        <f ca="1">IF(N866 = "VENCIDO",BD!$F866,"")</f>
        <v/>
      </c>
      <c r="S866" s="85" t="str">
        <f ca="1">IF(N866 = "VENCIDO",BD!$G866,"")</f>
        <v/>
      </c>
      <c r="T866" s="83" t="str">
        <f ca="1">IF(AND(TODAY()&gt;BD!$C866, OR(BD!$D866="PENDENTE", BD!$D866="")), TODAY()-BD!$C866, "")</f>
        <v/>
      </c>
    </row>
    <row r="867" spans="1:20" ht="14.25" customHeight="1" x14ac:dyDescent="0.35">
      <c r="A867" s="32"/>
      <c r="B867" s="82">
        <f>'DEZ-26'!A54</f>
        <v>0</v>
      </c>
      <c r="C867" s="82">
        <f>'DEZ-26'!B54</f>
        <v>0</v>
      </c>
      <c r="D867" s="82">
        <f>'DEZ-26'!C54</f>
        <v>0</v>
      </c>
      <c r="E867" s="83">
        <f>'DEZ-26'!D54</f>
        <v>0</v>
      </c>
      <c r="F867" s="84">
        <f>'DEZ-26'!E54</f>
        <v>0</v>
      </c>
      <c r="G867" s="85">
        <f>'DEZ-26'!F54</f>
        <v>0</v>
      </c>
      <c r="H867" s="85">
        <f t="shared" si="0"/>
        <v>0</v>
      </c>
      <c r="I867" s="83" t="s">
        <v>106</v>
      </c>
      <c r="J867" s="83" t="str">
        <f t="shared" si="1"/>
        <v/>
      </c>
      <c r="K867" s="85">
        <f t="shared" si="2"/>
        <v>0</v>
      </c>
      <c r="L867" s="83" t="str">
        <f t="shared" si="3"/>
        <v/>
      </c>
      <c r="M867" s="83">
        <f>'DEZ-26'!H54</f>
        <v>0</v>
      </c>
      <c r="N867" s="92" t="str">
        <f ca="1">IF(BD!$C867="","",IF(AND(TODAY()&gt;BD!$C867,OR(BD!$D867="PENDENTE",BD!$D867="")),"VENCIDO",""))</f>
        <v/>
      </c>
      <c r="O867" s="82" t="str">
        <f ca="1">IF(N867 = "VENCIDO",BD!$B867,"")</f>
        <v/>
      </c>
      <c r="P867" s="82" t="str">
        <f ca="1">IF(N867 = "VENCIDO",BD!$C867,"")</f>
        <v/>
      </c>
      <c r="Q867" s="83" t="str">
        <f ca="1">IF(N867 = "VENCIDO",BD!$E867,"")</f>
        <v/>
      </c>
      <c r="R867" s="83" t="str">
        <f ca="1">IF(N867 = "VENCIDO",BD!$F867,"")</f>
        <v/>
      </c>
      <c r="S867" s="85" t="str">
        <f ca="1">IF(N867 = "VENCIDO",BD!$G867,"")</f>
        <v/>
      </c>
      <c r="T867" s="83" t="str">
        <f ca="1">IF(AND(TODAY()&gt;BD!$C867, OR(BD!$D867="PENDENTE", BD!$D867="")), TODAY()-BD!$C867, "")</f>
        <v/>
      </c>
    </row>
    <row r="868" spans="1:20" ht="14.25" customHeight="1" x14ac:dyDescent="0.35">
      <c r="A868" s="32"/>
      <c r="B868" s="82">
        <f>'DEZ-26'!A55</f>
        <v>0</v>
      </c>
      <c r="C868" s="82">
        <f>'DEZ-26'!B55</f>
        <v>0</v>
      </c>
      <c r="D868" s="82">
        <f>'DEZ-26'!C55</f>
        <v>0</v>
      </c>
      <c r="E868" s="83">
        <f>'DEZ-26'!D55</f>
        <v>0</v>
      </c>
      <c r="F868" s="84">
        <f>'DEZ-26'!E55</f>
        <v>0</v>
      </c>
      <c r="G868" s="85">
        <f>'DEZ-26'!F55</f>
        <v>0</v>
      </c>
      <c r="H868" s="85">
        <f t="shared" si="0"/>
        <v>0</v>
      </c>
      <c r="I868" s="83" t="s">
        <v>106</v>
      </c>
      <c r="J868" s="83" t="str">
        <f t="shared" si="1"/>
        <v/>
      </c>
      <c r="K868" s="85">
        <f t="shared" si="2"/>
        <v>0</v>
      </c>
      <c r="L868" s="83" t="str">
        <f t="shared" si="3"/>
        <v/>
      </c>
      <c r="M868" s="83">
        <f>'DEZ-26'!H55</f>
        <v>0</v>
      </c>
      <c r="N868" s="92" t="str">
        <f ca="1">IF(BD!$C868="","",IF(AND(TODAY()&gt;BD!$C868,OR(BD!$D868="PENDENTE",BD!$D868="")),"VENCIDO",""))</f>
        <v/>
      </c>
      <c r="O868" s="82" t="str">
        <f ca="1">IF(N868 = "VENCIDO",BD!$B868,"")</f>
        <v/>
      </c>
      <c r="P868" s="82" t="str">
        <f ca="1">IF(N868 = "VENCIDO",BD!$C868,"")</f>
        <v/>
      </c>
      <c r="Q868" s="83" t="str">
        <f ca="1">IF(N868 = "VENCIDO",BD!$E868,"")</f>
        <v/>
      </c>
      <c r="R868" s="83" t="str">
        <f ca="1">IF(N868 = "VENCIDO",BD!$F868,"")</f>
        <v/>
      </c>
      <c r="S868" s="85" t="str">
        <f ca="1">IF(N868 = "VENCIDO",BD!$G868,"")</f>
        <v/>
      </c>
      <c r="T868" s="83" t="str">
        <f ca="1">IF(AND(TODAY()&gt;BD!$C868, OR(BD!$D868="PENDENTE", BD!$D868="")), TODAY()-BD!$C868, "")</f>
        <v/>
      </c>
    </row>
    <row r="869" spans="1:20" ht="14.25" customHeight="1" x14ac:dyDescent="0.35">
      <c r="A869" s="32"/>
      <c r="B869" s="82">
        <f>'DEZ-26'!A56</f>
        <v>0</v>
      </c>
      <c r="C869" s="82">
        <f>'DEZ-26'!B56</f>
        <v>0</v>
      </c>
      <c r="D869" s="82">
        <f>'DEZ-26'!C56</f>
        <v>0</v>
      </c>
      <c r="E869" s="83">
        <f>'DEZ-26'!D56</f>
        <v>0</v>
      </c>
      <c r="F869" s="84">
        <f>'DEZ-26'!E56</f>
        <v>0</v>
      </c>
      <c r="G869" s="85">
        <f>'DEZ-26'!F56</f>
        <v>0</v>
      </c>
      <c r="H869" s="85">
        <f t="shared" si="0"/>
        <v>0</v>
      </c>
      <c r="I869" s="83" t="s">
        <v>106</v>
      </c>
      <c r="J869" s="83" t="str">
        <f t="shared" si="1"/>
        <v/>
      </c>
      <c r="K869" s="85">
        <f t="shared" si="2"/>
        <v>0</v>
      </c>
      <c r="L869" s="83" t="str">
        <f t="shared" si="3"/>
        <v/>
      </c>
      <c r="M869" s="83">
        <f>'DEZ-26'!H56</f>
        <v>0</v>
      </c>
      <c r="N869" s="92" t="str">
        <f ca="1">IF(BD!$C869="","",IF(AND(TODAY()&gt;BD!$C869,OR(BD!$D869="PENDENTE",BD!$D869="")),"VENCIDO",""))</f>
        <v/>
      </c>
      <c r="O869" s="82" t="str">
        <f ca="1">IF(N869 = "VENCIDO",BD!$B869,"")</f>
        <v/>
      </c>
      <c r="P869" s="82" t="str">
        <f ca="1">IF(N869 = "VENCIDO",BD!$C869,"")</f>
        <v/>
      </c>
      <c r="Q869" s="83" t="str">
        <f ca="1">IF(N869 = "VENCIDO",BD!$E869,"")</f>
        <v/>
      </c>
      <c r="R869" s="83" t="str">
        <f ca="1">IF(N869 = "VENCIDO",BD!$F869,"")</f>
        <v/>
      </c>
      <c r="S869" s="85" t="str">
        <f ca="1">IF(N869 = "VENCIDO",BD!$G869,"")</f>
        <v/>
      </c>
      <c r="T869" s="83" t="str">
        <f ca="1">IF(AND(TODAY()&gt;BD!$C869, OR(BD!$D869="PENDENTE", BD!$D869="")), TODAY()-BD!$C869, "")</f>
        <v/>
      </c>
    </row>
    <row r="870" spans="1:20" ht="14.25" customHeight="1" x14ac:dyDescent="0.35">
      <c r="A870" s="32"/>
      <c r="B870" s="82">
        <f>'DEZ-26'!A57</f>
        <v>0</v>
      </c>
      <c r="C870" s="82">
        <f>'DEZ-26'!B57</f>
        <v>0</v>
      </c>
      <c r="D870" s="82">
        <f>'DEZ-26'!C57</f>
        <v>0</v>
      </c>
      <c r="E870" s="83">
        <f>'DEZ-26'!D57</f>
        <v>0</v>
      </c>
      <c r="F870" s="84">
        <f>'DEZ-26'!E57</f>
        <v>0</v>
      </c>
      <c r="G870" s="85">
        <f>'DEZ-26'!F57</f>
        <v>0</v>
      </c>
      <c r="H870" s="85">
        <f t="shared" si="0"/>
        <v>0</v>
      </c>
      <c r="I870" s="83" t="s">
        <v>106</v>
      </c>
      <c r="J870" s="83" t="str">
        <f t="shared" si="1"/>
        <v/>
      </c>
      <c r="K870" s="85">
        <f t="shared" si="2"/>
        <v>0</v>
      </c>
      <c r="L870" s="83" t="str">
        <f t="shared" si="3"/>
        <v/>
      </c>
      <c r="M870" s="83">
        <f>'DEZ-26'!H57</f>
        <v>0</v>
      </c>
      <c r="N870" s="92" t="str">
        <f ca="1">IF(BD!$C870="","",IF(AND(TODAY()&gt;BD!$C870,OR(BD!$D870="PENDENTE",BD!$D870="")),"VENCIDO",""))</f>
        <v/>
      </c>
      <c r="O870" s="82" t="str">
        <f ca="1">IF(N870 = "VENCIDO",BD!$B870,"")</f>
        <v/>
      </c>
      <c r="P870" s="82" t="str">
        <f ca="1">IF(N870 = "VENCIDO",BD!$C870,"")</f>
        <v/>
      </c>
      <c r="Q870" s="83" t="str">
        <f ca="1">IF(N870 = "VENCIDO",BD!$E870,"")</f>
        <v/>
      </c>
      <c r="R870" s="83" t="str">
        <f ca="1">IF(N870 = "VENCIDO",BD!$F870,"")</f>
        <v/>
      </c>
      <c r="S870" s="85" t="str">
        <f ca="1">IF(N870 = "VENCIDO",BD!$G870,"")</f>
        <v/>
      </c>
      <c r="T870" s="83" t="str">
        <f ca="1">IF(AND(TODAY()&gt;BD!$C870, OR(BD!$D870="PENDENTE", BD!$D870="")), TODAY()-BD!$C870, "")</f>
        <v/>
      </c>
    </row>
    <row r="871" spans="1:20" ht="14.25" customHeight="1" x14ac:dyDescent="0.35">
      <c r="A871" s="32"/>
      <c r="B871" s="82">
        <f>'DEZ-26'!A58</f>
        <v>0</v>
      </c>
      <c r="C871" s="82">
        <f>'DEZ-26'!B58</f>
        <v>0</v>
      </c>
      <c r="D871" s="82">
        <f>'DEZ-26'!C58</f>
        <v>0</v>
      </c>
      <c r="E871" s="83">
        <f>'DEZ-26'!D58</f>
        <v>0</v>
      </c>
      <c r="F871" s="84">
        <f>'DEZ-26'!E58</f>
        <v>0</v>
      </c>
      <c r="G871" s="85">
        <f>'DEZ-26'!F58</f>
        <v>0</v>
      </c>
      <c r="H871" s="85">
        <f t="shared" si="0"/>
        <v>0</v>
      </c>
      <c r="I871" s="83" t="s">
        <v>106</v>
      </c>
      <c r="J871" s="83" t="str">
        <f t="shared" si="1"/>
        <v/>
      </c>
      <c r="K871" s="85">
        <f t="shared" si="2"/>
        <v>0</v>
      </c>
      <c r="L871" s="83" t="str">
        <f t="shared" si="3"/>
        <v/>
      </c>
      <c r="M871" s="83">
        <f>'DEZ-26'!H58</f>
        <v>0</v>
      </c>
      <c r="N871" s="92" t="str">
        <f ca="1">IF(BD!$C871="","",IF(AND(TODAY()&gt;BD!$C871,OR(BD!$D871="PENDENTE",BD!$D871="")),"VENCIDO",""))</f>
        <v/>
      </c>
      <c r="O871" s="82" t="str">
        <f ca="1">IF(N871 = "VENCIDO",BD!$B871,"")</f>
        <v/>
      </c>
      <c r="P871" s="82" t="str">
        <f ca="1">IF(N871 = "VENCIDO",BD!$C871,"")</f>
        <v/>
      </c>
      <c r="Q871" s="83" t="str">
        <f ca="1">IF(N871 = "VENCIDO",BD!$E871,"")</f>
        <v/>
      </c>
      <c r="R871" s="83" t="str">
        <f ca="1">IF(N871 = "VENCIDO",BD!$F871,"")</f>
        <v/>
      </c>
      <c r="S871" s="85" t="str">
        <f ca="1">IF(N871 = "VENCIDO",BD!$G871,"")</f>
        <v/>
      </c>
      <c r="T871" s="83" t="str">
        <f ca="1">IF(AND(TODAY()&gt;BD!$C871, OR(BD!$D871="PENDENTE", BD!$D871="")), TODAY()-BD!$C871, "")</f>
        <v/>
      </c>
    </row>
    <row r="872" spans="1:20" ht="14.25" customHeight="1" x14ac:dyDescent="0.35">
      <c r="A872" s="32"/>
      <c r="B872" s="82">
        <f>'DEZ-26'!A59</f>
        <v>0</v>
      </c>
      <c r="C872" s="82">
        <f>'DEZ-26'!B59</f>
        <v>0</v>
      </c>
      <c r="D872" s="82">
        <f>'DEZ-26'!C59</f>
        <v>0</v>
      </c>
      <c r="E872" s="83">
        <f>'DEZ-26'!D59</f>
        <v>0</v>
      </c>
      <c r="F872" s="84">
        <f>'DEZ-26'!E59</f>
        <v>0</v>
      </c>
      <c r="G872" s="85">
        <f>'DEZ-26'!F59</f>
        <v>0</v>
      </c>
      <c r="H872" s="85">
        <f t="shared" si="0"/>
        <v>0</v>
      </c>
      <c r="I872" s="83" t="s">
        <v>106</v>
      </c>
      <c r="J872" s="83" t="str">
        <f t="shared" si="1"/>
        <v/>
      </c>
      <c r="K872" s="85">
        <f t="shared" si="2"/>
        <v>0</v>
      </c>
      <c r="L872" s="83" t="str">
        <f t="shared" si="3"/>
        <v/>
      </c>
      <c r="M872" s="83">
        <f>'DEZ-26'!H59</f>
        <v>0</v>
      </c>
      <c r="N872" s="92" t="str">
        <f ca="1">IF(BD!$C872="","",IF(AND(TODAY()&gt;BD!$C872,OR(BD!$D872="PENDENTE",BD!$D872="")),"VENCIDO",""))</f>
        <v/>
      </c>
      <c r="O872" s="82" t="str">
        <f ca="1">IF(N872 = "VENCIDO",BD!$B872,"")</f>
        <v/>
      </c>
      <c r="P872" s="82" t="str">
        <f ca="1">IF(N872 = "VENCIDO",BD!$C872,"")</f>
        <v/>
      </c>
      <c r="Q872" s="83" t="str">
        <f ca="1">IF(N872 = "VENCIDO",BD!$E872,"")</f>
        <v/>
      </c>
      <c r="R872" s="83" t="str">
        <f ca="1">IF(N872 = "VENCIDO",BD!$F872,"")</f>
        <v/>
      </c>
      <c r="S872" s="85" t="str">
        <f ca="1">IF(N872 = "VENCIDO",BD!$G872,"")</f>
        <v/>
      </c>
      <c r="T872" s="83" t="str">
        <f ca="1">IF(AND(TODAY()&gt;BD!$C872, OR(BD!$D872="PENDENTE", BD!$D872="")), TODAY()-BD!$C872, "")</f>
        <v/>
      </c>
    </row>
    <row r="873" spans="1:20" ht="14.25" customHeight="1" x14ac:dyDescent="0.35">
      <c r="A873" s="32"/>
      <c r="B873" s="82">
        <f>'DEZ-26'!A60</f>
        <v>0</v>
      </c>
      <c r="C873" s="82">
        <f>'DEZ-26'!B60</f>
        <v>0</v>
      </c>
      <c r="D873" s="82">
        <f>'DEZ-26'!C60</f>
        <v>0</v>
      </c>
      <c r="E873" s="83">
        <f>'DEZ-26'!D60</f>
        <v>0</v>
      </c>
      <c r="F873" s="84">
        <f>'DEZ-26'!E60</f>
        <v>0</v>
      </c>
      <c r="G873" s="85">
        <f>'DEZ-26'!F60</f>
        <v>0</v>
      </c>
      <c r="H873" s="85">
        <f t="shared" si="0"/>
        <v>0</v>
      </c>
      <c r="I873" s="83" t="s">
        <v>106</v>
      </c>
      <c r="J873" s="83" t="str">
        <f t="shared" si="1"/>
        <v/>
      </c>
      <c r="K873" s="85">
        <f t="shared" si="2"/>
        <v>0</v>
      </c>
      <c r="L873" s="83" t="str">
        <f t="shared" si="3"/>
        <v/>
      </c>
      <c r="M873" s="83">
        <f>'DEZ-26'!H60</f>
        <v>0</v>
      </c>
      <c r="N873" s="92" t="str">
        <f ca="1">IF(BD!$C873="","",IF(AND(TODAY()&gt;BD!$C873,OR(BD!$D873="PENDENTE",BD!$D873="")),"VENCIDO",""))</f>
        <v/>
      </c>
      <c r="O873" s="82" t="str">
        <f ca="1">IF(N873 = "VENCIDO",BD!$B873,"")</f>
        <v/>
      </c>
      <c r="P873" s="82" t="str">
        <f ca="1">IF(N873 = "VENCIDO",BD!$C873,"")</f>
        <v/>
      </c>
      <c r="Q873" s="83" t="str">
        <f ca="1">IF(N873 = "VENCIDO",BD!$E873,"")</f>
        <v/>
      </c>
      <c r="R873" s="83" t="str">
        <f ca="1">IF(N873 = "VENCIDO",BD!$F873,"")</f>
        <v/>
      </c>
      <c r="S873" s="85" t="str">
        <f ca="1">IF(N873 = "VENCIDO",BD!$G873,"")</f>
        <v/>
      </c>
      <c r="T873" s="83" t="str">
        <f ca="1">IF(AND(TODAY()&gt;BD!$C873, OR(BD!$D873="PENDENTE", BD!$D873="")), TODAY()-BD!$C873, "")</f>
        <v/>
      </c>
    </row>
    <row r="874" spans="1:20" ht="14.25" customHeight="1" x14ac:dyDescent="0.35">
      <c r="A874" s="32"/>
      <c r="B874" s="82">
        <f>'DEZ-26'!A61</f>
        <v>0</v>
      </c>
      <c r="C874" s="82">
        <f>'DEZ-26'!B61</f>
        <v>0</v>
      </c>
      <c r="D874" s="82">
        <f>'DEZ-26'!C61</f>
        <v>0</v>
      </c>
      <c r="E874" s="83">
        <f>'DEZ-26'!D61</f>
        <v>0</v>
      </c>
      <c r="F874" s="84">
        <f>'DEZ-26'!E61</f>
        <v>0</v>
      </c>
      <c r="G874" s="85">
        <f>'DEZ-26'!F61</f>
        <v>0</v>
      </c>
      <c r="H874" s="85">
        <f t="shared" si="0"/>
        <v>0</v>
      </c>
      <c r="I874" s="83" t="s">
        <v>106</v>
      </c>
      <c r="J874" s="83" t="str">
        <f t="shared" si="1"/>
        <v/>
      </c>
      <c r="K874" s="85">
        <f t="shared" si="2"/>
        <v>0</v>
      </c>
      <c r="L874" s="83" t="str">
        <f t="shared" si="3"/>
        <v/>
      </c>
      <c r="M874" s="83">
        <f>'DEZ-26'!H61</f>
        <v>0</v>
      </c>
      <c r="N874" s="92" t="str">
        <f ca="1">IF(BD!$C874="","",IF(AND(TODAY()&gt;BD!$C874,OR(BD!$D874="PENDENTE",BD!$D874="")),"VENCIDO",""))</f>
        <v/>
      </c>
      <c r="O874" s="82" t="str">
        <f ca="1">IF(N874 = "VENCIDO",BD!$B874,"")</f>
        <v/>
      </c>
      <c r="P874" s="82" t="str">
        <f ca="1">IF(N874 = "VENCIDO",BD!$C874,"")</f>
        <v/>
      </c>
      <c r="Q874" s="83" t="str">
        <f ca="1">IF(N874 = "VENCIDO",BD!$E874,"")</f>
        <v/>
      </c>
      <c r="R874" s="83" t="str">
        <f ca="1">IF(N874 = "VENCIDO",BD!$F874,"")</f>
        <v/>
      </c>
      <c r="S874" s="85" t="str">
        <f ca="1">IF(N874 = "VENCIDO",BD!$G874,"")</f>
        <v/>
      </c>
      <c r="T874" s="83" t="str">
        <f ca="1">IF(AND(TODAY()&gt;BD!$C874, OR(BD!$D874="PENDENTE", BD!$D874="")), TODAY()-BD!$C874, "")</f>
        <v/>
      </c>
    </row>
    <row r="875" spans="1:20" ht="14.25" customHeight="1" x14ac:dyDescent="0.35">
      <c r="A875" s="32"/>
      <c r="B875" s="82">
        <f>'DEZ-26'!A62</f>
        <v>0</v>
      </c>
      <c r="C875" s="82">
        <f>'DEZ-26'!B62</f>
        <v>0</v>
      </c>
      <c r="D875" s="82">
        <f>'DEZ-26'!C62</f>
        <v>0</v>
      </c>
      <c r="E875" s="83">
        <f>'DEZ-26'!D62</f>
        <v>0</v>
      </c>
      <c r="F875" s="84">
        <f>'DEZ-26'!E62</f>
        <v>0</v>
      </c>
      <c r="G875" s="85">
        <f>'DEZ-26'!F62</f>
        <v>0</v>
      </c>
      <c r="H875" s="85">
        <f t="shared" si="0"/>
        <v>0</v>
      </c>
      <c r="I875" s="83" t="s">
        <v>106</v>
      </c>
      <c r="J875" s="83" t="str">
        <f t="shared" si="1"/>
        <v/>
      </c>
      <c r="K875" s="85">
        <f t="shared" si="2"/>
        <v>0</v>
      </c>
      <c r="L875" s="83" t="str">
        <f t="shared" si="3"/>
        <v/>
      </c>
      <c r="M875" s="83">
        <f>'DEZ-26'!H62</f>
        <v>0</v>
      </c>
      <c r="N875" s="92" t="str">
        <f ca="1">IF(BD!$C875="","",IF(AND(TODAY()&gt;BD!$C875,OR(BD!$D875="PENDENTE",BD!$D875="")),"VENCIDO",""))</f>
        <v/>
      </c>
      <c r="O875" s="82" t="str">
        <f ca="1">IF(N875 = "VENCIDO",BD!$B875,"")</f>
        <v/>
      </c>
      <c r="P875" s="82" t="str">
        <f ca="1">IF(N875 = "VENCIDO",BD!$C875,"")</f>
        <v/>
      </c>
      <c r="Q875" s="83" t="str">
        <f ca="1">IF(N875 = "VENCIDO",BD!$E875,"")</f>
        <v/>
      </c>
      <c r="R875" s="83" t="str">
        <f ca="1">IF(N875 = "VENCIDO",BD!$F875,"")</f>
        <v/>
      </c>
      <c r="S875" s="85" t="str">
        <f ca="1">IF(N875 = "VENCIDO",BD!$G875,"")</f>
        <v/>
      </c>
      <c r="T875" s="83" t="str">
        <f ca="1">IF(AND(TODAY()&gt;BD!$C875, OR(BD!$D875="PENDENTE", BD!$D875="")), TODAY()-BD!$C875, "")</f>
        <v/>
      </c>
    </row>
    <row r="876" spans="1:20" ht="14.25" customHeight="1" x14ac:dyDescent="0.35">
      <c r="A876" s="32"/>
      <c r="B876" s="82">
        <f>'DEZ-26'!A63</f>
        <v>0</v>
      </c>
      <c r="C876" s="82">
        <f>'DEZ-26'!B63</f>
        <v>0</v>
      </c>
      <c r="D876" s="82">
        <f>'DEZ-26'!C63</f>
        <v>0</v>
      </c>
      <c r="E876" s="83">
        <f>'DEZ-26'!D63</f>
        <v>0</v>
      </c>
      <c r="F876" s="84">
        <f>'DEZ-26'!E63</f>
        <v>0</v>
      </c>
      <c r="G876" s="85">
        <f>'DEZ-26'!F63</f>
        <v>0</v>
      </c>
      <c r="H876" s="85">
        <f t="shared" si="0"/>
        <v>0</v>
      </c>
      <c r="I876" s="83" t="s">
        <v>106</v>
      </c>
      <c r="J876" s="83" t="str">
        <f t="shared" si="1"/>
        <v/>
      </c>
      <c r="K876" s="85">
        <f t="shared" si="2"/>
        <v>0</v>
      </c>
      <c r="L876" s="83" t="str">
        <f t="shared" si="3"/>
        <v/>
      </c>
      <c r="M876" s="83">
        <f>'DEZ-26'!H63</f>
        <v>0</v>
      </c>
      <c r="N876" s="92" t="str">
        <f ca="1">IF(BD!$C876="","",IF(AND(TODAY()&gt;BD!$C876,OR(BD!$D876="PENDENTE",BD!$D876="")),"VENCIDO",""))</f>
        <v/>
      </c>
      <c r="O876" s="82" t="str">
        <f ca="1">IF(N876 = "VENCIDO",BD!$B876,"")</f>
        <v/>
      </c>
      <c r="P876" s="82" t="str">
        <f ca="1">IF(N876 = "VENCIDO",BD!$C876,"")</f>
        <v/>
      </c>
      <c r="Q876" s="83" t="str">
        <f ca="1">IF(N876 = "VENCIDO",BD!$E876,"")</f>
        <v/>
      </c>
      <c r="R876" s="83" t="str">
        <f ca="1">IF(N876 = "VENCIDO",BD!$F876,"")</f>
        <v/>
      </c>
      <c r="S876" s="85" t="str">
        <f ca="1">IF(N876 = "VENCIDO",BD!$G876,"")</f>
        <v/>
      </c>
      <c r="T876" s="83" t="str">
        <f ca="1">IF(AND(TODAY()&gt;BD!$C876, OR(BD!$D876="PENDENTE", BD!$D876="")), TODAY()-BD!$C876, "")</f>
        <v/>
      </c>
    </row>
    <row r="877" spans="1:20" ht="14.25" customHeight="1" x14ac:dyDescent="0.35">
      <c r="A877" s="32"/>
      <c r="B877" s="82">
        <f>'DEZ-26'!A64</f>
        <v>0</v>
      </c>
      <c r="C877" s="82">
        <f>'DEZ-26'!B64</f>
        <v>0</v>
      </c>
      <c r="D877" s="82">
        <f>'DEZ-26'!C64</f>
        <v>0</v>
      </c>
      <c r="E877" s="83">
        <f>'DEZ-26'!D64</f>
        <v>0</v>
      </c>
      <c r="F877" s="84">
        <f>'DEZ-26'!E64</f>
        <v>0</v>
      </c>
      <c r="G877" s="85">
        <f>'DEZ-26'!F64</f>
        <v>0</v>
      </c>
      <c r="H877" s="85">
        <f t="shared" si="0"/>
        <v>0</v>
      </c>
      <c r="I877" s="83" t="s">
        <v>106</v>
      </c>
      <c r="J877" s="83" t="str">
        <f t="shared" si="1"/>
        <v/>
      </c>
      <c r="K877" s="85">
        <f t="shared" si="2"/>
        <v>0</v>
      </c>
      <c r="L877" s="83" t="str">
        <f t="shared" si="3"/>
        <v/>
      </c>
      <c r="M877" s="83">
        <f>'DEZ-26'!H64</f>
        <v>0</v>
      </c>
      <c r="N877" s="92" t="str">
        <f ca="1">IF(BD!$C877="","",IF(AND(TODAY()&gt;BD!$C877,OR(BD!$D877="PENDENTE",BD!$D877="")),"VENCIDO",""))</f>
        <v/>
      </c>
      <c r="O877" s="82" t="str">
        <f ca="1">IF(N877 = "VENCIDO",BD!$B877,"")</f>
        <v/>
      </c>
      <c r="P877" s="82" t="str">
        <f ca="1">IF(N877 = "VENCIDO",BD!$C877,"")</f>
        <v/>
      </c>
      <c r="Q877" s="83" t="str">
        <f ca="1">IF(N877 = "VENCIDO",BD!$E877,"")</f>
        <v/>
      </c>
      <c r="R877" s="83" t="str">
        <f ca="1">IF(N877 = "VENCIDO",BD!$F877,"")</f>
        <v/>
      </c>
      <c r="S877" s="85" t="str">
        <f ca="1">IF(N877 = "VENCIDO",BD!$G877,"")</f>
        <v/>
      </c>
      <c r="T877" s="83" t="str">
        <f ca="1">IF(AND(TODAY()&gt;BD!$C877, OR(BD!$D877="PENDENTE", BD!$D877="")), TODAY()-BD!$C877, "")</f>
        <v/>
      </c>
    </row>
    <row r="878" spans="1:20" ht="14.25" customHeight="1" x14ac:dyDescent="0.35">
      <c r="A878" s="32"/>
      <c r="B878" s="82">
        <f>'DEZ-26'!A65</f>
        <v>0</v>
      </c>
      <c r="C878" s="82">
        <f>'DEZ-26'!B65</f>
        <v>0</v>
      </c>
      <c r="D878" s="82">
        <f>'DEZ-26'!C65</f>
        <v>0</v>
      </c>
      <c r="E878" s="83">
        <f>'DEZ-26'!D65</f>
        <v>0</v>
      </c>
      <c r="F878" s="84">
        <f>'DEZ-26'!E65</f>
        <v>0</v>
      </c>
      <c r="G878" s="85">
        <f>'DEZ-26'!F65</f>
        <v>0</v>
      </c>
      <c r="H878" s="85">
        <f t="shared" si="0"/>
        <v>0</v>
      </c>
      <c r="I878" s="83" t="s">
        <v>106</v>
      </c>
      <c r="J878" s="83" t="str">
        <f t="shared" si="1"/>
        <v/>
      </c>
      <c r="K878" s="85">
        <f t="shared" si="2"/>
        <v>0</v>
      </c>
      <c r="L878" s="83" t="str">
        <f t="shared" si="3"/>
        <v/>
      </c>
      <c r="M878" s="83">
        <f>'DEZ-26'!H65</f>
        <v>0</v>
      </c>
      <c r="N878" s="92" t="str">
        <f ca="1">IF(BD!$C878="","",IF(AND(TODAY()&gt;BD!$C878,OR(BD!$D878="PENDENTE",BD!$D878="")),"VENCIDO",""))</f>
        <v/>
      </c>
      <c r="O878" s="82" t="str">
        <f ca="1">IF(N878 = "VENCIDO",BD!$B878,"")</f>
        <v/>
      </c>
      <c r="P878" s="82" t="str">
        <f ca="1">IF(N878 = "VENCIDO",BD!$C878,"")</f>
        <v/>
      </c>
      <c r="Q878" s="83" t="str">
        <f ca="1">IF(N878 = "VENCIDO",BD!$E878,"")</f>
        <v/>
      </c>
      <c r="R878" s="83" t="str">
        <f ca="1">IF(N878 = "VENCIDO",BD!$F878,"")</f>
        <v/>
      </c>
      <c r="S878" s="85" t="str">
        <f ca="1">IF(N878 = "VENCIDO",BD!$G878,"")</f>
        <v/>
      </c>
      <c r="T878" s="83" t="str">
        <f ca="1">IF(AND(TODAY()&gt;BD!$C878, OR(BD!$D878="PENDENTE", BD!$D878="")), TODAY()-BD!$C878, "")</f>
        <v/>
      </c>
    </row>
    <row r="879" spans="1:20" ht="14.25" customHeight="1" x14ac:dyDescent="0.35">
      <c r="A879" s="32"/>
      <c r="B879" s="82">
        <f>'DEZ-26'!A66</f>
        <v>0</v>
      </c>
      <c r="C879" s="82">
        <f>'DEZ-26'!B66</f>
        <v>0</v>
      </c>
      <c r="D879" s="82">
        <f>'DEZ-26'!C66</f>
        <v>0</v>
      </c>
      <c r="E879" s="83">
        <f>'DEZ-26'!D66</f>
        <v>0</v>
      </c>
      <c r="F879" s="84">
        <f>'DEZ-26'!E66</f>
        <v>0</v>
      </c>
      <c r="G879" s="85">
        <f>'DEZ-26'!F66</f>
        <v>0</v>
      </c>
      <c r="H879" s="85">
        <f t="shared" si="0"/>
        <v>0</v>
      </c>
      <c r="I879" s="83" t="s">
        <v>106</v>
      </c>
      <c r="J879" s="83" t="str">
        <f t="shared" si="1"/>
        <v/>
      </c>
      <c r="K879" s="85">
        <f t="shared" si="2"/>
        <v>0</v>
      </c>
      <c r="L879" s="83" t="str">
        <f t="shared" si="3"/>
        <v/>
      </c>
      <c r="M879" s="83">
        <f>'DEZ-26'!H66</f>
        <v>0</v>
      </c>
      <c r="N879" s="92" t="str">
        <f ca="1">IF(BD!$C879="","",IF(AND(TODAY()&gt;BD!$C879,OR(BD!$D879="PENDENTE",BD!$D879="")),"VENCIDO",""))</f>
        <v/>
      </c>
      <c r="O879" s="82" t="str">
        <f ca="1">IF(N879 = "VENCIDO",BD!$B879,"")</f>
        <v/>
      </c>
      <c r="P879" s="82" t="str">
        <f ca="1">IF(N879 = "VENCIDO",BD!$C879,"")</f>
        <v/>
      </c>
      <c r="Q879" s="83" t="str">
        <f ca="1">IF(N879 = "VENCIDO",BD!$E879,"")</f>
        <v/>
      </c>
      <c r="R879" s="83" t="str">
        <f ca="1">IF(N879 = "VENCIDO",BD!$F879,"")</f>
        <v/>
      </c>
      <c r="S879" s="85" t="str">
        <f ca="1">IF(N879 = "VENCIDO",BD!$G879,"")</f>
        <v/>
      </c>
      <c r="T879" s="83" t="str">
        <f ca="1">IF(AND(TODAY()&gt;BD!$C879, OR(BD!$D879="PENDENTE", BD!$D879="")), TODAY()-BD!$C879, "")</f>
        <v/>
      </c>
    </row>
    <row r="880" spans="1:20" ht="14.25" customHeight="1" x14ac:dyDescent="0.35">
      <c r="A880" s="32"/>
      <c r="B880" s="82">
        <f>'DEZ-26'!A67</f>
        <v>0</v>
      </c>
      <c r="C880" s="82">
        <f>'DEZ-26'!B67</f>
        <v>0</v>
      </c>
      <c r="D880" s="82">
        <f>'DEZ-26'!C67</f>
        <v>0</v>
      </c>
      <c r="E880" s="83">
        <f>'DEZ-26'!D67</f>
        <v>0</v>
      </c>
      <c r="F880" s="84">
        <f>'DEZ-26'!E67</f>
        <v>0</v>
      </c>
      <c r="G880" s="85">
        <f>'DEZ-26'!F67</f>
        <v>0</v>
      </c>
      <c r="H880" s="85">
        <f t="shared" si="0"/>
        <v>0</v>
      </c>
      <c r="I880" s="83" t="s">
        <v>106</v>
      </c>
      <c r="J880" s="83" t="str">
        <f t="shared" si="1"/>
        <v/>
      </c>
      <c r="K880" s="85">
        <f t="shared" si="2"/>
        <v>0</v>
      </c>
      <c r="L880" s="83" t="str">
        <f t="shared" si="3"/>
        <v/>
      </c>
      <c r="M880" s="83">
        <f>'DEZ-26'!H67</f>
        <v>0</v>
      </c>
      <c r="N880" s="92" t="str">
        <f ca="1">IF(BD!$C880="","",IF(AND(TODAY()&gt;BD!$C880,OR(BD!$D880="PENDENTE",BD!$D880="")),"VENCIDO",""))</f>
        <v/>
      </c>
      <c r="O880" s="82" t="str">
        <f ca="1">IF(N880 = "VENCIDO",BD!$B880,"")</f>
        <v/>
      </c>
      <c r="P880" s="82" t="str">
        <f ca="1">IF(N880 = "VENCIDO",BD!$C880,"")</f>
        <v/>
      </c>
      <c r="Q880" s="83" t="str">
        <f ca="1">IF(N880 = "VENCIDO",BD!$E880,"")</f>
        <v/>
      </c>
      <c r="R880" s="83" t="str">
        <f ca="1">IF(N880 = "VENCIDO",BD!$F880,"")</f>
        <v/>
      </c>
      <c r="S880" s="85" t="str">
        <f ca="1">IF(N880 = "VENCIDO",BD!$G880,"")</f>
        <v/>
      </c>
      <c r="T880" s="83" t="str">
        <f ca="1">IF(AND(TODAY()&gt;BD!$C880, OR(BD!$D880="PENDENTE", BD!$D880="")), TODAY()-BD!$C880, "")</f>
        <v/>
      </c>
    </row>
    <row r="881" spans="1:20" ht="14.25" customHeight="1" x14ac:dyDescent="0.35">
      <c r="A881" s="32"/>
      <c r="B881" s="82">
        <f>'DEZ-26'!A68</f>
        <v>0</v>
      </c>
      <c r="C881" s="82">
        <f>'DEZ-26'!B68</f>
        <v>0</v>
      </c>
      <c r="D881" s="82">
        <f>'DEZ-26'!C68</f>
        <v>0</v>
      </c>
      <c r="E881" s="83">
        <f>'DEZ-26'!D68</f>
        <v>0</v>
      </c>
      <c r="F881" s="84">
        <f>'DEZ-26'!E68</f>
        <v>0</v>
      </c>
      <c r="G881" s="85">
        <f>'DEZ-26'!F68</f>
        <v>0</v>
      </c>
      <c r="H881" s="85">
        <f t="shared" si="0"/>
        <v>0</v>
      </c>
      <c r="I881" s="83" t="s">
        <v>106</v>
      </c>
      <c r="J881" s="83" t="str">
        <f t="shared" si="1"/>
        <v/>
      </c>
      <c r="K881" s="85">
        <f t="shared" si="2"/>
        <v>0</v>
      </c>
      <c r="L881" s="83" t="str">
        <f t="shared" si="3"/>
        <v/>
      </c>
      <c r="M881" s="83">
        <f>'DEZ-26'!H68</f>
        <v>0</v>
      </c>
      <c r="N881" s="92" t="str">
        <f ca="1">IF(BD!$C881="","",IF(AND(TODAY()&gt;BD!$C881,OR(BD!$D881="PENDENTE",BD!$D881="")),"VENCIDO",""))</f>
        <v/>
      </c>
      <c r="O881" s="82" t="str">
        <f ca="1">IF(N881 = "VENCIDO",BD!$B881,"")</f>
        <v/>
      </c>
      <c r="P881" s="82" t="str">
        <f ca="1">IF(N881 = "VENCIDO",BD!$C881,"")</f>
        <v/>
      </c>
      <c r="Q881" s="83" t="str">
        <f ca="1">IF(N881 = "VENCIDO",BD!$E881,"")</f>
        <v/>
      </c>
      <c r="R881" s="83" t="str">
        <f ca="1">IF(N881 = "VENCIDO",BD!$F881,"")</f>
        <v/>
      </c>
      <c r="S881" s="85" t="str">
        <f ca="1">IF(N881 = "VENCIDO",BD!$G881,"")</f>
        <v/>
      </c>
      <c r="T881" s="83" t="str">
        <f ca="1">IF(AND(TODAY()&gt;BD!$C881, OR(BD!$D881="PENDENTE", BD!$D881="")), TODAY()-BD!$C881, "")</f>
        <v/>
      </c>
    </row>
    <row r="882" spans="1:20" ht="14.25" customHeight="1" x14ac:dyDescent="0.35">
      <c r="A882" s="32"/>
      <c r="B882" s="82">
        <f>'DEZ-26'!A69</f>
        <v>0</v>
      </c>
      <c r="C882" s="82">
        <f>'DEZ-26'!B69</f>
        <v>0</v>
      </c>
      <c r="D882" s="82">
        <f>'DEZ-26'!C69</f>
        <v>0</v>
      </c>
      <c r="E882" s="83">
        <f>'DEZ-26'!D69</f>
        <v>0</v>
      </c>
      <c r="F882" s="84">
        <f>'DEZ-26'!E69</f>
        <v>0</v>
      </c>
      <c r="G882" s="85">
        <f>'DEZ-26'!F69</f>
        <v>0</v>
      </c>
      <c r="H882" s="85">
        <f t="shared" si="0"/>
        <v>0</v>
      </c>
      <c r="I882" s="83" t="s">
        <v>106</v>
      </c>
      <c r="J882" s="83" t="str">
        <f t="shared" si="1"/>
        <v/>
      </c>
      <c r="K882" s="85">
        <f t="shared" si="2"/>
        <v>0</v>
      </c>
      <c r="L882" s="83" t="str">
        <f t="shared" si="3"/>
        <v/>
      </c>
      <c r="M882" s="83">
        <f>'DEZ-26'!H69</f>
        <v>0</v>
      </c>
      <c r="N882" s="92" t="str">
        <f ca="1">IF(BD!$C882="","",IF(AND(TODAY()&gt;BD!$C882,OR(BD!$D882="PENDENTE",BD!$D882="")),"VENCIDO",""))</f>
        <v/>
      </c>
      <c r="O882" s="82" t="str">
        <f ca="1">IF(N882 = "VENCIDO",BD!$B882,"")</f>
        <v/>
      </c>
      <c r="P882" s="82" t="str">
        <f ca="1">IF(N882 = "VENCIDO",BD!$C882,"")</f>
        <v/>
      </c>
      <c r="Q882" s="83" t="str">
        <f ca="1">IF(N882 = "VENCIDO",BD!$E882,"")</f>
        <v/>
      </c>
      <c r="R882" s="83" t="str">
        <f ca="1">IF(N882 = "VENCIDO",BD!$F882,"")</f>
        <v/>
      </c>
      <c r="S882" s="85" t="str">
        <f ca="1">IF(N882 = "VENCIDO",BD!$G882,"")</f>
        <v/>
      </c>
      <c r="T882" s="83" t="str">
        <f ca="1">IF(AND(TODAY()&gt;BD!$C882, OR(BD!$D882="PENDENTE", BD!$D882="")), TODAY()-BD!$C882, "")</f>
        <v/>
      </c>
    </row>
    <row r="883" spans="1:20" ht="14.25" customHeight="1" x14ac:dyDescent="0.35">
      <c r="A883" s="32"/>
      <c r="B883" s="82">
        <f>'DEZ-26'!A70</f>
        <v>0</v>
      </c>
      <c r="C883" s="82">
        <f>'DEZ-26'!B70</f>
        <v>0</v>
      </c>
      <c r="D883" s="82">
        <f>'DEZ-26'!C70</f>
        <v>0</v>
      </c>
      <c r="E883" s="83">
        <f>'DEZ-26'!D70</f>
        <v>0</v>
      </c>
      <c r="F883" s="84">
        <f>'DEZ-26'!E70</f>
        <v>0</v>
      </c>
      <c r="G883" s="85">
        <f>'DEZ-26'!F70</f>
        <v>0</v>
      </c>
      <c r="H883" s="85">
        <f t="shared" si="0"/>
        <v>0</v>
      </c>
      <c r="I883" s="83" t="s">
        <v>106</v>
      </c>
      <c r="J883" s="83" t="str">
        <f t="shared" si="1"/>
        <v/>
      </c>
      <c r="K883" s="85">
        <f t="shared" si="2"/>
        <v>0</v>
      </c>
      <c r="L883" s="83" t="str">
        <f t="shared" si="3"/>
        <v/>
      </c>
      <c r="M883" s="83">
        <f>'DEZ-26'!H70</f>
        <v>0</v>
      </c>
      <c r="N883" s="92" t="str">
        <f ca="1">IF(BD!$C883="","",IF(AND(TODAY()&gt;BD!$C883,OR(BD!$D883="PENDENTE",BD!$D883="")),"VENCIDO",""))</f>
        <v/>
      </c>
      <c r="O883" s="82" t="str">
        <f ca="1">IF(N883 = "VENCIDO",BD!$B883,"")</f>
        <v/>
      </c>
      <c r="P883" s="82" t="str">
        <f ca="1">IF(N883 = "VENCIDO",BD!$C883,"")</f>
        <v/>
      </c>
      <c r="Q883" s="83" t="str">
        <f ca="1">IF(N883 = "VENCIDO",BD!$E883,"")</f>
        <v/>
      </c>
      <c r="R883" s="83" t="str">
        <f ca="1">IF(N883 = "VENCIDO",BD!$F883,"")</f>
        <v/>
      </c>
      <c r="S883" s="85" t="str">
        <f ca="1">IF(N883 = "VENCIDO",BD!$G883,"")</f>
        <v/>
      </c>
      <c r="T883" s="83" t="str">
        <f ca="1">IF(AND(TODAY()&gt;BD!$C883, OR(BD!$D883="PENDENTE", BD!$D883="")), TODAY()-BD!$C883, "")</f>
        <v/>
      </c>
    </row>
    <row r="884" spans="1:20" ht="14.25" customHeight="1" x14ac:dyDescent="0.35">
      <c r="A884" s="32"/>
      <c r="B884" s="82">
        <f>'DEZ-26'!A71</f>
        <v>0</v>
      </c>
      <c r="C884" s="82">
        <f>'DEZ-26'!B71</f>
        <v>0</v>
      </c>
      <c r="D884" s="82">
        <f>'DEZ-26'!C71</f>
        <v>0</v>
      </c>
      <c r="E884" s="83">
        <f>'DEZ-26'!D71</f>
        <v>0</v>
      </c>
      <c r="F884" s="84">
        <f>'DEZ-26'!E71</f>
        <v>0</v>
      </c>
      <c r="G884" s="85">
        <f>'DEZ-26'!F71</f>
        <v>0</v>
      </c>
      <c r="H884" s="85">
        <f t="shared" si="0"/>
        <v>0</v>
      </c>
      <c r="I884" s="83" t="s">
        <v>106</v>
      </c>
      <c r="J884" s="83" t="str">
        <f t="shared" si="1"/>
        <v/>
      </c>
      <c r="K884" s="85">
        <f t="shared" si="2"/>
        <v>0</v>
      </c>
      <c r="L884" s="83" t="str">
        <f t="shared" si="3"/>
        <v/>
      </c>
      <c r="M884" s="83">
        <f>'DEZ-26'!H71</f>
        <v>0</v>
      </c>
      <c r="N884" s="92" t="str">
        <f ca="1">IF(BD!$C884="","",IF(AND(TODAY()&gt;BD!$C884,OR(BD!$D884="PENDENTE",BD!$D884="")),"VENCIDO",""))</f>
        <v/>
      </c>
      <c r="O884" s="82" t="str">
        <f ca="1">IF(N884 = "VENCIDO",BD!$B884,"")</f>
        <v/>
      </c>
      <c r="P884" s="82" t="str">
        <f ca="1">IF(N884 = "VENCIDO",BD!$C884,"")</f>
        <v/>
      </c>
      <c r="Q884" s="83" t="str">
        <f ca="1">IF(N884 = "VENCIDO",BD!$E884,"")</f>
        <v/>
      </c>
      <c r="R884" s="83" t="str">
        <f ca="1">IF(N884 = "VENCIDO",BD!$F884,"")</f>
        <v/>
      </c>
      <c r="S884" s="85" t="str">
        <f ca="1">IF(N884 = "VENCIDO",BD!$G884,"")</f>
        <v/>
      </c>
      <c r="T884" s="83" t="str">
        <f ca="1">IF(AND(TODAY()&gt;BD!$C884, OR(BD!$D884="PENDENTE", BD!$D884="")), TODAY()-BD!$C884, "")</f>
        <v/>
      </c>
    </row>
    <row r="885" spans="1:20" ht="14.25" customHeight="1" x14ac:dyDescent="0.35">
      <c r="A885" s="32"/>
      <c r="B885" s="82">
        <f>'DEZ-26'!A72</f>
        <v>0</v>
      </c>
      <c r="C885" s="82">
        <f>'DEZ-26'!B72</f>
        <v>0</v>
      </c>
      <c r="D885" s="82">
        <f>'DEZ-26'!C72</f>
        <v>0</v>
      </c>
      <c r="E885" s="83">
        <f>'DEZ-26'!D72</f>
        <v>0</v>
      </c>
      <c r="F885" s="84">
        <f>'DEZ-26'!E72</f>
        <v>0</v>
      </c>
      <c r="G885" s="85">
        <f>'DEZ-26'!F72</f>
        <v>0</v>
      </c>
      <c r="H885" s="85">
        <f t="shared" si="0"/>
        <v>0</v>
      </c>
      <c r="I885" s="83" t="s">
        <v>106</v>
      </c>
      <c r="J885" s="83" t="str">
        <f t="shared" si="1"/>
        <v/>
      </c>
      <c r="K885" s="85">
        <f t="shared" si="2"/>
        <v>0</v>
      </c>
      <c r="L885" s="83" t="str">
        <f t="shared" si="3"/>
        <v/>
      </c>
      <c r="M885" s="83">
        <f>'DEZ-26'!H72</f>
        <v>0</v>
      </c>
      <c r="N885" s="92" t="str">
        <f ca="1">IF(BD!$C885="","",IF(AND(TODAY()&gt;BD!$C885,OR(BD!$D885="PENDENTE",BD!$D885="")),"VENCIDO",""))</f>
        <v/>
      </c>
      <c r="O885" s="82" t="str">
        <f ca="1">IF(N885 = "VENCIDO",BD!$B885,"")</f>
        <v/>
      </c>
      <c r="P885" s="82" t="str">
        <f ca="1">IF(N885 = "VENCIDO",BD!$C885,"")</f>
        <v/>
      </c>
      <c r="Q885" s="83" t="str">
        <f ca="1">IF(N885 = "VENCIDO",BD!$E885,"")</f>
        <v/>
      </c>
      <c r="R885" s="83" t="str">
        <f ca="1">IF(N885 = "VENCIDO",BD!$F885,"")</f>
        <v/>
      </c>
      <c r="S885" s="85" t="str">
        <f ca="1">IF(N885 = "VENCIDO",BD!$G885,"")</f>
        <v/>
      </c>
      <c r="T885" s="83" t="str">
        <f ca="1">IF(AND(TODAY()&gt;BD!$C885, OR(BD!$D885="PENDENTE", BD!$D885="")), TODAY()-BD!$C885, "")</f>
        <v/>
      </c>
    </row>
    <row r="886" spans="1:20" ht="14.25" customHeight="1" x14ac:dyDescent="0.35">
      <c r="A886" s="32"/>
      <c r="B886" s="82">
        <f>'DEZ-26'!A73</f>
        <v>0</v>
      </c>
      <c r="C886" s="82">
        <f>'DEZ-26'!B73</f>
        <v>0</v>
      </c>
      <c r="D886" s="82">
        <f>'DEZ-26'!C73</f>
        <v>0</v>
      </c>
      <c r="E886" s="83">
        <f>'DEZ-26'!D73</f>
        <v>0</v>
      </c>
      <c r="F886" s="84">
        <f>'DEZ-26'!E73</f>
        <v>0</v>
      </c>
      <c r="G886" s="85">
        <f>'DEZ-26'!F73</f>
        <v>0</v>
      </c>
      <c r="H886" s="85">
        <f t="shared" si="0"/>
        <v>0</v>
      </c>
      <c r="I886" s="83" t="s">
        <v>106</v>
      </c>
      <c r="J886" s="83" t="str">
        <f t="shared" si="1"/>
        <v/>
      </c>
      <c r="K886" s="85">
        <f t="shared" si="2"/>
        <v>0</v>
      </c>
      <c r="L886" s="83" t="str">
        <f t="shared" si="3"/>
        <v/>
      </c>
      <c r="M886" s="83">
        <f>'DEZ-26'!H73</f>
        <v>0</v>
      </c>
      <c r="N886" s="92" t="str">
        <f ca="1">IF(BD!$C886="","",IF(AND(TODAY()&gt;BD!$C886,OR(BD!$D886="PENDENTE",BD!$D886="")),"VENCIDO",""))</f>
        <v/>
      </c>
      <c r="O886" s="82" t="str">
        <f ca="1">IF(N886 = "VENCIDO",BD!$B886,"")</f>
        <v/>
      </c>
      <c r="P886" s="82" t="str">
        <f ca="1">IF(N886 = "VENCIDO",BD!$C886,"")</f>
        <v/>
      </c>
      <c r="Q886" s="83" t="str">
        <f ca="1">IF(N886 = "VENCIDO",BD!$E886,"")</f>
        <v/>
      </c>
      <c r="R886" s="83" t="str">
        <f ca="1">IF(N886 = "VENCIDO",BD!$F886,"")</f>
        <v/>
      </c>
      <c r="S886" s="85" t="str">
        <f ca="1">IF(N886 = "VENCIDO",BD!$G886,"")</f>
        <v/>
      </c>
      <c r="T886" s="83" t="str">
        <f ca="1">IF(AND(TODAY()&gt;BD!$C886, OR(BD!$D886="PENDENTE", BD!$D886="")), TODAY()-BD!$C886, "")</f>
        <v/>
      </c>
    </row>
    <row r="887" spans="1:20" ht="14.25" customHeight="1" x14ac:dyDescent="0.35">
      <c r="A887" s="32"/>
      <c r="B887" s="82">
        <f>'DEZ-26'!A74</f>
        <v>0</v>
      </c>
      <c r="C887" s="82">
        <f>'DEZ-26'!B74</f>
        <v>0</v>
      </c>
      <c r="D887" s="82">
        <f>'DEZ-26'!C74</f>
        <v>0</v>
      </c>
      <c r="E887" s="83">
        <f>'DEZ-26'!D74</f>
        <v>0</v>
      </c>
      <c r="F887" s="84">
        <f>'DEZ-26'!E74</f>
        <v>0</v>
      </c>
      <c r="G887" s="85">
        <f>'DEZ-26'!F74</f>
        <v>0</v>
      </c>
      <c r="H887" s="85">
        <f t="shared" si="0"/>
        <v>0</v>
      </c>
      <c r="I887" s="83" t="s">
        <v>106</v>
      </c>
      <c r="J887" s="83" t="str">
        <f t="shared" si="1"/>
        <v/>
      </c>
      <c r="K887" s="85">
        <f t="shared" si="2"/>
        <v>0</v>
      </c>
      <c r="L887" s="83" t="str">
        <f t="shared" si="3"/>
        <v/>
      </c>
      <c r="M887" s="83">
        <f>'DEZ-26'!H74</f>
        <v>0</v>
      </c>
      <c r="N887" s="92" t="str">
        <f ca="1">IF(BD!$C887="","",IF(AND(TODAY()&gt;BD!$C887,OR(BD!$D887="PENDENTE",BD!$D887="")),"VENCIDO",""))</f>
        <v/>
      </c>
      <c r="O887" s="82" t="str">
        <f ca="1">IF(N887 = "VENCIDO",BD!$B887,"")</f>
        <v/>
      </c>
      <c r="P887" s="82" t="str">
        <f ca="1">IF(N887 = "VENCIDO",BD!$C887,"")</f>
        <v/>
      </c>
      <c r="Q887" s="83" t="str">
        <f ca="1">IF(N887 = "VENCIDO",BD!$E887,"")</f>
        <v/>
      </c>
      <c r="R887" s="83" t="str">
        <f ca="1">IF(N887 = "VENCIDO",BD!$F887,"")</f>
        <v/>
      </c>
      <c r="S887" s="85" t="str">
        <f ca="1">IF(N887 = "VENCIDO",BD!$G887,"")</f>
        <v/>
      </c>
      <c r="T887" s="83" t="str">
        <f ca="1">IF(AND(TODAY()&gt;BD!$C887, OR(BD!$D887="PENDENTE", BD!$D887="")), TODAY()-BD!$C887, "")</f>
        <v/>
      </c>
    </row>
    <row r="888" spans="1:20" ht="14.25" customHeight="1" x14ac:dyDescent="0.35">
      <c r="A888" s="32"/>
      <c r="B888" s="82">
        <f>'DEZ-26'!A75</f>
        <v>0</v>
      </c>
      <c r="C888" s="82">
        <f>'DEZ-26'!B75</f>
        <v>0</v>
      </c>
      <c r="D888" s="82">
        <f>'DEZ-26'!C75</f>
        <v>0</v>
      </c>
      <c r="E888" s="83">
        <f>'DEZ-26'!D75</f>
        <v>0</v>
      </c>
      <c r="F888" s="84">
        <f>'DEZ-26'!E75</f>
        <v>0</v>
      </c>
      <c r="G888" s="85">
        <f>'DEZ-26'!F75</f>
        <v>0</v>
      </c>
      <c r="H888" s="85">
        <f t="shared" si="0"/>
        <v>0</v>
      </c>
      <c r="I888" s="83" t="s">
        <v>106</v>
      </c>
      <c r="J888" s="83" t="str">
        <f t="shared" si="1"/>
        <v/>
      </c>
      <c r="K888" s="85">
        <f t="shared" si="2"/>
        <v>0</v>
      </c>
      <c r="L888" s="83" t="str">
        <f t="shared" si="3"/>
        <v/>
      </c>
      <c r="M888" s="83">
        <f>'DEZ-26'!H75</f>
        <v>0</v>
      </c>
      <c r="N888" s="92" t="str">
        <f ca="1">IF(BD!$C888="","",IF(AND(TODAY()&gt;BD!$C888,OR(BD!$D888="PENDENTE",BD!$D888="")),"VENCIDO",""))</f>
        <v/>
      </c>
      <c r="O888" s="82" t="str">
        <f ca="1">IF(N888 = "VENCIDO",BD!$B888,"")</f>
        <v/>
      </c>
      <c r="P888" s="82" t="str">
        <f ca="1">IF(N888 = "VENCIDO",BD!$C888,"")</f>
        <v/>
      </c>
      <c r="Q888" s="83" t="str">
        <f ca="1">IF(N888 = "VENCIDO",BD!$E888,"")</f>
        <v/>
      </c>
      <c r="R888" s="83" t="str">
        <f ca="1">IF(N888 = "VENCIDO",BD!$F888,"")</f>
        <v/>
      </c>
      <c r="S888" s="85" t="str">
        <f ca="1">IF(N888 = "VENCIDO",BD!$G888,"")</f>
        <v/>
      </c>
      <c r="T888" s="83" t="str">
        <f ca="1">IF(AND(TODAY()&gt;BD!$C888, OR(BD!$D888="PENDENTE", BD!$D888="")), TODAY()-BD!$C888, "")</f>
        <v/>
      </c>
    </row>
    <row r="889" spans="1:20" ht="14.25" customHeight="1" x14ac:dyDescent="0.35">
      <c r="A889" s="32"/>
      <c r="B889" s="82">
        <f>'DEZ-26'!A76</f>
        <v>0</v>
      </c>
      <c r="C889" s="82">
        <f>'DEZ-26'!B76</f>
        <v>0</v>
      </c>
      <c r="D889" s="82">
        <f>'DEZ-26'!C76</f>
        <v>0</v>
      </c>
      <c r="E889" s="83">
        <f>'DEZ-26'!D76</f>
        <v>0</v>
      </c>
      <c r="F889" s="84">
        <f>'DEZ-26'!E76</f>
        <v>0</v>
      </c>
      <c r="G889" s="85">
        <f>'DEZ-26'!F76</f>
        <v>0</v>
      </c>
      <c r="H889" s="85">
        <f t="shared" si="0"/>
        <v>0</v>
      </c>
      <c r="I889" s="83" t="s">
        <v>106</v>
      </c>
      <c r="J889" s="83" t="str">
        <f t="shared" si="1"/>
        <v/>
      </c>
      <c r="K889" s="85">
        <f t="shared" si="2"/>
        <v>0</v>
      </c>
      <c r="L889" s="83" t="str">
        <f t="shared" si="3"/>
        <v/>
      </c>
      <c r="M889" s="83">
        <f>'DEZ-26'!H76</f>
        <v>0</v>
      </c>
      <c r="N889" s="92" t="str">
        <f ca="1">IF(BD!$C889="","",IF(AND(TODAY()&gt;BD!$C889,OR(BD!$D889="PENDENTE",BD!$D889="")),"VENCIDO",""))</f>
        <v/>
      </c>
      <c r="O889" s="82" t="str">
        <f ca="1">IF(N889 = "VENCIDO",BD!$B889,"")</f>
        <v/>
      </c>
      <c r="P889" s="82" t="str">
        <f ca="1">IF(N889 = "VENCIDO",BD!$C889,"")</f>
        <v/>
      </c>
      <c r="Q889" s="83" t="str">
        <f ca="1">IF(N889 = "VENCIDO",BD!$E889,"")</f>
        <v/>
      </c>
      <c r="R889" s="83" t="str">
        <f ca="1">IF(N889 = "VENCIDO",BD!$F889,"")</f>
        <v/>
      </c>
      <c r="S889" s="85" t="str">
        <f ca="1">IF(N889 = "VENCIDO",BD!$G889,"")</f>
        <v/>
      </c>
      <c r="T889" s="83" t="str">
        <f ca="1">IF(AND(TODAY()&gt;BD!$C889, OR(BD!$D889="PENDENTE", BD!$D889="")), TODAY()-BD!$C889, "")</f>
        <v/>
      </c>
    </row>
    <row r="890" spans="1:20" ht="14.25" customHeight="1" x14ac:dyDescent="0.35">
      <c r="A890" s="32"/>
      <c r="B890" s="94"/>
      <c r="C890" s="95"/>
      <c r="D890" s="95"/>
      <c r="E890" s="96"/>
      <c r="F890" s="97"/>
      <c r="G890" s="98">
        <f>SUM(BD!$G$2:$G$889)</f>
        <v>37145.550000000003</v>
      </c>
      <c r="H890" s="99"/>
      <c r="I890" s="83"/>
      <c r="J890" s="83"/>
      <c r="K890" s="85"/>
      <c r="L890" s="85"/>
      <c r="M890" s="83"/>
      <c r="T890" s="32"/>
    </row>
    <row r="891" spans="1:20" ht="14.25" customHeight="1" x14ac:dyDescent="0.35">
      <c r="A891" s="32"/>
      <c r="B891" s="100"/>
      <c r="C891" s="100"/>
      <c r="D891" s="100"/>
      <c r="E891" s="33"/>
      <c r="F891" s="1"/>
      <c r="G891" s="101"/>
      <c r="H891" s="101"/>
      <c r="I891" s="33"/>
      <c r="J891" s="33"/>
      <c r="K891" s="101"/>
      <c r="L891" s="101"/>
      <c r="M891" s="33"/>
      <c r="T891" s="32"/>
    </row>
    <row r="892" spans="1:20" ht="14.25" customHeight="1" x14ac:dyDescent="0.35">
      <c r="A892" s="32"/>
      <c r="B892" s="100"/>
      <c r="C892" s="100"/>
      <c r="D892" s="100"/>
      <c r="E892" s="33"/>
      <c r="F892" s="1"/>
      <c r="G892" s="101"/>
      <c r="H892" s="101"/>
      <c r="I892" s="33"/>
      <c r="J892" s="33"/>
      <c r="K892" s="101"/>
      <c r="L892" s="101"/>
      <c r="M892" s="33"/>
      <c r="T892" s="32"/>
    </row>
    <row r="893" spans="1:20" ht="14.25" customHeight="1" x14ac:dyDescent="0.35">
      <c r="A893" s="32"/>
      <c r="B893" s="100"/>
      <c r="C893" s="100"/>
      <c r="D893" s="100"/>
      <c r="E893" s="33"/>
      <c r="F893" s="1"/>
      <c r="G893" s="101"/>
      <c r="H893" s="101"/>
      <c r="I893" s="33"/>
      <c r="J893" s="33"/>
      <c r="K893" s="101"/>
      <c r="L893" s="101"/>
      <c r="M893" s="33"/>
      <c r="T893" s="32"/>
    </row>
    <row r="894" spans="1:20" ht="14.25" customHeight="1" x14ac:dyDescent="0.35">
      <c r="A894" s="32"/>
      <c r="B894" s="100"/>
      <c r="C894" s="100"/>
      <c r="D894" s="100"/>
      <c r="E894" s="33"/>
      <c r="F894" s="1"/>
      <c r="G894" s="101"/>
      <c r="H894" s="101"/>
      <c r="I894" s="33"/>
      <c r="J894" s="33"/>
      <c r="K894" s="101"/>
      <c r="L894" s="101"/>
      <c r="M894" s="33"/>
      <c r="T894" s="32"/>
    </row>
    <row r="895" spans="1:20" ht="14.25" customHeight="1" x14ac:dyDescent="0.35">
      <c r="A895" s="32"/>
      <c r="B895" s="100"/>
      <c r="C895" s="100"/>
      <c r="D895" s="100"/>
      <c r="E895" s="33"/>
      <c r="F895" s="1"/>
      <c r="G895" s="101"/>
      <c r="H895" s="101"/>
      <c r="I895" s="33"/>
      <c r="J895" s="33"/>
      <c r="K895" s="101"/>
      <c r="L895" s="101"/>
      <c r="M895" s="33"/>
      <c r="T895" s="32"/>
    </row>
    <row r="896" spans="1:20" ht="14.25" customHeight="1" x14ac:dyDescent="0.35">
      <c r="A896" s="32"/>
      <c r="B896" s="100"/>
      <c r="C896" s="100"/>
      <c r="D896" s="100"/>
      <c r="E896" s="33"/>
      <c r="F896" s="1"/>
      <c r="G896" s="101"/>
      <c r="H896" s="101"/>
      <c r="I896" s="33"/>
      <c r="J896" s="33"/>
      <c r="K896" s="101"/>
      <c r="L896" s="101"/>
      <c r="M896" s="33"/>
      <c r="T896" s="32"/>
    </row>
    <row r="897" spans="1:20" ht="14.25" customHeight="1" x14ac:dyDescent="0.35">
      <c r="A897" s="32"/>
      <c r="B897" s="100"/>
      <c r="C897" s="100"/>
      <c r="D897" s="100"/>
      <c r="E897" s="33"/>
      <c r="F897" s="1"/>
      <c r="G897" s="101"/>
      <c r="H897" s="101"/>
      <c r="I897" s="33"/>
      <c r="J897" s="33"/>
      <c r="K897" s="101"/>
      <c r="L897" s="101"/>
      <c r="M897" s="33"/>
      <c r="T897" s="32"/>
    </row>
    <row r="898" spans="1:20" ht="14.25" customHeight="1" x14ac:dyDescent="0.35">
      <c r="A898" s="32"/>
      <c r="B898" s="100"/>
      <c r="C898" s="100"/>
      <c r="D898" s="100"/>
      <c r="E898" s="33"/>
      <c r="F898" s="1"/>
      <c r="G898" s="101"/>
      <c r="H898" s="101"/>
      <c r="I898" s="33"/>
      <c r="J898" s="33"/>
      <c r="K898" s="101"/>
      <c r="L898" s="101"/>
      <c r="M898" s="33"/>
      <c r="T898" s="32"/>
    </row>
    <row r="899" spans="1:20" ht="14.25" customHeight="1" x14ac:dyDescent="0.35">
      <c r="A899" s="32"/>
      <c r="B899" s="100"/>
      <c r="C899" s="100"/>
      <c r="D899" s="100"/>
      <c r="E899" s="33"/>
      <c r="F899" s="1"/>
      <c r="G899" s="101"/>
      <c r="H899" s="101"/>
      <c r="I899" s="33"/>
      <c r="J899" s="33"/>
      <c r="K899" s="101"/>
      <c r="L899" s="101"/>
      <c r="M899" s="33"/>
      <c r="T899" s="32"/>
    </row>
    <row r="900" spans="1:20" ht="14.25" customHeight="1" x14ac:dyDescent="0.35">
      <c r="A900" s="32"/>
      <c r="B900" s="100"/>
      <c r="C900" s="100"/>
      <c r="D900" s="100"/>
      <c r="E900" s="33"/>
      <c r="F900" s="1"/>
      <c r="G900" s="101"/>
      <c r="H900" s="101"/>
      <c r="I900" s="33"/>
      <c r="J900" s="33"/>
      <c r="K900" s="101"/>
      <c r="L900" s="101"/>
      <c r="M900" s="33"/>
      <c r="T900" s="32"/>
    </row>
    <row r="901" spans="1:20" ht="14.25" customHeight="1" x14ac:dyDescent="0.35">
      <c r="A901" s="32"/>
      <c r="B901" s="100"/>
      <c r="C901" s="100"/>
      <c r="D901" s="100"/>
      <c r="E901" s="33"/>
      <c r="F901" s="1"/>
      <c r="G901" s="101"/>
      <c r="H901" s="101"/>
      <c r="I901" s="33"/>
      <c r="J901" s="33"/>
      <c r="K901" s="101"/>
      <c r="L901" s="101"/>
      <c r="M901" s="33"/>
      <c r="T901" s="32"/>
    </row>
    <row r="902" spans="1:20" ht="14.25" customHeight="1" x14ac:dyDescent="0.35">
      <c r="A902" s="32"/>
      <c r="B902" s="100"/>
      <c r="C902" s="100"/>
      <c r="D902" s="100"/>
      <c r="E902" s="33"/>
      <c r="F902" s="1"/>
      <c r="G902" s="101"/>
      <c r="H902" s="101"/>
      <c r="I902" s="33"/>
      <c r="J902" s="33"/>
      <c r="K902" s="101"/>
      <c r="L902" s="101"/>
      <c r="M902" s="33"/>
      <c r="T902" s="32"/>
    </row>
    <row r="903" spans="1:20" ht="14.25" customHeight="1" x14ac:dyDescent="0.35">
      <c r="A903" s="32"/>
      <c r="B903" s="100"/>
      <c r="C903" s="100"/>
      <c r="D903" s="100"/>
      <c r="E903" s="33"/>
      <c r="F903" s="1"/>
      <c r="G903" s="101"/>
      <c r="H903" s="101"/>
      <c r="I903" s="33"/>
      <c r="J903" s="33"/>
      <c r="K903" s="101"/>
      <c r="L903" s="101"/>
      <c r="M903" s="33"/>
      <c r="T903" s="32"/>
    </row>
    <row r="904" spans="1:20" ht="14.25" customHeight="1" x14ac:dyDescent="0.35">
      <c r="A904" s="32"/>
      <c r="B904" s="100"/>
      <c r="C904" s="100"/>
      <c r="D904" s="100"/>
      <c r="E904" s="33"/>
      <c r="F904" s="1"/>
      <c r="G904" s="101"/>
      <c r="H904" s="101"/>
      <c r="I904" s="33"/>
      <c r="J904" s="33"/>
      <c r="K904" s="101"/>
      <c r="L904" s="101"/>
      <c r="M904" s="33"/>
      <c r="T904" s="32"/>
    </row>
    <row r="905" spans="1:20" ht="14.25" customHeight="1" x14ac:dyDescent="0.35">
      <c r="A905" s="32"/>
      <c r="B905" s="100"/>
      <c r="C905" s="100"/>
      <c r="D905" s="100"/>
      <c r="E905" s="33"/>
      <c r="F905" s="1"/>
      <c r="G905" s="101"/>
      <c r="H905" s="101"/>
      <c r="I905" s="33"/>
      <c r="J905" s="33"/>
      <c r="K905" s="101"/>
      <c r="L905" s="101"/>
      <c r="M905" s="33"/>
      <c r="T905" s="32"/>
    </row>
    <row r="906" spans="1:20" ht="14.25" customHeight="1" x14ac:dyDescent="0.35">
      <c r="A906" s="32"/>
      <c r="B906" s="100"/>
      <c r="C906" s="100"/>
      <c r="D906" s="100"/>
      <c r="E906" s="33"/>
      <c r="F906" s="1"/>
      <c r="G906" s="101"/>
      <c r="H906" s="101"/>
      <c r="I906" s="33"/>
      <c r="J906" s="33"/>
      <c r="K906" s="101"/>
      <c r="L906" s="101"/>
      <c r="M906" s="33"/>
      <c r="T906" s="32"/>
    </row>
    <row r="907" spans="1:20" ht="14.25" customHeight="1" x14ac:dyDescent="0.35">
      <c r="A907" s="32"/>
      <c r="B907" s="100"/>
      <c r="C907" s="100"/>
      <c r="D907" s="100"/>
      <c r="E907" s="33"/>
      <c r="F907" s="1"/>
      <c r="G907" s="101"/>
      <c r="H907" s="101"/>
      <c r="I907" s="33"/>
      <c r="J907" s="33"/>
      <c r="K907" s="101"/>
      <c r="L907" s="101"/>
      <c r="M907" s="33"/>
      <c r="T907" s="32"/>
    </row>
    <row r="908" spans="1:20" ht="14.25" customHeight="1" x14ac:dyDescent="0.35">
      <c r="A908" s="32"/>
      <c r="B908" s="100"/>
      <c r="C908" s="100"/>
      <c r="D908" s="100"/>
      <c r="E908" s="33"/>
      <c r="F908" s="1"/>
      <c r="G908" s="101"/>
      <c r="H908" s="101"/>
      <c r="I908" s="33"/>
      <c r="J908" s="33"/>
      <c r="K908" s="101"/>
      <c r="L908" s="101"/>
      <c r="M908" s="33"/>
      <c r="T908" s="32"/>
    </row>
    <row r="909" spans="1:20" ht="14.25" customHeight="1" x14ac:dyDescent="0.35">
      <c r="A909" s="32"/>
      <c r="B909" s="100"/>
      <c r="C909" s="100"/>
      <c r="D909" s="100"/>
      <c r="E909" s="33"/>
      <c r="F909" s="1"/>
      <c r="G909" s="101"/>
      <c r="H909" s="101"/>
      <c r="I909" s="33"/>
      <c r="J909" s="33"/>
      <c r="K909" s="101"/>
      <c r="L909" s="101"/>
      <c r="M909" s="33"/>
      <c r="T909" s="32"/>
    </row>
    <row r="910" spans="1:20" ht="14.25" customHeight="1" x14ac:dyDescent="0.35">
      <c r="A910" s="32"/>
      <c r="B910" s="100"/>
      <c r="C910" s="100"/>
      <c r="D910" s="100"/>
      <c r="E910" s="33"/>
      <c r="F910" s="1"/>
      <c r="G910" s="101"/>
      <c r="H910" s="101"/>
      <c r="I910" s="33"/>
      <c r="J910" s="33"/>
      <c r="K910" s="101"/>
      <c r="L910" s="101"/>
      <c r="M910" s="33"/>
      <c r="T910" s="32"/>
    </row>
    <row r="911" spans="1:20" ht="14.25" customHeight="1" x14ac:dyDescent="0.35">
      <c r="A911" s="32"/>
      <c r="B911" s="100"/>
      <c r="C911" s="100"/>
      <c r="D911" s="100"/>
      <c r="E911" s="33"/>
      <c r="F911" s="1"/>
      <c r="G911" s="101"/>
      <c r="H911" s="101"/>
      <c r="I911" s="33"/>
      <c r="J911" s="33"/>
      <c r="K911" s="101"/>
      <c r="L911" s="101"/>
      <c r="M911" s="33"/>
      <c r="T911" s="32"/>
    </row>
    <row r="912" spans="1:20" ht="14.25" customHeight="1" x14ac:dyDescent="0.35">
      <c r="A912" s="32"/>
      <c r="B912" s="100"/>
      <c r="C912" s="100"/>
      <c r="D912" s="100"/>
      <c r="E912" s="33"/>
      <c r="F912" s="1"/>
      <c r="G912" s="101"/>
      <c r="H912" s="101"/>
      <c r="I912" s="33"/>
      <c r="J912" s="33"/>
      <c r="K912" s="101"/>
      <c r="L912" s="101"/>
      <c r="M912" s="33"/>
      <c r="T912" s="32"/>
    </row>
    <row r="913" spans="1:20" ht="14.25" customHeight="1" x14ac:dyDescent="0.35">
      <c r="A913" s="32"/>
      <c r="B913" s="100"/>
      <c r="C913" s="100"/>
      <c r="D913" s="100"/>
      <c r="E913" s="33"/>
      <c r="F913" s="1"/>
      <c r="G913" s="101"/>
      <c r="H913" s="101"/>
      <c r="I913" s="33"/>
      <c r="J913" s="33"/>
      <c r="K913" s="101"/>
      <c r="L913" s="101"/>
      <c r="M913" s="33"/>
      <c r="T913" s="32"/>
    </row>
    <row r="914" spans="1:20" ht="14.25" customHeight="1" x14ac:dyDescent="0.35">
      <c r="A914" s="32"/>
      <c r="B914" s="100"/>
      <c r="C914" s="100"/>
      <c r="D914" s="100"/>
      <c r="E914" s="33"/>
      <c r="F914" s="1"/>
      <c r="G914" s="101"/>
      <c r="H914" s="101"/>
      <c r="I914" s="33"/>
      <c r="J914" s="33"/>
      <c r="K914" s="101"/>
      <c r="L914" s="101"/>
      <c r="M914" s="33"/>
      <c r="T914" s="32"/>
    </row>
    <row r="915" spans="1:20" ht="14.25" customHeight="1" x14ac:dyDescent="0.35">
      <c r="A915" s="32"/>
      <c r="B915" s="100"/>
      <c r="C915" s="100"/>
      <c r="D915" s="100"/>
      <c r="E915" s="33"/>
      <c r="F915" s="1"/>
      <c r="G915" s="101"/>
      <c r="H915" s="101"/>
      <c r="I915" s="33"/>
      <c r="J915" s="33"/>
      <c r="K915" s="101"/>
      <c r="L915" s="101"/>
      <c r="M915" s="33"/>
      <c r="T915" s="32"/>
    </row>
    <row r="916" spans="1:20" ht="14.25" customHeight="1" x14ac:dyDescent="0.35">
      <c r="A916" s="32"/>
      <c r="B916" s="100"/>
      <c r="C916" s="100"/>
      <c r="D916" s="100"/>
      <c r="E916" s="33"/>
      <c r="F916" s="1"/>
      <c r="G916" s="101"/>
      <c r="H916" s="101"/>
      <c r="I916" s="33"/>
      <c r="J916" s="33"/>
      <c r="K916" s="101"/>
      <c r="L916" s="101"/>
      <c r="M916" s="33"/>
      <c r="T916" s="32"/>
    </row>
    <row r="917" spans="1:20" ht="14.25" customHeight="1" x14ac:dyDescent="0.35">
      <c r="A917" s="32"/>
      <c r="B917" s="100"/>
      <c r="C917" s="100"/>
      <c r="D917" s="100"/>
      <c r="E917" s="33"/>
      <c r="F917" s="1"/>
      <c r="G917" s="101"/>
      <c r="H917" s="101"/>
      <c r="I917" s="33"/>
      <c r="J917" s="33"/>
      <c r="K917" s="101"/>
      <c r="L917" s="101"/>
      <c r="M917" s="33"/>
      <c r="T917" s="32"/>
    </row>
    <row r="918" spans="1:20" ht="14.25" customHeight="1" x14ac:dyDescent="0.35">
      <c r="A918" s="32"/>
      <c r="B918" s="100"/>
      <c r="C918" s="100"/>
      <c r="D918" s="100"/>
      <c r="E918" s="33"/>
      <c r="F918" s="1"/>
      <c r="G918" s="101"/>
      <c r="H918" s="101"/>
      <c r="I918" s="33"/>
      <c r="J918" s="33"/>
      <c r="K918" s="101"/>
      <c r="L918" s="101"/>
      <c r="M918" s="33"/>
      <c r="T918" s="32"/>
    </row>
    <row r="919" spans="1:20" ht="14.25" customHeight="1" x14ac:dyDescent="0.35">
      <c r="A919" s="32"/>
      <c r="B919" s="100"/>
      <c r="C919" s="100"/>
      <c r="D919" s="100"/>
      <c r="E919" s="33"/>
      <c r="F919" s="1"/>
      <c r="G919" s="101"/>
      <c r="H919" s="101"/>
      <c r="I919" s="33"/>
      <c r="J919" s="33"/>
      <c r="K919" s="101"/>
      <c r="L919" s="101"/>
      <c r="M919" s="33"/>
      <c r="T919" s="32"/>
    </row>
    <row r="920" spans="1:20" ht="14.25" customHeight="1" x14ac:dyDescent="0.35">
      <c r="A920" s="32"/>
      <c r="B920" s="100"/>
      <c r="C920" s="100"/>
      <c r="D920" s="100"/>
      <c r="E920" s="33"/>
      <c r="F920" s="1"/>
      <c r="G920" s="101"/>
      <c r="H920" s="101"/>
      <c r="I920" s="33"/>
      <c r="J920" s="33"/>
      <c r="K920" s="101"/>
      <c r="L920" s="101"/>
      <c r="M920" s="33"/>
      <c r="T920" s="32"/>
    </row>
    <row r="921" spans="1:20" ht="14.25" customHeight="1" x14ac:dyDescent="0.35">
      <c r="A921" s="32"/>
      <c r="B921" s="100"/>
      <c r="C921" s="100"/>
      <c r="D921" s="100"/>
      <c r="E921" s="33"/>
      <c r="F921" s="1"/>
      <c r="G921" s="101"/>
      <c r="H921" s="101"/>
      <c r="I921" s="33"/>
      <c r="J921" s="33"/>
      <c r="K921" s="101"/>
      <c r="L921" s="101"/>
      <c r="M921" s="33"/>
      <c r="T921" s="32"/>
    </row>
    <row r="922" spans="1:20" ht="14.25" customHeight="1" x14ac:dyDescent="0.35">
      <c r="A922" s="32"/>
      <c r="B922" s="100"/>
      <c r="C922" s="100"/>
      <c r="D922" s="100"/>
      <c r="E922" s="33"/>
      <c r="F922" s="1"/>
      <c r="G922" s="101"/>
      <c r="H922" s="101"/>
      <c r="I922" s="33"/>
      <c r="J922" s="33"/>
      <c r="K922" s="101"/>
      <c r="L922" s="101"/>
      <c r="M922" s="33"/>
      <c r="T922" s="32"/>
    </row>
    <row r="923" spans="1:20" ht="14.25" customHeight="1" x14ac:dyDescent="0.35">
      <c r="A923" s="32"/>
      <c r="B923" s="100"/>
      <c r="C923" s="100"/>
      <c r="D923" s="100"/>
      <c r="E923" s="33"/>
      <c r="F923" s="1"/>
      <c r="G923" s="101"/>
      <c r="H923" s="101"/>
      <c r="I923" s="33"/>
      <c r="J923" s="33"/>
      <c r="K923" s="101"/>
      <c r="L923" s="101"/>
      <c r="M923" s="33"/>
      <c r="T923" s="32"/>
    </row>
    <row r="924" spans="1:20" ht="14.25" customHeight="1" x14ac:dyDescent="0.35">
      <c r="A924" s="32"/>
      <c r="B924" s="100"/>
      <c r="C924" s="100"/>
      <c r="D924" s="100"/>
      <c r="E924" s="33"/>
      <c r="F924" s="1"/>
      <c r="G924" s="101"/>
      <c r="H924" s="101"/>
      <c r="I924" s="33"/>
      <c r="J924" s="33"/>
      <c r="K924" s="101"/>
      <c r="L924" s="101"/>
      <c r="M924" s="33"/>
      <c r="T924" s="32"/>
    </row>
    <row r="925" spans="1:20" ht="14.25" customHeight="1" x14ac:dyDescent="0.35">
      <c r="A925" s="32"/>
      <c r="B925" s="100"/>
      <c r="C925" s="100"/>
      <c r="D925" s="100"/>
      <c r="E925" s="33"/>
      <c r="F925" s="1"/>
      <c r="G925" s="101"/>
      <c r="H925" s="101"/>
      <c r="I925" s="33"/>
      <c r="J925" s="33"/>
      <c r="K925" s="101"/>
      <c r="L925" s="101"/>
      <c r="M925" s="33"/>
      <c r="T925" s="32"/>
    </row>
    <row r="926" spans="1:20" ht="14.25" customHeight="1" x14ac:dyDescent="0.35">
      <c r="A926" s="32"/>
      <c r="B926" s="100"/>
      <c r="C926" s="100"/>
      <c r="D926" s="100"/>
      <c r="E926" s="33"/>
      <c r="F926" s="1"/>
      <c r="G926" s="101"/>
      <c r="H926" s="101"/>
      <c r="I926" s="33"/>
      <c r="J926" s="33"/>
      <c r="K926" s="101"/>
      <c r="L926" s="101"/>
      <c r="M926" s="33"/>
      <c r="T926" s="32"/>
    </row>
    <row r="927" spans="1:20" ht="14.25" customHeight="1" x14ac:dyDescent="0.35">
      <c r="A927" s="32"/>
      <c r="B927" s="100"/>
      <c r="C927" s="100"/>
      <c r="D927" s="100"/>
      <c r="E927" s="33"/>
      <c r="F927" s="1"/>
      <c r="G927" s="101"/>
      <c r="H927" s="101"/>
      <c r="I927" s="33"/>
      <c r="J927" s="33"/>
      <c r="K927" s="101"/>
      <c r="L927" s="101"/>
      <c r="M927" s="33"/>
      <c r="T927" s="32"/>
    </row>
    <row r="928" spans="1:20" ht="14.25" customHeight="1" x14ac:dyDescent="0.35">
      <c r="A928" s="32"/>
      <c r="B928" s="100"/>
      <c r="C928" s="100"/>
      <c r="D928" s="100"/>
      <c r="E928" s="33"/>
      <c r="F928" s="1"/>
      <c r="G928" s="101"/>
      <c r="H928" s="101"/>
      <c r="I928" s="33"/>
      <c r="J928" s="33"/>
      <c r="K928" s="101"/>
      <c r="L928" s="101"/>
      <c r="M928" s="33"/>
      <c r="T928" s="32"/>
    </row>
    <row r="929" spans="1:20" ht="14.25" customHeight="1" x14ac:dyDescent="0.35">
      <c r="A929" s="32"/>
      <c r="B929" s="100"/>
      <c r="C929" s="100"/>
      <c r="D929" s="100"/>
      <c r="E929" s="33"/>
      <c r="F929" s="1"/>
      <c r="G929" s="101"/>
      <c r="H929" s="101"/>
      <c r="I929" s="33"/>
      <c r="J929" s="33"/>
      <c r="K929" s="101"/>
      <c r="L929" s="101"/>
      <c r="M929" s="33"/>
      <c r="T929" s="32"/>
    </row>
    <row r="930" spans="1:20" ht="14.25" customHeight="1" x14ac:dyDescent="0.35">
      <c r="A930" s="32"/>
      <c r="B930" s="100"/>
      <c r="C930" s="100"/>
      <c r="D930" s="100"/>
      <c r="E930" s="33"/>
      <c r="F930" s="1"/>
      <c r="G930" s="101"/>
      <c r="H930" s="101"/>
      <c r="I930" s="33"/>
      <c r="J930" s="33"/>
      <c r="K930" s="101"/>
      <c r="L930" s="101"/>
      <c r="M930" s="33"/>
      <c r="T930" s="32"/>
    </row>
    <row r="931" spans="1:20" ht="14.25" customHeight="1" x14ac:dyDescent="0.35">
      <c r="A931" s="32"/>
      <c r="B931" s="100"/>
      <c r="C931" s="100"/>
      <c r="D931" s="100"/>
      <c r="E931" s="33"/>
      <c r="F931" s="1"/>
      <c r="G931" s="101"/>
      <c r="H931" s="101"/>
      <c r="I931" s="33"/>
      <c r="J931" s="33"/>
      <c r="K931" s="101"/>
      <c r="L931" s="101"/>
      <c r="M931" s="33"/>
      <c r="T931" s="32"/>
    </row>
    <row r="932" spans="1:20" ht="14.25" customHeight="1" x14ac:dyDescent="0.35">
      <c r="A932" s="32"/>
      <c r="B932" s="100"/>
      <c r="C932" s="100"/>
      <c r="D932" s="100"/>
      <c r="E932" s="33"/>
      <c r="F932" s="1"/>
      <c r="G932" s="101"/>
      <c r="H932" s="101"/>
      <c r="I932" s="33"/>
      <c r="J932" s="33"/>
      <c r="K932" s="101"/>
      <c r="L932" s="101"/>
      <c r="M932" s="33"/>
      <c r="T932" s="32"/>
    </row>
    <row r="933" spans="1:20" ht="14.25" customHeight="1" x14ac:dyDescent="0.35">
      <c r="A933" s="32"/>
      <c r="B933" s="100"/>
      <c r="C933" s="100"/>
      <c r="D933" s="100"/>
      <c r="E933" s="33"/>
      <c r="F933" s="1"/>
      <c r="G933" s="101"/>
      <c r="H933" s="101"/>
      <c r="I933" s="33"/>
      <c r="J933" s="33"/>
      <c r="K933" s="101"/>
      <c r="L933" s="101"/>
      <c r="M933" s="33"/>
      <c r="T933" s="32"/>
    </row>
    <row r="934" spans="1:20" ht="14.25" customHeight="1" x14ac:dyDescent="0.35">
      <c r="A934" s="32"/>
      <c r="B934" s="100"/>
      <c r="C934" s="100"/>
      <c r="D934" s="100"/>
      <c r="E934" s="33"/>
      <c r="F934" s="1"/>
      <c r="G934" s="101"/>
      <c r="H934" s="101"/>
      <c r="I934" s="33"/>
      <c r="J934" s="33"/>
      <c r="K934" s="101"/>
      <c r="L934" s="101"/>
      <c r="M934" s="33"/>
      <c r="T934" s="32"/>
    </row>
    <row r="935" spans="1:20" ht="14.25" customHeight="1" x14ac:dyDescent="0.35">
      <c r="A935" s="32"/>
      <c r="B935" s="100"/>
      <c r="C935" s="100"/>
      <c r="D935" s="100"/>
      <c r="E935" s="33"/>
      <c r="F935" s="1"/>
      <c r="G935" s="101"/>
      <c r="H935" s="101"/>
      <c r="I935" s="33"/>
      <c r="J935" s="33"/>
      <c r="K935" s="101"/>
      <c r="L935" s="101"/>
      <c r="M935" s="33"/>
      <c r="T935" s="32"/>
    </row>
    <row r="936" spans="1:20" ht="14.25" customHeight="1" x14ac:dyDescent="0.35">
      <c r="A936" s="32"/>
      <c r="B936" s="100"/>
      <c r="C936" s="100"/>
      <c r="D936" s="100"/>
      <c r="E936" s="33"/>
      <c r="F936" s="1"/>
      <c r="G936" s="101"/>
      <c r="H936" s="101"/>
      <c r="I936" s="33"/>
      <c r="J936" s="33"/>
      <c r="K936" s="101"/>
      <c r="L936" s="101"/>
      <c r="M936" s="33"/>
      <c r="T936" s="32"/>
    </row>
    <row r="937" spans="1:20" ht="14.25" customHeight="1" x14ac:dyDescent="0.35">
      <c r="A937" s="32"/>
      <c r="B937" s="100"/>
      <c r="C937" s="100"/>
      <c r="D937" s="100"/>
      <c r="E937" s="33"/>
      <c r="F937" s="1"/>
      <c r="G937" s="101"/>
      <c r="H937" s="101"/>
      <c r="I937" s="33"/>
      <c r="J937" s="33"/>
      <c r="K937" s="101"/>
      <c r="L937" s="101"/>
      <c r="M937" s="33"/>
      <c r="T937" s="32"/>
    </row>
    <row r="938" spans="1:20" ht="14.25" customHeight="1" x14ac:dyDescent="0.35">
      <c r="A938" s="32"/>
      <c r="B938" s="100"/>
      <c r="C938" s="100"/>
      <c r="D938" s="100"/>
      <c r="E938" s="33"/>
      <c r="F938" s="1"/>
      <c r="G938" s="101"/>
      <c r="H938" s="101"/>
      <c r="I938" s="33"/>
      <c r="J938" s="33"/>
      <c r="K938" s="101"/>
      <c r="L938" s="101"/>
      <c r="M938" s="33"/>
      <c r="T938" s="32"/>
    </row>
    <row r="939" spans="1:20" ht="14.25" customHeight="1" x14ac:dyDescent="0.35">
      <c r="A939" s="32"/>
      <c r="B939" s="100"/>
      <c r="C939" s="100"/>
      <c r="D939" s="100"/>
      <c r="E939" s="33"/>
      <c r="F939" s="1"/>
      <c r="G939" s="101"/>
      <c r="H939" s="101"/>
      <c r="I939" s="33"/>
      <c r="J939" s="33"/>
      <c r="K939" s="101"/>
      <c r="L939" s="101"/>
      <c r="M939" s="33"/>
      <c r="T939" s="32"/>
    </row>
    <row r="940" spans="1:20" ht="14.25" customHeight="1" x14ac:dyDescent="0.35">
      <c r="A940" s="32"/>
      <c r="B940" s="100"/>
      <c r="C940" s="100"/>
      <c r="D940" s="100"/>
      <c r="E940" s="33"/>
      <c r="F940" s="1"/>
      <c r="G940" s="101"/>
      <c r="H940" s="101"/>
      <c r="I940" s="33"/>
      <c r="J940" s="33"/>
      <c r="K940" s="101"/>
      <c r="L940" s="101"/>
      <c r="M940" s="33"/>
      <c r="T940" s="32"/>
    </row>
    <row r="941" spans="1:20" ht="14.25" customHeight="1" x14ac:dyDescent="0.35">
      <c r="A941" s="32"/>
      <c r="B941" s="100"/>
      <c r="C941" s="100"/>
      <c r="D941" s="100"/>
      <c r="E941" s="33"/>
      <c r="F941" s="1"/>
      <c r="G941" s="101"/>
      <c r="H941" s="101"/>
      <c r="I941" s="33"/>
      <c r="J941" s="33"/>
      <c r="K941" s="101"/>
      <c r="L941" s="101"/>
      <c r="M941" s="33"/>
      <c r="T941" s="32"/>
    </row>
    <row r="942" spans="1:20" ht="14.25" customHeight="1" x14ac:dyDescent="0.35">
      <c r="A942" s="32"/>
      <c r="B942" s="100"/>
      <c r="C942" s="100"/>
      <c r="D942" s="100"/>
      <c r="E942" s="33"/>
      <c r="F942" s="1"/>
      <c r="G942" s="101"/>
      <c r="H942" s="101"/>
      <c r="I942" s="33"/>
      <c r="J942" s="33"/>
      <c r="K942" s="101"/>
      <c r="L942" s="101"/>
      <c r="M942" s="33"/>
      <c r="T942" s="32"/>
    </row>
    <row r="943" spans="1:20" ht="14.25" customHeight="1" x14ac:dyDescent="0.35">
      <c r="A943" s="32"/>
      <c r="B943" s="100"/>
      <c r="C943" s="100"/>
      <c r="D943" s="100"/>
      <c r="E943" s="33"/>
      <c r="F943" s="1"/>
      <c r="G943" s="101"/>
      <c r="H943" s="101"/>
      <c r="I943" s="33"/>
      <c r="J943" s="33"/>
      <c r="K943" s="101"/>
      <c r="L943" s="101"/>
      <c r="M943" s="33"/>
      <c r="T943" s="32"/>
    </row>
    <row r="944" spans="1:20" ht="14.25" customHeight="1" x14ac:dyDescent="0.35">
      <c r="A944" s="32"/>
      <c r="B944" s="100"/>
      <c r="C944" s="100"/>
      <c r="D944" s="100"/>
      <c r="E944" s="33"/>
      <c r="F944" s="1"/>
      <c r="G944" s="101"/>
      <c r="H944" s="101"/>
      <c r="I944" s="33"/>
      <c r="J944" s="33"/>
      <c r="K944" s="101"/>
      <c r="L944" s="101"/>
      <c r="M944" s="33"/>
      <c r="T944" s="32"/>
    </row>
    <row r="945" spans="1:20" ht="14.25" customHeight="1" x14ac:dyDescent="0.35">
      <c r="A945" s="32"/>
      <c r="B945" s="100"/>
      <c r="C945" s="100"/>
      <c r="D945" s="100"/>
      <c r="E945" s="33"/>
      <c r="F945" s="1"/>
      <c r="G945" s="101"/>
      <c r="H945" s="101"/>
      <c r="I945" s="33"/>
      <c r="J945" s="33"/>
      <c r="K945" s="101"/>
      <c r="L945" s="101"/>
      <c r="M945" s="33"/>
      <c r="T945" s="32"/>
    </row>
    <row r="946" spans="1:20" ht="14.25" customHeight="1" x14ac:dyDescent="0.35">
      <c r="A946" s="32"/>
      <c r="B946" s="100"/>
      <c r="C946" s="100"/>
      <c r="D946" s="100"/>
      <c r="E946" s="33"/>
      <c r="F946" s="1"/>
      <c r="G946" s="101"/>
      <c r="H946" s="101"/>
      <c r="I946" s="33"/>
      <c r="J946" s="33"/>
      <c r="K946" s="101"/>
      <c r="L946" s="101"/>
      <c r="M946" s="33"/>
      <c r="T946" s="32"/>
    </row>
    <row r="947" spans="1:20" ht="14.25" customHeight="1" x14ac:dyDescent="0.35">
      <c r="A947" s="32"/>
      <c r="B947" s="100"/>
      <c r="C947" s="100"/>
      <c r="D947" s="100"/>
      <c r="E947" s="33"/>
      <c r="F947" s="1"/>
      <c r="G947" s="101"/>
      <c r="H947" s="101"/>
      <c r="I947" s="33"/>
      <c r="J947" s="33"/>
      <c r="K947" s="101"/>
      <c r="L947" s="101"/>
      <c r="M947" s="33"/>
      <c r="T947" s="32"/>
    </row>
    <row r="948" spans="1:20" ht="14.25" customHeight="1" x14ac:dyDescent="0.35">
      <c r="A948" s="32"/>
      <c r="B948" s="100"/>
      <c r="C948" s="100"/>
      <c r="D948" s="100"/>
      <c r="E948" s="33"/>
      <c r="F948" s="1"/>
      <c r="G948" s="101"/>
      <c r="H948" s="101"/>
      <c r="I948" s="33"/>
      <c r="J948" s="33"/>
      <c r="K948" s="101"/>
      <c r="L948" s="101"/>
      <c r="M948" s="33"/>
      <c r="T948" s="32"/>
    </row>
    <row r="949" spans="1:20" ht="14.25" customHeight="1" x14ac:dyDescent="0.35">
      <c r="A949" s="32"/>
      <c r="B949" s="100"/>
      <c r="C949" s="100"/>
      <c r="D949" s="100"/>
      <c r="E949" s="33"/>
      <c r="F949" s="1"/>
      <c r="G949" s="101"/>
      <c r="H949" s="101"/>
      <c r="I949" s="33"/>
      <c r="J949" s="33"/>
      <c r="K949" s="101"/>
      <c r="L949" s="101"/>
      <c r="M949" s="33"/>
      <c r="T949" s="32"/>
    </row>
    <row r="950" spans="1:20" ht="14.25" customHeight="1" x14ac:dyDescent="0.35">
      <c r="A950" s="32"/>
      <c r="B950" s="100"/>
      <c r="C950" s="100"/>
      <c r="D950" s="100"/>
      <c r="E950" s="33"/>
      <c r="F950" s="1"/>
      <c r="G950" s="101"/>
      <c r="H950" s="101"/>
      <c r="I950" s="33"/>
      <c r="J950" s="33"/>
      <c r="K950" s="101"/>
      <c r="L950" s="101"/>
      <c r="M950" s="33"/>
      <c r="T950" s="32"/>
    </row>
    <row r="951" spans="1:20" ht="14.25" customHeight="1" x14ac:dyDescent="0.35">
      <c r="A951" s="32"/>
      <c r="B951" s="100"/>
      <c r="C951" s="100"/>
      <c r="D951" s="100"/>
      <c r="E951" s="33"/>
      <c r="F951" s="1"/>
      <c r="G951" s="101"/>
      <c r="H951" s="101"/>
      <c r="I951" s="33"/>
      <c r="J951" s="33"/>
      <c r="K951" s="101"/>
      <c r="L951" s="101"/>
      <c r="M951" s="33"/>
      <c r="T951" s="32"/>
    </row>
    <row r="952" spans="1:20" ht="14.25" customHeight="1" x14ac:dyDescent="0.35">
      <c r="A952" s="32"/>
      <c r="B952" s="100"/>
      <c r="C952" s="100"/>
      <c r="D952" s="100"/>
      <c r="E952" s="33"/>
      <c r="F952" s="1"/>
      <c r="G952" s="101"/>
      <c r="H952" s="101"/>
      <c r="I952" s="33"/>
      <c r="J952" s="33"/>
      <c r="K952" s="101"/>
      <c r="L952" s="101"/>
      <c r="M952" s="33"/>
      <c r="T952" s="32"/>
    </row>
    <row r="953" spans="1:20" ht="14.25" customHeight="1" x14ac:dyDescent="0.35">
      <c r="A953" s="32"/>
      <c r="B953" s="100"/>
      <c r="C953" s="100"/>
      <c r="D953" s="100"/>
      <c r="E953" s="33"/>
      <c r="F953" s="1"/>
      <c r="G953" s="101"/>
      <c r="H953" s="101"/>
      <c r="I953" s="33"/>
      <c r="J953" s="33"/>
      <c r="K953" s="101"/>
      <c r="L953" s="101"/>
      <c r="M953" s="33"/>
      <c r="T953" s="32"/>
    </row>
    <row r="954" spans="1:20" ht="14.25" customHeight="1" x14ac:dyDescent="0.35">
      <c r="A954" s="32"/>
      <c r="B954" s="100"/>
      <c r="C954" s="100"/>
      <c r="D954" s="100"/>
      <c r="E954" s="33"/>
      <c r="F954" s="1"/>
      <c r="G954" s="101"/>
      <c r="H954" s="101"/>
      <c r="I954" s="33"/>
      <c r="J954" s="33"/>
      <c r="K954" s="101"/>
      <c r="L954" s="101"/>
      <c r="M954" s="33"/>
      <c r="T954" s="32"/>
    </row>
    <row r="955" spans="1:20" ht="14.25" customHeight="1" x14ac:dyDescent="0.35">
      <c r="A955" s="32"/>
      <c r="B955" s="100"/>
      <c r="C955" s="100"/>
      <c r="D955" s="100"/>
      <c r="E955" s="33"/>
      <c r="F955" s="1"/>
      <c r="G955" s="101"/>
      <c r="H955" s="101"/>
      <c r="I955" s="33"/>
      <c r="J955" s="33"/>
      <c r="K955" s="101"/>
      <c r="L955" s="101"/>
      <c r="M955" s="33"/>
      <c r="T955" s="32"/>
    </row>
    <row r="956" spans="1:20" ht="14.25" customHeight="1" x14ac:dyDescent="0.35">
      <c r="A956" s="32"/>
      <c r="B956" s="100"/>
      <c r="C956" s="100"/>
      <c r="D956" s="100"/>
      <c r="E956" s="33"/>
      <c r="F956" s="1"/>
      <c r="G956" s="101"/>
      <c r="H956" s="101"/>
      <c r="I956" s="33"/>
      <c r="J956" s="33"/>
      <c r="K956" s="101"/>
      <c r="L956" s="101"/>
      <c r="M956" s="33"/>
      <c r="T956" s="32"/>
    </row>
    <row r="957" spans="1:20" ht="14.25" customHeight="1" x14ac:dyDescent="0.35">
      <c r="A957" s="32"/>
      <c r="B957" s="100"/>
      <c r="C957" s="100"/>
      <c r="D957" s="100"/>
      <c r="E957" s="33"/>
      <c r="F957" s="1"/>
      <c r="G957" s="101"/>
      <c r="H957" s="101"/>
      <c r="I957" s="33"/>
      <c r="J957" s="33"/>
      <c r="K957" s="101"/>
      <c r="L957" s="101"/>
      <c r="M957" s="33"/>
      <c r="T957" s="32"/>
    </row>
    <row r="958" spans="1:20" ht="14.25" customHeight="1" x14ac:dyDescent="0.35">
      <c r="A958" s="32"/>
      <c r="B958" s="100"/>
      <c r="C958" s="100"/>
      <c r="D958" s="100"/>
      <c r="E958" s="33"/>
      <c r="F958" s="1"/>
      <c r="G958" s="101"/>
      <c r="H958" s="101"/>
      <c r="I958" s="33"/>
      <c r="J958" s="33"/>
      <c r="K958" s="101"/>
      <c r="L958" s="101"/>
      <c r="M958" s="33"/>
      <c r="T958" s="32"/>
    </row>
    <row r="959" spans="1:20" ht="14.25" customHeight="1" x14ac:dyDescent="0.35">
      <c r="A959" s="32"/>
      <c r="B959" s="100"/>
      <c r="C959" s="100"/>
      <c r="D959" s="100"/>
      <c r="E959" s="33"/>
      <c r="F959" s="1"/>
      <c r="G959" s="101"/>
      <c r="H959" s="101"/>
      <c r="I959" s="33"/>
      <c r="J959" s="33"/>
      <c r="K959" s="101"/>
      <c r="L959" s="101"/>
      <c r="M959" s="33"/>
      <c r="T959" s="32"/>
    </row>
    <row r="960" spans="1:20" ht="14.25" customHeight="1" x14ac:dyDescent="0.35">
      <c r="A960" s="32"/>
      <c r="B960" s="100"/>
      <c r="C960" s="100"/>
      <c r="D960" s="100"/>
      <c r="E960" s="33"/>
      <c r="F960" s="1"/>
      <c r="G960" s="101"/>
      <c r="H960" s="101"/>
      <c r="I960" s="33"/>
      <c r="J960" s="33"/>
      <c r="K960" s="101"/>
      <c r="L960" s="101"/>
      <c r="M960" s="33"/>
      <c r="T960" s="32"/>
    </row>
    <row r="961" spans="1:20" ht="14.25" customHeight="1" x14ac:dyDescent="0.35">
      <c r="A961" s="32"/>
      <c r="B961" s="100"/>
      <c r="C961" s="100"/>
      <c r="D961" s="100"/>
      <c r="E961" s="33"/>
      <c r="F961" s="1"/>
      <c r="G961" s="101"/>
      <c r="H961" s="101"/>
      <c r="I961" s="33"/>
      <c r="J961" s="33"/>
      <c r="K961" s="101"/>
      <c r="L961" s="101"/>
      <c r="M961" s="33"/>
      <c r="T961" s="32"/>
    </row>
    <row r="962" spans="1:20" ht="14.25" customHeight="1" x14ac:dyDescent="0.35">
      <c r="A962" s="32"/>
      <c r="B962" s="100"/>
      <c r="C962" s="100"/>
      <c r="D962" s="100"/>
      <c r="E962" s="33"/>
      <c r="F962" s="1"/>
      <c r="G962" s="101"/>
      <c r="H962" s="101"/>
      <c r="I962" s="33"/>
      <c r="J962" s="33"/>
      <c r="K962" s="101"/>
      <c r="L962" s="101"/>
      <c r="M962" s="33"/>
      <c r="T962" s="32"/>
    </row>
    <row r="963" spans="1:20" ht="14.25" customHeight="1" x14ac:dyDescent="0.35">
      <c r="A963" s="32"/>
      <c r="B963" s="100"/>
      <c r="C963" s="100"/>
      <c r="D963" s="100"/>
      <c r="E963" s="33"/>
      <c r="F963" s="1"/>
      <c r="G963" s="101"/>
      <c r="H963" s="101"/>
      <c r="I963" s="33"/>
      <c r="J963" s="33"/>
      <c r="K963" s="101"/>
      <c r="L963" s="101"/>
      <c r="M963" s="33"/>
      <c r="T963" s="32"/>
    </row>
    <row r="964" spans="1:20" ht="14.25" customHeight="1" x14ac:dyDescent="0.35">
      <c r="A964" s="32"/>
      <c r="B964" s="100"/>
      <c r="C964" s="100"/>
      <c r="D964" s="100"/>
      <c r="E964" s="33"/>
      <c r="F964" s="1"/>
      <c r="G964" s="101"/>
      <c r="H964" s="101"/>
      <c r="I964" s="33"/>
      <c r="J964" s="33"/>
      <c r="K964" s="101"/>
      <c r="L964" s="101"/>
      <c r="M964" s="33"/>
      <c r="T964" s="32"/>
    </row>
    <row r="965" spans="1:20" ht="14.25" customHeight="1" x14ac:dyDescent="0.35">
      <c r="A965" s="32"/>
      <c r="B965" s="100"/>
      <c r="C965" s="100"/>
      <c r="D965" s="100"/>
      <c r="E965" s="33"/>
      <c r="F965" s="1"/>
      <c r="G965" s="101"/>
      <c r="H965" s="101"/>
      <c r="I965" s="33"/>
      <c r="J965" s="33"/>
      <c r="K965" s="101"/>
      <c r="L965" s="101"/>
      <c r="M965" s="33"/>
      <c r="T965" s="32"/>
    </row>
    <row r="966" spans="1:20" ht="14.25" customHeight="1" x14ac:dyDescent="0.35">
      <c r="A966" s="32"/>
      <c r="B966" s="100"/>
      <c r="C966" s="100"/>
      <c r="D966" s="100"/>
      <c r="E966" s="33"/>
      <c r="F966" s="1"/>
      <c r="G966" s="101"/>
      <c r="H966" s="101"/>
      <c r="I966" s="33"/>
      <c r="J966" s="33"/>
      <c r="K966" s="101"/>
      <c r="L966" s="101"/>
      <c r="M966" s="33"/>
      <c r="T966" s="32"/>
    </row>
    <row r="967" spans="1:20" ht="14.25" customHeight="1" x14ac:dyDescent="0.35">
      <c r="A967" s="32"/>
      <c r="B967" s="100"/>
      <c r="C967" s="100"/>
      <c r="D967" s="100"/>
      <c r="E967" s="33"/>
      <c r="F967" s="1"/>
      <c r="G967" s="101"/>
      <c r="H967" s="101"/>
      <c r="I967" s="33"/>
      <c r="J967" s="33"/>
      <c r="K967" s="101"/>
      <c r="L967" s="101"/>
      <c r="M967" s="33"/>
      <c r="T967" s="32"/>
    </row>
    <row r="968" spans="1:20" ht="14.25" customHeight="1" x14ac:dyDescent="0.35">
      <c r="A968" s="32"/>
      <c r="B968" s="100"/>
      <c r="C968" s="100"/>
      <c r="D968" s="100"/>
      <c r="E968" s="33"/>
      <c r="F968" s="1"/>
      <c r="G968" s="101"/>
      <c r="H968" s="101"/>
      <c r="I968" s="33"/>
      <c r="J968" s="33"/>
      <c r="K968" s="101"/>
      <c r="L968" s="101"/>
      <c r="M968" s="33"/>
      <c r="T968" s="32"/>
    </row>
    <row r="969" spans="1:20" ht="14.25" customHeight="1" x14ac:dyDescent="0.35">
      <c r="A969" s="32"/>
      <c r="B969" s="100"/>
      <c r="C969" s="100"/>
      <c r="D969" s="100"/>
      <c r="E969" s="33"/>
      <c r="F969" s="1"/>
      <c r="G969" s="101"/>
      <c r="H969" s="101"/>
      <c r="I969" s="33"/>
      <c r="J969" s="33"/>
      <c r="K969" s="101"/>
      <c r="L969" s="101"/>
      <c r="M969" s="33"/>
      <c r="T969" s="32"/>
    </row>
    <row r="970" spans="1:20" ht="14.25" customHeight="1" x14ac:dyDescent="0.35">
      <c r="A970" s="32"/>
      <c r="B970" s="100"/>
      <c r="C970" s="100"/>
      <c r="D970" s="100"/>
      <c r="E970" s="33"/>
      <c r="F970" s="1"/>
      <c r="G970" s="101"/>
      <c r="H970" s="101"/>
      <c r="I970" s="33"/>
      <c r="J970" s="33"/>
      <c r="K970" s="101"/>
      <c r="L970" s="101"/>
      <c r="M970" s="33"/>
      <c r="T970" s="32"/>
    </row>
    <row r="971" spans="1:20" ht="14.25" customHeight="1" x14ac:dyDescent="0.35">
      <c r="A971" s="32"/>
      <c r="B971" s="100"/>
      <c r="C971" s="100"/>
      <c r="D971" s="100"/>
      <c r="E971" s="33"/>
      <c r="F971" s="1"/>
      <c r="G971" s="101"/>
      <c r="H971" s="101"/>
      <c r="I971" s="33"/>
      <c r="J971" s="33"/>
      <c r="K971" s="101"/>
      <c r="L971" s="101"/>
      <c r="M971" s="33"/>
      <c r="T971" s="32"/>
    </row>
    <row r="972" spans="1:20" ht="14.25" customHeight="1" x14ac:dyDescent="0.35">
      <c r="A972" s="32"/>
      <c r="B972" s="100"/>
      <c r="C972" s="100"/>
      <c r="D972" s="100"/>
      <c r="E972" s="33"/>
      <c r="F972" s="1"/>
      <c r="G972" s="101"/>
      <c r="H972" s="101"/>
      <c r="I972" s="33"/>
      <c r="J972" s="33"/>
      <c r="K972" s="101"/>
      <c r="L972" s="101"/>
      <c r="M972" s="33"/>
      <c r="T972" s="32"/>
    </row>
    <row r="973" spans="1:20" ht="14.25" customHeight="1" x14ac:dyDescent="0.35">
      <c r="A973" s="32"/>
      <c r="B973" s="100"/>
      <c r="C973" s="100"/>
      <c r="D973" s="100"/>
      <c r="E973" s="33"/>
      <c r="F973" s="1"/>
      <c r="G973" s="101"/>
      <c r="H973" s="101"/>
      <c r="I973" s="33"/>
      <c r="J973" s="33"/>
      <c r="K973" s="101"/>
      <c r="L973" s="101"/>
      <c r="M973" s="33"/>
      <c r="T973" s="32"/>
    </row>
    <row r="974" spans="1:20" ht="14.25" customHeight="1" x14ac:dyDescent="0.35">
      <c r="A974" s="32"/>
      <c r="B974" s="100"/>
      <c r="C974" s="100"/>
      <c r="D974" s="100"/>
      <c r="E974" s="33"/>
      <c r="F974" s="1"/>
      <c r="G974" s="101"/>
      <c r="H974" s="101"/>
      <c r="I974" s="33"/>
      <c r="J974" s="33"/>
      <c r="K974" s="101"/>
      <c r="L974" s="101"/>
      <c r="M974" s="33"/>
      <c r="T974" s="32"/>
    </row>
    <row r="975" spans="1:20" ht="14.25" customHeight="1" x14ac:dyDescent="0.35">
      <c r="A975" s="32"/>
      <c r="B975" s="100"/>
      <c r="C975" s="100"/>
      <c r="D975" s="100"/>
      <c r="E975" s="33"/>
      <c r="F975" s="1"/>
      <c r="G975" s="101"/>
      <c r="H975" s="101"/>
      <c r="I975" s="33"/>
      <c r="J975" s="33"/>
      <c r="K975" s="101"/>
      <c r="L975" s="101"/>
      <c r="M975" s="33"/>
      <c r="T975" s="32"/>
    </row>
    <row r="976" spans="1:20" ht="14.25" customHeight="1" x14ac:dyDescent="0.35">
      <c r="A976" s="32"/>
      <c r="B976" s="100"/>
      <c r="C976" s="100"/>
      <c r="D976" s="100"/>
      <c r="E976" s="33"/>
      <c r="F976" s="1"/>
      <c r="G976" s="101"/>
      <c r="H976" s="101"/>
      <c r="I976" s="33"/>
      <c r="J976" s="33"/>
      <c r="K976" s="101"/>
      <c r="L976" s="101"/>
      <c r="M976" s="33"/>
      <c r="T976" s="32"/>
    </row>
    <row r="977" spans="1:20" ht="14.25" customHeight="1" x14ac:dyDescent="0.35">
      <c r="A977" s="32"/>
      <c r="B977" s="100"/>
      <c r="C977" s="100"/>
      <c r="D977" s="100"/>
      <c r="E977" s="33"/>
      <c r="F977" s="1"/>
      <c r="G977" s="101"/>
      <c r="H977" s="101"/>
      <c r="I977" s="33"/>
      <c r="J977" s="33"/>
      <c r="K977" s="101"/>
      <c r="L977" s="101"/>
      <c r="M977" s="33"/>
      <c r="T977" s="32"/>
    </row>
    <row r="978" spans="1:20" ht="14.25" customHeight="1" x14ac:dyDescent="0.35">
      <c r="A978" s="32"/>
      <c r="B978" s="100"/>
      <c r="C978" s="100"/>
      <c r="D978" s="100"/>
      <c r="E978" s="33"/>
      <c r="F978" s="1"/>
      <c r="G978" s="101"/>
      <c r="H978" s="101"/>
      <c r="I978" s="33"/>
      <c r="J978" s="33"/>
      <c r="K978" s="101"/>
      <c r="L978" s="101"/>
      <c r="M978" s="33"/>
      <c r="T978" s="32"/>
    </row>
    <row r="979" spans="1:20" ht="14.25" customHeight="1" x14ac:dyDescent="0.35">
      <c r="A979" s="32"/>
      <c r="B979" s="100"/>
      <c r="C979" s="100"/>
      <c r="D979" s="100"/>
      <c r="E979" s="33"/>
      <c r="F979" s="1"/>
      <c r="G979" s="101"/>
      <c r="H979" s="101"/>
      <c r="I979" s="33"/>
      <c r="J979" s="33"/>
      <c r="K979" s="101"/>
      <c r="L979" s="101"/>
      <c r="M979" s="33"/>
      <c r="T979" s="32"/>
    </row>
    <row r="980" spans="1:20" ht="14.25" customHeight="1" x14ac:dyDescent="0.35">
      <c r="A980" s="32"/>
      <c r="B980" s="100"/>
      <c r="C980" s="100"/>
      <c r="D980" s="100"/>
      <c r="E980" s="33"/>
      <c r="F980" s="1"/>
      <c r="G980" s="101"/>
      <c r="H980" s="101"/>
      <c r="I980" s="33"/>
      <c r="J980" s="33"/>
      <c r="K980" s="101"/>
      <c r="L980" s="101"/>
      <c r="M980" s="33"/>
      <c r="T980" s="32"/>
    </row>
    <row r="981" spans="1:20" ht="14.25" customHeight="1" x14ac:dyDescent="0.35">
      <c r="A981" s="32"/>
      <c r="B981" s="100"/>
      <c r="C981" s="100"/>
      <c r="D981" s="100"/>
      <c r="E981" s="33"/>
      <c r="F981" s="1"/>
      <c r="G981" s="101"/>
      <c r="H981" s="101"/>
      <c r="I981" s="33"/>
      <c r="J981" s="33"/>
      <c r="K981" s="101"/>
      <c r="L981" s="101"/>
      <c r="M981" s="33"/>
      <c r="T981" s="32"/>
    </row>
    <row r="982" spans="1:20" ht="14.25" customHeight="1" x14ac:dyDescent="0.35">
      <c r="A982" s="32"/>
      <c r="B982" s="100"/>
      <c r="C982" s="100"/>
      <c r="D982" s="100"/>
      <c r="E982" s="33"/>
      <c r="F982" s="1"/>
      <c r="G982" s="101"/>
      <c r="H982" s="101"/>
      <c r="I982" s="33"/>
      <c r="J982" s="33"/>
      <c r="K982" s="101"/>
      <c r="L982" s="101"/>
      <c r="M982" s="33"/>
      <c r="T982" s="32"/>
    </row>
    <row r="983" spans="1:20" ht="14.25" customHeight="1" x14ac:dyDescent="0.35">
      <c r="A983" s="32"/>
      <c r="B983" s="100"/>
      <c r="C983" s="100"/>
      <c r="D983" s="100"/>
      <c r="E983" s="33"/>
      <c r="F983" s="1"/>
      <c r="G983" s="101"/>
      <c r="H983" s="101"/>
      <c r="I983" s="33"/>
      <c r="J983" s="33"/>
      <c r="K983" s="101"/>
      <c r="L983" s="101"/>
      <c r="M983" s="33"/>
      <c r="T983" s="32"/>
    </row>
    <row r="984" spans="1:20" ht="14.25" customHeight="1" x14ac:dyDescent="0.35">
      <c r="A984" s="32"/>
      <c r="B984" s="100"/>
      <c r="C984" s="100"/>
      <c r="D984" s="100"/>
      <c r="E984" s="33"/>
      <c r="F984" s="1"/>
      <c r="G984" s="101"/>
      <c r="H984" s="101"/>
      <c r="I984" s="33"/>
      <c r="J984" s="33"/>
      <c r="K984" s="101"/>
      <c r="L984" s="101"/>
      <c r="M984" s="33"/>
      <c r="T984" s="32"/>
    </row>
    <row r="985" spans="1:20" ht="14.25" customHeight="1" x14ac:dyDescent="0.35">
      <c r="A985" s="32"/>
      <c r="B985" s="100"/>
      <c r="C985" s="100"/>
      <c r="D985" s="100"/>
      <c r="E985" s="33"/>
      <c r="F985" s="1"/>
      <c r="G985" s="101"/>
      <c r="H985" s="101"/>
      <c r="I985" s="33"/>
      <c r="J985" s="33"/>
      <c r="K985" s="101"/>
      <c r="L985" s="101"/>
      <c r="M985" s="33"/>
      <c r="T985" s="32"/>
    </row>
    <row r="986" spans="1:20" ht="14.25" customHeight="1" x14ac:dyDescent="0.35">
      <c r="A986" s="32"/>
      <c r="B986" s="100"/>
      <c r="C986" s="100"/>
      <c r="D986" s="100"/>
      <c r="E986" s="33"/>
      <c r="F986" s="1"/>
      <c r="G986" s="101"/>
      <c r="H986" s="101"/>
      <c r="I986" s="33"/>
      <c r="J986" s="33"/>
      <c r="K986" s="101"/>
      <c r="L986" s="101"/>
      <c r="M986" s="33"/>
      <c r="T986" s="32"/>
    </row>
    <row r="987" spans="1:20" ht="14.25" customHeight="1" x14ac:dyDescent="0.35">
      <c r="A987" s="32"/>
      <c r="B987" s="100"/>
      <c r="C987" s="100"/>
      <c r="D987" s="100"/>
      <c r="E987" s="33"/>
      <c r="F987" s="1"/>
      <c r="G987" s="101"/>
      <c r="H987" s="101"/>
      <c r="I987" s="33"/>
      <c r="J987" s="33"/>
      <c r="K987" s="101"/>
      <c r="L987" s="101"/>
      <c r="M987" s="33"/>
      <c r="T987" s="32"/>
    </row>
    <row r="988" spans="1:20" ht="14.25" customHeight="1" x14ac:dyDescent="0.35">
      <c r="A988" s="32"/>
      <c r="B988" s="100"/>
      <c r="C988" s="100"/>
      <c r="D988" s="100"/>
      <c r="E988" s="33"/>
      <c r="F988" s="1"/>
      <c r="G988" s="101"/>
      <c r="H988" s="101"/>
      <c r="I988" s="33"/>
      <c r="J988" s="33"/>
      <c r="K988" s="101"/>
      <c r="L988" s="101"/>
      <c r="M988" s="33"/>
      <c r="T988" s="32"/>
    </row>
    <row r="989" spans="1:20" ht="14.25" customHeight="1" x14ac:dyDescent="0.35">
      <c r="A989" s="32"/>
      <c r="B989" s="100"/>
      <c r="C989" s="100"/>
      <c r="D989" s="100"/>
      <c r="E989" s="33"/>
      <c r="F989" s="1"/>
      <c r="G989" s="101"/>
      <c r="H989" s="101"/>
      <c r="I989" s="33"/>
      <c r="J989" s="33"/>
      <c r="K989" s="101"/>
      <c r="L989" s="101"/>
      <c r="M989" s="33"/>
      <c r="T989" s="32"/>
    </row>
    <row r="990" spans="1:20" ht="14.25" customHeight="1" x14ac:dyDescent="0.35">
      <c r="A990" s="32"/>
      <c r="B990" s="100"/>
      <c r="C990" s="100"/>
      <c r="D990" s="100"/>
      <c r="E990" s="33"/>
      <c r="F990" s="1"/>
      <c r="G990" s="101"/>
      <c r="H990" s="101"/>
      <c r="I990" s="33"/>
      <c r="J990" s="33"/>
      <c r="K990" s="101"/>
      <c r="L990" s="101"/>
      <c r="M990" s="33"/>
      <c r="T990" s="32"/>
    </row>
    <row r="991" spans="1:20" ht="14.25" customHeight="1" x14ac:dyDescent="0.35">
      <c r="A991" s="32"/>
      <c r="B991" s="100"/>
      <c r="C991" s="100"/>
      <c r="D991" s="100"/>
      <c r="E991" s="33"/>
      <c r="F991" s="1"/>
      <c r="G991" s="101"/>
      <c r="H991" s="101"/>
      <c r="I991" s="33"/>
      <c r="J991" s="33"/>
      <c r="K991" s="101"/>
      <c r="L991" s="101"/>
      <c r="M991" s="33"/>
      <c r="T991" s="32"/>
    </row>
    <row r="992" spans="1:20" ht="14.25" customHeight="1" x14ac:dyDescent="0.35">
      <c r="A992" s="32"/>
      <c r="B992" s="100"/>
      <c r="C992" s="100"/>
      <c r="D992" s="100"/>
      <c r="E992" s="33"/>
      <c r="F992" s="1"/>
      <c r="G992" s="101"/>
      <c r="H992" s="101"/>
      <c r="I992" s="33"/>
      <c r="J992" s="33"/>
      <c r="K992" s="101"/>
      <c r="L992" s="101"/>
      <c r="M992" s="33"/>
      <c r="T992" s="32"/>
    </row>
    <row r="993" spans="1:20" ht="14.25" customHeight="1" x14ac:dyDescent="0.35">
      <c r="A993" s="32"/>
      <c r="B993" s="100"/>
      <c r="C993" s="100"/>
      <c r="D993" s="100"/>
      <c r="E993" s="33"/>
      <c r="F993" s="1"/>
      <c r="G993" s="101"/>
      <c r="H993" s="101"/>
      <c r="I993" s="33"/>
      <c r="J993" s="33"/>
      <c r="K993" s="101"/>
      <c r="L993" s="101"/>
      <c r="M993" s="33"/>
      <c r="T993" s="32"/>
    </row>
    <row r="994" spans="1:20" ht="14.25" customHeight="1" x14ac:dyDescent="0.35">
      <c r="A994" s="32"/>
      <c r="B994" s="100"/>
      <c r="C994" s="100"/>
      <c r="D994" s="100"/>
      <c r="E994" s="33"/>
      <c r="F994" s="1"/>
      <c r="G994" s="101"/>
      <c r="H994" s="101"/>
      <c r="I994" s="33"/>
      <c r="J994" s="33"/>
      <c r="K994" s="101"/>
      <c r="L994" s="101"/>
      <c r="M994" s="33"/>
      <c r="T994" s="32"/>
    </row>
    <row r="995" spans="1:20" ht="14.25" customHeight="1" x14ac:dyDescent="0.35">
      <c r="A995" s="32"/>
      <c r="B995" s="100"/>
      <c r="C995" s="100"/>
      <c r="D995" s="100"/>
      <c r="E995" s="33"/>
      <c r="F995" s="1"/>
      <c r="G995" s="101"/>
      <c r="H995" s="101"/>
      <c r="I995" s="33"/>
      <c r="J995" s="33"/>
      <c r="K995" s="101"/>
      <c r="L995" s="101"/>
      <c r="M995" s="33"/>
      <c r="T995" s="32"/>
    </row>
    <row r="996" spans="1:20" ht="14.25" customHeight="1" x14ac:dyDescent="0.35">
      <c r="A996" s="32"/>
      <c r="B996" s="100"/>
      <c r="C996" s="100"/>
      <c r="D996" s="100"/>
      <c r="E996" s="33"/>
      <c r="F996" s="1"/>
      <c r="G996" s="101"/>
      <c r="H996" s="101"/>
      <c r="I996" s="33"/>
      <c r="J996" s="33"/>
      <c r="K996" s="101"/>
      <c r="L996" s="101"/>
      <c r="M996" s="33"/>
      <c r="T996" s="32"/>
    </row>
    <row r="997" spans="1:20" ht="14.25" customHeight="1" x14ac:dyDescent="0.35">
      <c r="A997" s="32"/>
      <c r="B997" s="100"/>
      <c r="C997" s="100"/>
      <c r="D997" s="100"/>
      <c r="E997" s="33"/>
      <c r="F997" s="1"/>
      <c r="G997" s="101"/>
      <c r="H997" s="101"/>
      <c r="I997" s="33"/>
      <c r="J997" s="33"/>
      <c r="K997" s="101"/>
      <c r="L997" s="101"/>
      <c r="M997" s="33"/>
      <c r="T997" s="32"/>
    </row>
    <row r="998" spans="1:20" ht="14.25" customHeight="1" x14ac:dyDescent="0.35">
      <c r="A998" s="32"/>
      <c r="B998" s="100"/>
      <c r="C998" s="100"/>
      <c r="D998" s="100"/>
      <c r="E998" s="33"/>
      <c r="F998" s="1"/>
      <c r="G998" s="101"/>
      <c r="H998" s="101"/>
      <c r="I998" s="33"/>
      <c r="J998" s="33"/>
      <c r="K998" s="101"/>
      <c r="L998" s="101"/>
      <c r="M998" s="33"/>
      <c r="T998" s="32"/>
    </row>
    <row r="999" spans="1:20" ht="14.25" customHeight="1" x14ac:dyDescent="0.35">
      <c r="A999" s="32"/>
      <c r="B999" s="100"/>
      <c r="C999" s="100"/>
      <c r="D999" s="100"/>
      <c r="E999" s="33"/>
      <c r="F999" s="1"/>
      <c r="G999" s="101"/>
      <c r="H999" s="101"/>
      <c r="I999" s="33"/>
      <c r="J999" s="33"/>
      <c r="K999" s="101"/>
      <c r="L999" s="101"/>
      <c r="M999" s="33"/>
      <c r="T999" s="32"/>
    </row>
    <row r="1000" spans="1:20" ht="14.25" customHeight="1" x14ac:dyDescent="0.35">
      <c r="A1000" s="32"/>
      <c r="B1000" s="100"/>
      <c r="C1000" s="100"/>
      <c r="D1000" s="100"/>
      <c r="E1000" s="33"/>
      <c r="F1000" s="1"/>
      <c r="G1000" s="101"/>
      <c r="H1000" s="101"/>
      <c r="I1000" s="33"/>
      <c r="J1000" s="33"/>
      <c r="K1000" s="101"/>
      <c r="L1000" s="101"/>
      <c r="M1000" s="33"/>
      <c r="T1000" s="32"/>
    </row>
  </sheetData>
  <conditionalFormatting sqref="B150:H889 H2:H149">
    <cfRule type="containsBlanks" dxfId="4" priority="1">
      <formula>LEN(TRIM(B150))=0</formula>
    </cfRule>
  </conditionalFormatting>
  <conditionalFormatting sqref="D150:D889">
    <cfRule type="containsText" dxfId="3" priority="2" operator="containsText" text="PENDENTE">
      <formula>NOT(ISERROR(SEARCH(("PENDENTE"),(D150))))</formula>
    </cfRule>
  </conditionalFormatting>
  <conditionalFormatting sqref="D2:D75">
    <cfRule type="containsText" dxfId="2" priority="3" operator="containsText" text="PENDENTE">
      <formula>NOT(ISERROR(SEARCH(("PENDENTE"),(D2))))</formula>
    </cfRule>
  </conditionalFormatting>
  <conditionalFormatting sqref="B2:H75 H76:H149">
    <cfRule type="containsBlanks" dxfId="1" priority="4">
      <formula>LEN(TRIM(B2))=0</formula>
    </cfRule>
  </conditionalFormatting>
  <conditionalFormatting sqref="N2:T889">
    <cfRule type="notContainsBlanks" dxfId="0" priority="5">
      <formula>LEN(TRIM(N2))&gt;0</formula>
    </cfRule>
  </conditionalFormatting>
  <pageMargins left="0.511811024" right="0.511811024" top="0.78740157499999996" bottom="0.78740157499999996" header="0" footer="0"/>
  <pageSetup paperSize="9" fitToHeight="0"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</vt:i4>
      </vt:variant>
    </vt:vector>
  </HeadingPairs>
  <TitlesOfParts>
    <vt:vector size="14" baseType="lpstr">
      <vt:lpstr>JAN-26</vt:lpstr>
      <vt:lpstr>FEV-26</vt:lpstr>
      <vt:lpstr>MAR-26</vt:lpstr>
      <vt:lpstr>ABR-26</vt:lpstr>
      <vt:lpstr>MAI-26</vt:lpstr>
      <vt:lpstr>JUN-26</vt:lpstr>
      <vt:lpstr>JUL-26</vt:lpstr>
      <vt:lpstr>AGO-26</vt:lpstr>
      <vt:lpstr>SET-26</vt:lpstr>
      <vt:lpstr>OUT-26</vt:lpstr>
      <vt:lpstr>NOV-26</vt:lpstr>
      <vt:lpstr>DEZ-26</vt:lpstr>
      <vt:lpstr>BD</vt:lpstr>
      <vt:lpstr>_xlcn.WorksheetConnection_JAN26A2G771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FATURAMENTO1</dc:creator>
  <cp:lastModifiedBy>FATURAMENTO1</cp:lastModifiedBy>
  <dcterms:created xsi:type="dcterms:W3CDTF">2025-01-21T17:22:16Z</dcterms:created>
  <dcterms:modified xsi:type="dcterms:W3CDTF">2026-04-27T13:02:55Z</dcterms:modified>
</cp:coreProperties>
</file>